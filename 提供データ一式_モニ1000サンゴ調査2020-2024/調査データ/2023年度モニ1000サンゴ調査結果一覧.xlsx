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24226"/>
  <xr:revisionPtr revIDLastSave="1" documentId="11_EFC80FE576E502130A8BE42564D7E2A2DF59D650" xr6:coauthVersionLast="47" xr6:coauthVersionMax="47" xr10:uidLastSave="{59E988F3-4FB8-4755-80D2-F910100C3E1F}"/>
  <bookViews>
    <workbookView xWindow="19095" yWindow="0" windowWidth="19410" windowHeight="20985" tabRatio="791" xr2:uid="{00000000-000D-0000-FFFF-FFFF00000000}"/>
  </bookViews>
  <sheets>
    <sheet name="基礎データ  (2023年度版）" sheetId="21" r:id="rId1"/>
    <sheet name="集計表（2023年度)  (&lt;1等変換)" sheetId="18" r:id="rId2"/>
  </sheets>
  <definedNames>
    <definedName name="_xlnm._FilterDatabase" localSheetId="0" hidden="1">'基礎データ  (2023年度版）'!$A$1:$P$579</definedName>
    <definedName name="_xlnm._FilterDatabase" localSheetId="1" hidden="1">'集計表（2023年度)  (&lt;1等変換)'!$A$3:$AG$516</definedName>
    <definedName name="APPR1" localSheetId="1">#REF!</definedName>
    <definedName name="APPR1">#REF!</definedName>
    <definedName name="_xlnm.Print_Area" localSheetId="0">'基礎データ  (2023年度版）'!$A$1:$P$582</definedName>
    <definedName name="_xlnm.Print_Area" localSheetId="1">'集計表（2023年度)  (&lt;1等変換)'!$A$1:$AF$534</definedName>
    <definedName name="_xlnm.Print_Titles" localSheetId="0">'基礎データ  (2023年度版）'!$1:$1</definedName>
    <definedName name="_xlnm.Print_Titles" localSheetId="1">'集計表（2023年度)  (&lt;1等変換)'!$1:$3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2" i="18" l="1"/>
  <c r="T171" i="18"/>
  <c r="T170" i="18"/>
  <c r="T169" i="18"/>
  <c r="T168" i="18"/>
  <c r="T167" i="18"/>
  <c r="T166" i="18"/>
  <c r="T165" i="18"/>
  <c r="T164" i="18"/>
  <c r="T163" i="18"/>
  <c r="T161" i="18" l="1"/>
  <c r="M491" i="18" l="1"/>
  <c r="M492" i="18"/>
  <c r="M493" i="18"/>
  <c r="M494" i="18"/>
  <c r="M495" i="18"/>
  <c r="M496" i="18"/>
  <c r="M497" i="18"/>
  <c r="M498" i="18"/>
  <c r="M499" i="18"/>
  <c r="M500" i="18"/>
  <c r="M484" i="18"/>
  <c r="M485" i="18"/>
  <c r="M489" i="18"/>
  <c r="M488" i="18"/>
  <c r="M487" i="18"/>
  <c r="M483" i="18"/>
  <c r="T482" i="18"/>
  <c r="T481" i="18"/>
  <c r="T480" i="18"/>
  <c r="T479" i="18"/>
  <c r="T478" i="18"/>
  <c r="T477" i="18"/>
  <c r="T476" i="18"/>
  <c r="T473" i="18"/>
  <c r="T472" i="18"/>
  <c r="T471" i="18"/>
  <c r="T464" i="18"/>
  <c r="T463" i="18"/>
  <c r="T462" i="18"/>
  <c r="T461" i="18"/>
  <c r="T459" i="18"/>
  <c r="T458" i="18"/>
  <c r="T457" i="18"/>
  <c r="T455" i="18"/>
  <c r="T456" i="18"/>
  <c r="T454" i="18"/>
  <c r="T453" i="18"/>
  <c r="T452" i="18"/>
  <c r="T451" i="18"/>
  <c r="T449" i="18"/>
  <c r="T450" i="18"/>
  <c r="T460" i="18"/>
  <c r="T447" i="18"/>
  <c r="T446" i="18"/>
  <c r="T445" i="18"/>
  <c r="M513" i="18" l="1"/>
  <c r="M512" i="18"/>
  <c r="M511" i="18"/>
  <c r="M503" i="18"/>
  <c r="M501" i="18"/>
  <c r="M510" i="18"/>
  <c r="M502" i="18"/>
  <c r="M508" i="18"/>
  <c r="M514" i="18"/>
  <c r="M507" i="18"/>
  <c r="M505" i="18"/>
  <c r="M509" i="18"/>
  <c r="M515" i="18"/>
  <c r="T444" i="18"/>
  <c r="T443" i="18"/>
  <c r="T441" i="18"/>
  <c r="T437" i="18"/>
  <c r="T435" i="18"/>
  <c r="T428" i="18"/>
  <c r="T427" i="18"/>
  <c r="M482" i="18"/>
  <c r="M481" i="18"/>
  <c r="M480" i="18"/>
  <c r="M479" i="18"/>
  <c r="M478" i="18"/>
  <c r="M477" i="18"/>
  <c r="M473" i="18"/>
  <c r="M469" i="18"/>
  <c r="M468" i="18"/>
  <c r="M467" i="18"/>
  <c r="M466" i="18"/>
  <c r="M465" i="18"/>
  <c r="M463" i="18"/>
  <c r="M459" i="18"/>
  <c r="M458" i="18"/>
  <c r="M457" i="18"/>
  <c r="M456" i="18"/>
  <c r="M455" i="18"/>
  <c r="M454" i="18"/>
  <c r="M452" i="18"/>
  <c r="M451" i="18"/>
  <c r="M450" i="18"/>
  <c r="M449" i="18"/>
  <c r="M448" i="18"/>
  <c r="M447" i="18"/>
  <c r="M445" i="18"/>
  <c r="M430" i="18"/>
  <c r="M443" i="18"/>
  <c r="M427" i="18"/>
  <c r="M431" i="18" l="1"/>
  <c r="M415" i="18"/>
  <c r="M438" i="18"/>
  <c r="M413" i="18"/>
  <c r="M421" i="18"/>
  <c r="M437" i="18"/>
  <c r="M429" i="18"/>
  <c r="M414" i="18"/>
  <c r="M407" i="18"/>
  <c r="M409" i="18"/>
  <c r="M434" i="18"/>
  <c r="M416" i="18"/>
  <c r="M440" i="18"/>
  <c r="M439" i="18"/>
  <c r="M423" i="18"/>
  <c r="M412" i="18"/>
  <c r="M435" i="18"/>
  <c r="M418" i="18"/>
  <c r="M442" i="18"/>
  <c r="M433" i="18"/>
  <c r="M425" i="18"/>
  <c r="M424" i="18"/>
  <c r="M428" i="18"/>
  <c r="M420" i="18"/>
  <c r="M419" i="18"/>
  <c r="M417" i="18"/>
  <c r="M426" i="18"/>
  <c r="M441" i="18"/>
  <c r="M432" i="18"/>
  <c r="M401" i="18"/>
  <c r="M402" i="18"/>
  <c r="M403" i="18"/>
  <c r="M404" i="18"/>
  <c r="M405" i="18"/>
  <c r="M406" i="18"/>
  <c r="M400" i="18"/>
  <c r="M399" i="18"/>
  <c r="M398" i="18"/>
  <c r="M397" i="18"/>
  <c r="M396" i="18"/>
  <c r="M395" i="18"/>
  <c r="M394" i="18"/>
  <c r="M393" i="18"/>
  <c r="M392" i="18"/>
  <c r="M391" i="18"/>
  <c r="M390" i="18"/>
  <c r="M389" i="18"/>
  <c r="M252" i="18"/>
  <c r="M247" i="18"/>
  <c r="M245" i="18"/>
  <c r="M242" i="18"/>
  <c r="M232" i="18"/>
  <c r="M231" i="18"/>
  <c r="M226" i="18"/>
  <c r="M225" i="18"/>
  <c r="M224" i="18"/>
  <c r="M220" i="18"/>
  <c r="M212" i="18"/>
  <c r="M208" i="18"/>
  <c r="M201" i="18"/>
  <c r="M197" i="18"/>
  <c r="M190" i="18"/>
  <c r="M189" i="18"/>
  <c r="M297" i="18"/>
  <c r="M300" i="18"/>
  <c r="M289" i="18"/>
  <c r="M267" i="18"/>
  <c r="M388" i="18"/>
  <c r="M349" i="18"/>
  <c r="M347" i="18"/>
  <c r="M344" i="18"/>
  <c r="M317" i="18"/>
  <c r="M306" i="18"/>
  <c r="M293" i="18"/>
  <c r="M175" i="18"/>
  <c r="M222" i="18" l="1"/>
  <c r="M288" i="18"/>
  <c r="M181" i="18"/>
  <c r="M246" i="18"/>
  <c r="M290" i="18"/>
  <c r="M343" i="18"/>
  <c r="M195" i="18"/>
  <c r="M237" i="18"/>
  <c r="M265" i="18"/>
  <c r="M291" i="18"/>
  <c r="M302" i="18"/>
  <c r="M336" i="18"/>
  <c r="M363" i="18"/>
  <c r="M386" i="18"/>
  <c r="M228" i="18"/>
  <c r="M266" i="18"/>
  <c r="M303" i="18"/>
  <c r="M321" i="18"/>
  <c r="M346" i="18"/>
  <c r="M379" i="18"/>
  <c r="M176" i="18"/>
  <c r="M187" i="18"/>
  <c r="M198" i="18"/>
  <c r="M207" i="18"/>
  <c r="M217" i="18"/>
  <c r="M229" i="18"/>
  <c r="M239" i="18"/>
  <c r="M250" i="18"/>
  <c r="M259" i="18"/>
  <c r="M268" i="18"/>
  <c r="M276" i="18"/>
  <c r="M284" i="18"/>
  <c r="M294" i="18"/>
  <c r="M304" i="18"/>
  <c r="M322" i="18"/>
  <c r="M330" i="18"/>
  <c r="M338" i="18"/>
  <c r="M348" i="18"/>
  <c r="M357" i="18"/>
  <c r="M365" i="18"/>
  <c r="M387" i="18"/>
  <c r="M380" i="18"/>
  <c r="M203" i="18"/>
  <c r="M263" i="18"/>
  <c r="M186" i="18"/>
  <c r="M194" i="18"/>
  <c r="M236" i="18"/>
  <c r="M281" i="18"/>
  <c r="M335" i="18"/>
  <c r="M205" i="18"/>
  <c r="M248" i="18"/>
  <c r="M274" i="18"/>
  <c r="M311" i="18"/>
  <c r="M345" i="18"/>
  <c r="M371" i="18"/>
  <c r="M206" i="18"/>
  <c r="M249" i="18"/>
  <c r="M283" i="18"/>
  <c r="M329" i="18"/>
  <c r="M356" i="18"/>
  <c r="M177" i="18"/>
  <c r="M188" i="18"/>
  <c r="M199" i="18"/>
  <c r="M209" i="18"/>
  <c r="M218" i="18"/>
  <c r="M230" i="18"/>
  <c r="M240" i="18"/>
  <c r="M251" i="18"/>
  <c r="M260" i="18"/>
  <c r="M269" i="18"/>
  <c r="M277" i="18"/>
  <c r="M285" i="18"/>
  <c r="M295" i="18"/>
  <c r="M305" i="18"/>
  <c r="M314" i="18"/>
  <c r="M323" i="18"/>
  <c r="M331" i="18"/>
  <c r="M339" i="18"/>
  <c r="M350" i="18"/>
  <c r="M358" i="18"/>
  <c r="M366" i="18"/>
  <c r="M373" i="18"/>
  <c r="M381" i="18"/>
  <c r="M193" i="18"/>
  <c r="M272" i="18"/>
  <c r="M204" i="18"/>
  <c r="M256" i="18"/>
  <c r="M310" i="18"/>
  <c r="M173" i="18"/>
  <c r="M282" i="18"/>
  <c r="M328" i="18"/>
  <c r="M355" i="18"/>
  <c r="M378" i="18"/>
  <c r="M174" i="18"/>
  <c r="M216" i="18"/>
  <c r="M258" i="18"/>
  <c r="M292" i="18"/>
  <c r="M337" i="18"/>
  <c r="M364" i="18"/>
  <c r="M183" i="18"/>
  <c r="M191" i="18"/>
  <c r="M210" i="18"/>
  <c r="M219" i="18"/>
  <c r="M233" i="18"/>
  <c r="M241" i="18"/>
  <c r="M253" i="18"/>
  <c r="M261" i="18"/>
  <c r="M270" i="18"/>
  <c r="M278" i="18"/>
  <c r="M286" i="18"/>
  <c r="M296" i="18"/>
  <c r="M307" i="18"/>
  <c r="M315" i="18"/>
  <c r="M324" i="18"/>
  <c r="M332" i="18"/>
  <c r="M340" i="18"/>
  <c r="M351" i="18"/>
  <c r="M359" i="18"/>
  <c r="M367" i="18"/>
  <c r="M374" i="18"/>
  <c r="M382" i="18"/>
  <c r="M180" i="18"/>
  <c r="M255" i="18"/>
  <c r="M273" i="18"/>
  <c r="M319" i="18"/>
  <c r="M182" i="18"/>
  <c r="M215" i="18"/>
  <c r="M257" i="18"/>
  <c r="M320" i="18"/>
  <c r="M196" i="18"/>
  <c r="M238" i="18"/>
  <c r="M275" i="18"/>
  <c r="M312" i="18"/>
  <c r="M372" i="18"/>
  <c r="M178" i="18"/>
  <c r="M200" i="18"/>
  <c r="M184" i="18"/>
  <c r="M179" i="18"/>
  <c r="M192" i="18"/>
  <c r="M202" i="18"/>
  <c r="M211" i="18"/>
  <c r="M221" i="18"/>
  <c r="M234" i="18"/>
  <c r="M243" i="18"/>
  <c r="M254" i="18"/>
  <c r="M271" i="18"/>
  <c r="M279" i="18"/>
  <c r="M287" i="18"/>
  <c r="M298" i="18"/>
  <c r="M308" i="18"/>
  <c r="M316" i="18"/>
  <c r="M325" i="18"/>
  <c r="M333" i="18"/>
  <c r="M341" i="18"/>
  <c r="M352" i="18"/>
  <c r="M360" i="18"/>
  <c r="M368" i="18"/>
  <c r="M375" i="18"/>
  <c r="M383" i="18"/>
  <c r="M185" i="18"/>
  <c r="M235" i="18"/>
  <c r="M244" i="18"/>
  <c r="M299" i="18"/>
  <c r="M309" i="18"/>
  <c r="M318" i="18"/>
  <c r="M326" i="18"/>
  <c r="M334" i="18"/>
  <c r="M342" i="18"/>
  <c r="M353" i="18"/>
  <c r="M361" i="18"/>
  <c r="M369" i="18"/>
  <c r="M376" i="18"/>
  <c r="M384" i="18"/>
  <c r="M213" i="18"/>
  <c r="M280" i="18"/>
  <c r="M214" i="18"/>
  <c r="M264" i="18"/>
  <c r="M301" i="18"/>
  <c r="M327" i="18"/>
  <c r="M354" i="18"/>
  <c r="M362" i="18"/>
  <c r="M370" i="18"/>
  <c r="M377" i="18"/>
  <c r="M385" i="18"/>
  <c r="M172" i="18" l="1"/>
  <c r="M167" i="18"/>
  <c r="M164" i="18"/>
  <c r="M166" i="18"/>
  <c r="M168" i="18"/>
  <c r="M165" i="18"/>
  <c r="M161" i="18"/>
  <c r="M169" i="18"/>
  <c r="M162" i="18"/>
  <c r="M170" i="18"/>
  <c r="M163" i="18"/>
  <c r="M171" i="18"/>
  <c r="T38" i="18"/>
  <c r="T36" i="18"/>
  <c r="T35" i="18"/>
  <c r="T34" i="18"/>
  <c r="T33" i="18"/>
  <c r="T32" i="18"/>
  <c r="T29" i="18"/>
  <c r="T24" i="18"/>
  <c r="M27" i="18"/>
  <c r="M28" i="18"/>
  <c r="M31" i="18"/>
  <c r="T23" i="18"/>
  <c r="T22" i="18"/>
  <c r="T21" i="18"/>
  <c r="T20" i="18"/>
  <c r="T19" i="18"/>
  <c r="T16" i="18"/>
  <c r="T15" i="18"/>
  <c r="T14" i="18"/>
  <c r="T13" i="18"/>
  <c r="T12" i="18"/>
  <c r="T11" i="18"/>
  <c r="T10" i="18"/>
  <c r="T9" i="18"/>
  <c r="T8" i="18"/>
  <c r="T7" i="18"/>
  <c r="T6" i="18"/>
  <c r="T5" i="18"/>
  <c r="T4" i="18"/>
  <c r="M23" i="18"/>
  <c r="M22" i="18"/>
  <c r="M21" i="18"/>
  <c r="M20" i="18"/>
  <c r="M19" i="18"/>
  <c r="M16" i="18"/>
  <c r="M15" i="18"/>
  <c r="M14" i="18"/>
  <c r="M13" i="18"/>
  <c r="M12" i="18"/>
  <c r="M11" i="18"/>
  <c r="M10" i="18"/>
  <c r="M9" i="18"/>
  <c r="M8" i="18"/>
  <c r="M7" i="18"/>
  <c r="M6" i="18"/>
  <c r="M5" i="18"/>
  <c r="M4" i="18"/>
  <c r="M82" i="18" l="1"/>
  <c r="M102" i="18"/>
  <c r="M44" i="18"/>
  <c r="M103" i="18"/>
  <c r="M34" i="18"/>
  <c r="M45" i="18"/>
  <c r="M96" i="18"/>
  <c r="M104" i="18"/>
  <c r="M114" i="18"/>
  <c r="M132" i="18"/>
  <c r="M24" i="18"/>
  <c r="M35" i="18"/>
  <c r="M51" i="18"/>
  <c r="M101" i="18"/>
  <c r="M61" i="18"/>
  <c r="M127" i="18"/>
  <c r="M62" i="18"/>
  <c r="M130" i="18"/>
  <c r="M63" i="18"/>
  <c r="M46" i="18"/>
  <c r="M64" i="18"/>
  <c r="M87" i="18"/>
  <c r="M97" i="18"/>
  <c r="M105" i="18"/>
  <c r="M115" i="18"/>
  <c r="M133" i="18"/>
  <c r="M152" i="18"/>
  <c r="M25" i="18"/>
  <c r="M36" i="18"/>
  <c r="M42" i="18"/>
  <c r="M93" i="18"/>
  <c r="M43" i="18"/>
  <c r="M112" i="18"/>
  <c r="M54" i="18"/>
  <c r="M150" i="18"/>
  <c r="M39" i="18"/>
  <c r="M47" i="18"/>
  <c r="M90" i="18"/>
  <c r="M98" i="18"/>
  <c r="M106" i="18"/>
  <c r="M116" i="18"/>
  <c r="M135" i="18"/>
  <c r="M153" i="18"/>
  <c r="M26" i="18"/>
  <c r="M37" i="18"/>
  <c r="M111" i="18"/>
  <c r="M32" i="18"/>
  <c r="M94" i="18"/>
  <c r="M113" i="18"/>
  <c r="M40" i="18"/>
  <c r="M48" i="18"/>
  <c r="M66" i="18"/>
  <c r="M91" i="18"/>
  <c r="M99" i="18"/>
  <c r="M107" i="18"/>
  <c r="M118" i="18"/>
  <c r="M158" i="18"/>
  <c r="M29" i="18"/>
  <c r="M38" i="18"/>
  <c r="M78" i="18"/>
  <c r="M120" i="18"/>
  <c r="M53" i="18"/>
  <c r="M149" i="18"/>
  <c r="M33" i="18"/>
  <c r="M95" i="18"/>
  <c r="M41" i="18"/>
  <c r="M49" i="18"/>
  <c r="M71" i="18"/>
  <c r="M100" i="18"/>
  <c r="M110" i="18"/>
  <c r="M119" i="18"/>
  <c r="M30" i="18"/>
</calcChain>
</file>

<file path=xl/sharedStrings.xml><?xml version="1.0" encoding="utf-8"?>
<sst xmlns="http://schemas.openxmlformats.org/spreadsheetml/2006/main" count="9576" uniqueCount="1666">
  <si>
    <t>中ブロック</t>
    <rPh sb="0" eb="1">
      <t>チュウ</t>
    </rPh>
    <phoneticPr fontId="3"/>
  </si>
  <si>
    <t>サイト名</t>
    <rPh sb="3" eb="4">
      <t>ナ</t>
    </rPh>
    <phoneticPr fontId="3"/>
  </si>
  <si>
    <t>県名</t>
    <rPh sb="0" eb="2">
      <t>ケンメイ</t>
    </rPh>
    <phoneticPr fontId="4"/>
  </si>
  <si>
    <t>調査地(spot)
No.</t>
    <rPh sb="0" eb="3">
      <t>チョウサチ</t>
    </rPh>
    <phoneticPr fontId="4"/>
  </si>
  <si>
    <t>地名</t>
    <rPh sb="0" eb="2">
      <t>チメイ</t>
    </rPh>
    <phoneticPr fontId="4"/>
  </si>
  <si>
    <t>東経
（度)</t>
  </si>
  <si>
    <t>東経
(秒）</t>
    <rPh sb="4" eb="5">
      <t>ビョウ</t>
    </rPh>
    <phoneticPr fontId="3"/>
  </si>
  <si>
    <t>地形</t>
  </si>
  <si>
    <t>底質</t>
    <rPh sb="0" eb="1">
      <t>ソコ</t>
    </rPh>
    <phoneticPr fontId="3"/>
  </si>
  <si>
    <t>大隅諸島</t>
    <rPh sb="0" eb="2">
      <t>オオスミ</t>
    </rPh>
    <rPh sb="2" eb="4">
      <t>ショトウ</t>
    </rPh>
    <phoneticPr fontId="3"/>
  </si>
  <si>
    <t>屋久島・種子島周辺</t>
    <rPh sb="0" eb="3">
      <t>ヤクシマ</t>
    </rPh>
    <rPh sb="4" eb="7">
      <t>タネガシマ</t>
    </rPh>
    <rPh sb="7" eb="9">
      <t>シュウヘン</t>
    </rPh>
    <phoneticPr fontId="3"/>
  </si>
  <si>
    <t>鹿児島県</t>
    <rPh sb="0" eb="4">
      <t>カゴシマケン</t>
    </rPh>
    <phoneticPr fontId="3"/>
  </si>
  <si>
    <t>外洋</t>
    <rPh sb="0" eb="2">
      <t>ガイヨウ</t>
    </rPh>
    <phoneticPr fontId="6"/>
  </si>
  <si>
    <t>堆積岩</t>
    <rPh sb="0" eb="3">
      <t>タイセキガン</t>
    </rPh>
    <phoneticPr fontId="6"/>
  </si>
  <si>
    <t>25×100</t>
  </si>
  <si>
    <t>1～6</t>
  </si>
  <si>
    <t>屋久島　元浦　</t>
    <rPh sb="0" eb="3">
      <t>ヤクシマ</t>
    </rPh>
    <rPh sb="4" eb="6">
      <t>モトウラ</t>
    </rPh>
    <phoneticPr fontId="8"/>
  </si>
  <si>
    <t>内湾</t>
    <rPh sb="0" eb="1">
      <t>ナイ</t>
    </rPh>
    <rPh sb="1" eb="2">
      <t>ワン</t>
    </rPh>
    <phoneticPr fontId="6"/>
  </si>
  <si>
    <t>50×50</t>
  </si>
  <si>
    <t>4～6</t>
  </si>
  <si>
    <t xml:space="preserve">屋久島管理棟下　 </t>
    <rPh sb="0" eb="3">
      <t>ヤクシマ</t>
    </rPh>
    <rPh sb="3" eb="5">
      <t>カンリ</t>
    </rPh>
    <rPh sb="5" eb="6">
      <t>トウ</t>
    </rPh>
    <rPh sb="6" eb="7">
      <t>シタ</t>
    </rPh>
    <phoneticPr fontId="8"/>
  </si>
  <si>
    <t>13～18</t>
  </si>
  <si>
    <t>屋久島　お宮下　</t>
    <rPh sb="0" eb="3">
      <t>ヤクシマ</t>
    </rPh>
    <rPh sb="5" eb="7">
      <t>ミヤシタ</t>
    </rPh>
    <phoneticPr fontId="8"/>
  </si>
  <si>
    <t>6～14</t>
  </si>
  <si>
    <t>屋久島タンク下　</t>
    <rPh sb="0" eb="3">
      <t>ヤクシマ</t>
    </rPh>
    <rPh sb="6" eb="7">
      <t>シタ</t>
    </rPh>
    <phoneticPr fontId="8"/>
  </si>
  <si>
    <t>6～7</t>
  </si>
  <si>
    <t>屋久島センロク　</t>
    <rPh sb="0" eb="3">
      <t>ヤクシマ</t>
    </rPh>
    <phoneticPr fontId="8"/>
  </si>
  <si>
    <t>13～26</t>
  </si>
  <si>
    <t>屋久島　塚崎　</t>
    <rPh sb="4" eb="6">
      <t>ツカザキ</t>
    </rPh>
    <phoneticPr fontId="8"/>
  </si>
  <si>
    <t>5～10</t>
  </si>
  <si>
    <t>屋久島　中間　</t>
    <rPh sb="0" eb="3">
      <t>ヤクシマ</t>
    </rPh>
    <rPh sb="4" eb="6">
      <t>ナカマ</t>
    </rPh>
    <phoneticPr fontId="8"/>
  </si>
  <si>
    <t>5～13</t>
  </si>
  <si>
    <t>屋久島　湯泊　</t>
    <rPh sb="0" eb="3">
      <t>ヤクシマ</t>
    </rPh>
    <rPh sb="4" eb="6">
      <t>ユドマリ</t>
    </rPh>
    <phoneticPr fontId="8"/>
  </si>
  <si>
    <t>港湾</t>
    <rPh sb="0" eb="2">
      <t>コウワン</t>
    </rPh>
    <phoneticPr fontId="6"/>
  </si>
  <si>
    <t>屋久島　麦生</t>
    <rPh sb="0" eb="3">
      <t>ヤクシマ</t>
    </rPh>
    <rPh sb="4" eb="5">
      <t>ムギ</t>
    </rPh>
    <rPh sb="5" eb="6">
      <t>ナマ</t>
    </rPh>
    <phoneticPr fontId="8"/>
  </si>
  <si>
    <t>1～5</t>
  </si>
  <si>
    <t>H16は工事により未調査。H17より調査開始。</t>
    <rPh sb="4" eb="6">
      <t>コウジ</t>
    </rPh>
    <rPh sb="9" eb="12">
      <t>ミチョウサ</t>
    </rPh>
    <rPh sb="18" eb="20">
      <t>チョウサ</t>
    </rPh>
    <rPh sb="20" eb="22">
      <t>カイシ</t>
    </rPh>
    <phoneticPr fontId="3"/>
  </si>
  <si>
    <t>口永良部　寝待　</t>
    <rPh sb="0" eb="4">
      <t>クチエラブ</t>
    </rPh>
    <rPh sb="5" eb="7">
      <t>ネマチ</t>
    </rPh>
    <phoneticPr fontId="8"/>
  </si>
  <si>
    <t>やや内湾</t>
    <rPh sb="2" eb="3">
      <t>ナイ</t>
    </rPh>
    <rPh sb="3" eb="4">
      <t>ワン</t>
    </rPh>
    <phoneticPr fontId="6"/>
  </si>
  <si>
    <t>玄武岩</t>
    <rPh sb="0" eb="3">
      <t>ゲンブガン</t>
    </rPh>
    <phoneticPr fontId="6"/>
  </si>
  <si>
    <t>5～21</t>
  </si>
  <si>
    <t>口永良部岩屋泊</t>
    <rPh sb="0" eb="4">
      <t>クチエラブ</t>
    </rPh>
    <rPh sb="4" eb="6">
      <t>イワヤ</t>
    </rPh>
    <rPh sb="6" eb="7">
      <t>トマリ</t>
    </rPh>
    <phoneticPr fontId="8"/>
  </si>
  <si>
    <t>7～18</t>
  </si>
  <si>
    <t>馬毛島</t>
    <rPh sb="0" eb="3">
      <t>マゲシマ</t>
    </rPh>
    <phoneticPr fontId="8"/>
  </si>
  <si>
    <t>種子島　大瀬</t>
    <rPh sb="0" eb="3">
      <t>タネガシマ</t>
    </rPh>
    <rPh sb="4" eb="6">
      <t>オオセ</t>
    </rPh>
    <phoneticPr fontId="8"/>
  </si>
  <si>
    <t>外洋</t>
  </si>
  <si>
    <t>堆積岩</t>
  </si>
  <si>
    <t>6～8</t>
  </si>
  <si>
    <t>種子島　住吉　　</t>
    <rPh sb="0" eb="3">
      <t>タネガシマ</t>
    </rPh>
    <rPh sb="4" eb="6">
      <t>スミヨシ</t>
    </rPh>
    <phoneticPr fontId="8"/>
  </si>
  <si>
    <t>サンゴ礁</t>
  </si>
  <si>
    <t>竹島 コモリ港</t>
    <rPh sb="0" eb="2">
      <t>タケシマ</t>
    </rPh>
    <rPh sb="6" eb="7">
      <t>ミナト</t>
    </rPh>
    <phoneticPr fontId="8"/>
  </si>
  <si>
    <t>玄武岩</t>
  </si>
  <si>
    <t>5～１6</t>
  </si>
  <si>
    <t>H16オンボ崎より変更。ズレは約300m。</t>
    <rPh sb="6" eb="7">
      <t>サキ</t>
    </rPh>
    <rPh sb="9" eb="11">
      <t>ヘンコウ</t>
    </rPh>
    <rPh sb="15" eb="16">
      <t>ヤク</t>
    </rPh>
    <phoneticPr fontId="3"/>
  </si>
  <si>
    <t>硫黄島永良部崎　</t>
    <rPh sb="0" eb="3">
      <t>イオウジマ</t>
    </rPh>
    <rPh sb="3" eb="6">
      <t>エラブ</t>
    </rPh>
    <rPh sb="6" eb="7">
      <t>サキ</t>
    </rPh>
    <phoneticPr fontId="8"/>
  </si>
  <si>
    <t>13～16</t>
  </si>
  <si>
    <t>黒島　夫婦瀬</t>
    <rPh sb="0" eb="2">
      <t>クロシマ</t>
    </rPh>
    <rPh sb="3" eb="5">
      <t>フウフ</t>
    </rPh>
    <rPh sb="5" eb="6">
      <t>セ</t>
    </rPh>
    <phoneticPr fontId="8"/>
  </si>
  <si>
    <t>10～23</t>
  </si>
  <si>
    <t>H16海況不良によりH17から調査開始。</t>
    <rPh sb="3" eb="5">
      <t>カイキョウ</t>
    </rPh>
    <rPh sb="5" eb="7">
      <t>フリョウ</t>
    </rPh>
    <rPh sb="15" eb="17">
      <t>チョウサ</t>
    </rPh>
    <rPh sb="17" eb="19">
      <t>カイシ</t>
    </rPh>
    <phoneticPr fontId="3"/>
  </si>
  <si>
    <t>種子島　浦田ビーチ</t>
    <rPh sb="0" eb="3">
      <t>タネガシマ</t>
    </rPh>
    <rPh sb="4" eb="6">
      <t>ウラタ</t>
    </rPh>
    <phoneticPr fontId="3"/>
  </si>
  <si>
    <t>内湾</t>
    <rPh sb="0" eb="1">
      <t>ナイ</t>
    </rPh>
    <rPh sb="1" eb="2">
      <t>ワン</t>
    </rPh>
    <phoneticPr fontId="11"/>
  </si>
  <si>
    <t>25x100</t>
  </si>
  <si>
    <t>3～5</t>
  </si>
  <si>
    <t>トカラ列島</t>
    <rPh sb="3" eb="5">
      <t>レットウ</t>
    </rPh>
    <phoneticPr fontId="3"/>
  </si>
  <si>
    <t>小宝島周辺</t>
    <rPh sb="0" eb="1">
      <t>コ</t>
    </rPh>
    <rPh sb="1" eb="3">
      <t>タカラジマ</t>
    </rPh>
    <rPh sb="3" eb="5">
      <t>シュウヘン</t>
    </rPh>
    <phoneticPr fontId="3"/>
  </si>
  <si>
    <t>宝島前篭港東</t>
    <rPh sb="0" eb="2">
      <t>タカラジマ</t>
    </rPh>
    <rPh sb="2" eb="3">
      <t>マエ</t>
    </rPh>
    <rPh sb="3" eb="4">
      <t>コモ</t>
    </rPh>
    <rPh sb="4" eb="5">
      <t>ミナト</t>
    </rPh>
    <rPh sb="5" eb="6">
      <t>ヒガシ</t>
    </rPh>
    <phoneticPr fontId="4"/>
  </si>
  <si>
    <t>礁斜面</t>
    <rPh sb="0" eb="1">
      <t>ショウ</t>
    </rPh>
    <rPh sb="1" eb="3">
      <t>シャメン</t>
    </rPh>
    <phoneticPr fontId="13"/>
  </si>
  <si>
    <t>岩盤</t>
    <rPh sb="0" eb="2">
      <t>ガンバン</t>
    </rPh>
    <phoneticPr fontId="6"/>
  </si>
  <si>
    <t>50×30</t>
  </si>
  <si>
    <t>宝島海水浴場沖</t>
    <rPh sb="0" eb="2">
      <t>タカラジマ</t>
    </rPh>
    <rPh sb="2" eb="5">
      <t>カイスイヨク</t>
    </rPh>
    <rPh sb="5" eb="6">
      <t>ジョウ</t>
    </rPh>
    <rPh sb="6" eb="7">
      <t>オキ</t>
    </rPh>
    <phoneticPr fontId="4"/>
  </si>
  <si>
    <t>礁縁</t>
    <rPh sb="0" eb="1">
      <t>ショウ</t>
    </rPh>
    <rPh sb="1" eb="2">
      <t>エン</t>
    </rPh>
    <phoneticPr fontId="13"/>
  </si>
  <si>
    <t>宝島ヘリポート沖①</t>
    <rPh sb="0" eb="2">
      <t>タカラジマ</t>
    </rPh>
    <rPh sb="7" eb="8">
      <t>オキ</t>
    </rPh>
    <phoneticPr fontId="4"/>
  </si>
  <si>
    <t>礁縁・離礁</t>
    <rPh sb="0" eb="1">
      <t>ショウ</t>
    </rPh>
    <rPh sb="1" eb="2">
      <t>エン</t>
    </rPh>
    <rPh sb="3" eb="4">
      <t>リ</t>
    </rPh>
    <rPh sb="4" eb="5">
      <t>ショウ</t>
    </rPh>
    <phoneticPr fontId="13"/>
  </si>
  <si>
    <t>3～10</t>
  </si>
  <si>
    <t>宝島ヘリポート沖②</t>
    <rPh sb="0" eb="2">
      <t>タカラジマ</t>
    </rPh>
    <rPh sb="7" eb="8">
      <t>オキ</t>
    </rPh>
    <phoneticPr fontId="4"/>
  </si>
  <si>
    <t>1～8</t>
  </si>
  <si>
    <t>宝島洗石港南</t>
    <rPh sb="0" eb="2">
      <t>タカラジマ</t>
    </rPh>
    <rPh sb="2" eb="3">
      <t>アラ</t>
    </rPh>
    <rPh sb="3" eb="4">
      <t>ゴク</t>
    </rPh>
    <rPh sb="4" eb="5">
      <t>ミナト</t>
    </rPh>
    <rPh sb="5" eb="6">
      <t>ミナミ</t>
    </rPh>
    <phoneticPr fontId="4"/>
  </si>
  <si>
    <t>2～10</t>
  </si>
  <si>
    <t>宝島ヘリポート沖③</t>
    <rPh sb="0" eb="2">
      <t>タカラジマ</t>
    </rPh>
    <rPh sb="7" eb="8">
      <t>オキ</t>
    </rPh>
    <phoneticPr fontId="4"/>
  </si>
  <si>
    <t>2～6</t>
  </si>
  <si>
    <t>宝島ヘリポート沖④</t>
    <rPh sb="0" eb="2">
      <t>タカラジマ</t>
    </rPh>
    <rPh sb="7" eb="8">
      <t>オキ</t>
    </rPh>
    <phoneticPr fontId="4"/>
  </si>
  <si>
    <t>8～10</t>
  </si>
  <si>
    <t>小宝島港西</t>
    <rPh sb="0" eb="1">
      <t>コ</t>
    </rPh>
    <rPh sb="1" eb="3">
      <t>タカラジマ</t>
    </rPh>
    <rPh sb="3" eb="4">
      <t>ミナト</t>
    </rPh>
    <rPh sb="4" eb="5">
      <t>ニシ</t>
    </rPh>
    <phoneticPr fontId="4"/>
  </si>
  <si>
    <t>礁斜面</t>
    <rPh sb="0" eb="1">
      <t>ショウ</t>
    </rPh>
    <rPh sb="1" eb="3">
      <t>シャメン</t>
    </rPh>
    <phoneticPr fontId="3"/>
  </si>
  <si>
    <t>岩礁</t>
    <rPh sb="0" eb="2">
      <t>ガンショウ</t>
    </rPh>
    <phoneticPr fontId="4"/>
  </si>
  <si>
    <t>2～8</t>
  </si>
  <si>
    <t>悪石島北東岸畝神</t>
    <rPh sb="0" eb="1">
      <t>アク</t>
    </rPh>
    <rPh sb="1" eb="2">
      <t>セキ</t>
    </rPh>
    <rPh sb="2" eb="3">
      <t>ジマ</t>
    </rPh>
    <rPh sb="3" eb="5">
      <t>ホクトウ</t>
    </rPh>
    <rPh sb="5" eb="6">
      <t>ガン</t>
    </rPh>
    <rPh sb="6" eb="7">
      <t>ホ</t>
    </rPh>
    <rPh sb="7" eb="8">
      <t>ガミ</t>
    </rPh>
    <phoneticPr fontId="4"/>
  </si>
  <si>
    <t>岩礁・巨大転石</t>
    <rPh sb="0" eb="2">
      <t>ガンショウ</t>
    </rPh>
    <rPh sb="3" eb="5">
      <t>キョダイ</t>
    </rPh>
    <rPh sb="5" eb="6">
      <t>テン</t>
    </rPh>
    <rPh sb="6" eb="7">
      <t>セキ</t>
    </rPh>
    <phoneticPr fontId="6"/>
  </si>
  <si>
    <t>3～7</t>
  </si>
  <si>
    <t>悪石島東岸女神山岬下</t>
    <rPh sb="0" eb="1">
      <t>アク</t>
    </rPh>
    <rPh sb="1" eb="2">
      <t>セキ</t>
    </rPh>
    <rPh sb="2" eb="3">
      <t>ジマ</t>
    </rPh>
    <rPh sb="3" eb="5">
      <t>トウガン</t>
    </rPh>
    <rPh sb="5" eb="7">
      <t>メガミ</t>
    </rPh>
    <rPh sb="7" eb="8">
      <t>ヤマ</t>
    </rPh>
    <rPh sb="8" eb="9">
      <t>ミサキ</t>
    </rPh>
    <rPh sb="9" eb="10">
      <t>シタ</t>
    </rPh>
    <phoneticPr fontId="4"/>
  </si>
  <si>
    <t>4～7</t>
  </si>
  <si>
    <t>諏訪之瀬島南東岸</t>
    <rPh sb="0" eb="2">
      <t>スワ</t>
    </rPh>
    <rPh sb="2" eb="3">
      <t>ノ</t>
    </rPh>
    <rPh sb="3" eb="4">
      <t>セ</t>
    </rPh>
    <rPh sb="4" eb="5">
      <t>ジマ</t>
    </rPh>
    <rPh sb="5" eb="7">
      <t>ナントウ</t>
    </rPh>
    <rPh sb="7" eb="8">
      <t>ガン</t>
    </rPh>
    <phoneticPr fontId="4"/>
  </si>
  <si>
    <t>沿岸</t>
    <rPh sb="0" eb="2">
      <t>エンガン</t>
    </rPh>
    <phoneticPr fontId="4"/>
  </si>
  <si>
    <t>巨大転石・火山灰</t>
    <rPh sb="0" eb="2">
      <t>キョダイ</t>
    </rPh>
    <rPh sb="2" eb="3">
      <t>テン</t>
    </rPh>
    <rPh sb="3" eb="4">
      <t>セキ</t>
    </rPh>
    <rPh sb="5" eb="8">
      <t>カザンバイ</t>
    </rPh>
    <phoneticPr fontId="4"/>
  </si>
  <si>
    <t>諏訪之瀬島港桟橋南</t>
    <rPh sb="0" eb="2">
      <t>スワ</t>
    </rPh>
    <rPh sb="2" eb="3">
      <t>ノ</t>
    </rPh>
    <rPh sb="3" eb="4">
      <t>セ</t>
    </rPh>
    <rPh sb="4" eb="5">
      <t>ジマ</t>
    </rPh>
    <rPh sb="5" eb="6">
      <t>ミナト</t>
    </rPh>
    <rPh sb="6" eb="8">
      <t>サンバシ</t>
    </rPh>
    <rPh sb="8" eb="9">
      <t>ミナミ</t>
    </rPh>
    <phoneticPr fontId="4"/>
  </si>
  <si>
    <t>礁斜面</t>
    <rPh sb="0" eb="1">
      <t>ショウ</t>
    </rPh>
    <rPh sb="1" eb="3">
      <t>シャメン</t>
    </rPh>
    <phoneticPr fontId="4"/>
  </si>
  <si>
    <t>2～5</t>
  </si>
  <si>
    <t>中之島ジンニョム岳下</t>
    <rPh sb="0" eb="1">
      <t>ナカ</t>
    </rPh>
    <rPh sb="1" eb="2">
      <t>ノ</t>
    </rPh>
    <rPh sb="2" eb="3">
      <t>シマ</t>
    </rPh>
    <rPh sb="8" eb="9">
      <t>タケ</t>
    </rPh>
    <rPh sb="9" eb="10">
      <t>シタ</t>
    </rPh>
    <phoneticPr fontId="4"/>
  </si>
  <si>
    <t>岩礁</t>
    <rPh sb="0" eb="2">
      <t>ガンショウ</t>
    </rPh>
    <phoneticPr fontId="6"/>
  </si>
  <si>
    <t>2～7</t>
  </si>
  <si>
    <t>小宝島赤立神東</t>
    <rPh sb="0" eb="1">
      <t>コ</t>
    </rPh>
    <rPh sb="1" eb="3">
      <t>タカラジマ</t>
    </rPh>
    <rPh sb="3" eb="4">
      <t>アカ</t>
    </rPh>
    <rPh sb="4" eb="5">
      <t>タ</t>
    </rPh>
    <rPh sb="5" eb="6">
      <t>カミ</t>
    </rPh>
    <rPh sb="6" eb="7">
      <t>ヒガシ</t>
    </rPh>
    <phoneticPr fontId="6"/>
  </si>
  <si>
    <t>礁斜面・転石</t>
    <rPh sb="0" eb="1">
      <t>ショウ</t>
    </rPh>
    <rPh sb="1" eb="3">
      <t>シャメン</t>
    </rPh>
    <rPh sb="4" eb="5">
      <t>テン</t>
    </rPh>
    <rPh sb="5" eb="6">
      <t>セキ</t>
    </rPh>
    <phoneticPr fontId="13"/>
  </si>
  <si>
    <t>宝島前籠港西</t>
    <rPh sb="0" eb="2">
      <t>タカラジマ</t>
    </rPh>
    <rPh sb="2" eb="3">
      <t>マエ</t>
    </rPh>
    <rPh sb="3" eb="4">
      <t>コモ</t>
    </rPh>
    <rPh sb="4" eb="5">
      <t>ミナト</t>
    </rPh>
    <rPh sb="5" eb="6">
      <t>ニシ</t>
    </rPh>
    <phoneticPr fontId="6"/>
  </si>
  <si>
    <t>小宝島港南</t>
    <rPh sb="0" eb="1">
      <t>コ</t>
    </rPh>
    <rPh sb="1" eb="3">
      <t>タカラジマ</t>
    </rPh>
    <rPh sb="3" eb="4">
      <t>ミナト</t>
    </rPh>
    <rPh sb="4" eb="5">
      <t>ミナミ</t>
    </rPh>
    <phoneticPr fontId="6"/>
  </si>
  <si>
    <t>小宝島横瀬海岸東</t>
    <rPh sb="0" eb="1">
      <t>コ</t>
    </rPh>
    <rPh sb="1" eb="3">
      <t>タカラジマ</t>
    </rPh>
    <rPh sb="3" eb="5">
      <t>ヨコセ</t>
    </rPh>
    <rPh sb="5" eb="7">
      <t>カイガン</t>
    </rPh>
    <rPh sb="7" eb="8">
      <t>ヒガシ</t>
    </rPh>
    <phoneticPr fontId="6"/>
  </si>
  <si>
    <t>小宝島横瀬海岸西</t>
    <rPh sb="0" eb="1">
      <t>コ</t>
    </rPh>
    <rPh sb="1" eb="3">
      <t>タカラジマ</t>
    </rPh>
    <rPh sb="3" eb="5">
      <t>ヨコセ</t>
    </rPh>
    <rPh sb="5" eb="7">
      <t>カイガン</t>
    </rPh>
    <rPh sb="7" eb="8">
      <t>ニシ</t>
    </rPh>
    <phoneticPr fontId="6"/>
  </si>
  <si>
    <t>悪石島東浜</t>
    <rPh sb="0" eb="1">
      <t>アク</t>
    </rPh>
    <rPh sb="1" eb="2">
      <t>セキ</t>
    </rPh>
    <rPh sb="2" eb="3">
      <t>ジマ</t>
    </rPh>
    <rPh sb="3" eb="5">
      <t>ヒガシハマ</t>
    </rPh>
    <phoneticPr fontId="6"/>
  </si>
  <si>
    <t>3～8</t>
  </si>
  <si>
    <t>中之島荷積</t>
    <rPh sb="0" eb="1">
      <t>ナカ</t>
    </rPh>
    <rPh sb="1" eb="2">
      <t>ノ</t>
    </rPh>
    <rPh sb="2" eb="3">
      <t>シマ</t>
    </rPh>
    <rPh sb="3" eb="4">
      <t>ニ</t>
    </rPh>
    <rPh sb="4" eb="5">
      <t>ツ</t>
    </rPh>
    <phoneticPr fontId="6"/>
  </si>
  <si>
    <t>小規模で浅い湾</t>
    <rPh sb="0" eb="3">
      <t>ショウキボ</t>
    </rPh>
    <rPh sb="4" eb="5">
      <t>アサ</t>
    </rPh>
    <rPh sb="6" eb="7">
      <t>ワン</t>
    </rPh>
    <phoneticPr fontId="6"/>
  </si>
  <si>
    <t>岩盤・礫</t>
    <rPh sb="0" eb="2">
      <t>ガンバン</t>
    </rPh>
    <rPh sb="3" eb="4">
      <t>レキ</t>
    </rPh>
    <phoneticPr fontId="6"/>
  </si>
  <si>
    <t>中之島相原</t>
    <rPh sb="0" eb="1">
      <t>ナカ</t>
    </rPh>
    <rPh sb="1" eb="2">
      <t>ノ</t>
    </rPh>
    <rPh sb="2" eb="3">
      <t>シマ</t>
    </rPh>
    <rPh sb="3" eb="5">
      <t>アイハラ</t>
    </rPh>
    <phoneticPr fontId="6"/>
  </si>
  <si>
    <t>1～7</t>
  </si>
  <si>
    <t>上ノ根島北</t>
    <rPh sb="0" eb="1">
      <t>カミ</t>
    </rPh>
    <rPh sb="2" eb="3">
      <t>ネ</t>
    </rPh>
    <rPh sb="3" eb="4">
      <t>ジマ</t>
    </rPh>
    <rPh sb="4" eb="5">
      <t>キタ</t>
    </rPh>
    <phoneticPr fontId="6"/>
  </si>
  <si>
    <t>岩礁</t>
    <rPh sb="0" eb="2">
      <t>ガンショウ</t>
    </rPh>
    <phoneticPr fontId="13"/>
  </si>
  <si>
    <t>7～10</t>
  </si>
  <si>
    <t>横当島北入り江</t>
    <rPh sb="0" eb="1">
      <t>ヨコ</t>
    </rPh>
    <rPh sb="1" eb="2">
      <t>ア</t>
    </rPh>
    <rPh sb="2" eb="3">
      <t>ジマ</t>
    </rPh>
    <rPh sb="3" eb="4">
      <t>キタ</t>
    </rPh>
    <rPh sb="4" eb="5">
      <t>イ</t>
    </rPh>
    <rPh sb="6" eb="7">
      <t>エ</t>
    </rPh>
    <phoneticPr fontId="6"/>
  </si>
  <si>
    <t>転石</t>
    <rPh sb="0" eb="1">
      <t>テン</t>
    </rPh>
    <rPh sb="1" eb="2">
      <t>セキ</t>
    </rPh>
    <phoneticPr fontId="13"/>
  </si>
  <si>
    <t>大間泊港前航路口</t>
  </si>
  <si>
    <t>岩盤</t>
    <rPh sb="0" eb="2">
      <t>ガンバン</t>
    </rPh>
    <phoneticPr fontId="3"/>
  </si>
  <si>
    <t>悪石島風下</t>
  </si>
  <si>
    <t>岩礁</t>
    <rPh sb="0" eb="2">
      <t>ガンショウ</t>
    </rPh>
    <phoneticPr fontId="3"/>
  </si>
  <si>
    <t>奄美群島</t>
    <rPh sb="0" eb="2">
      <t>アマミ</t>
    </rPh>
    <rPh sb="2" eb="4">
      <t>グントウ</t>
    </rPh>
    <phoneticPr fontId="3"/>
  </si>
  <si>
    <t>瀬戸内周辺（大島）</t>
    <rPh sb="0" eb="3">
      <t>セトウチ</t>
    </rPh>
    <rPh sb="3" eb="5">
      <t>シュウヘン</t>
    </rPh>
    <rPh sb="6" eb="8">
      <t>オオシマ</t>
    </rPh>
    <phoneticPr fontId="3"/>
  </si>
  <si>
    <t>鹿児島県</t>
    <rPh sb="0" eb="4">
      <t>カゴシマケン</t>
    </rPh>
    <phoneticPr fontId="4"/>
  </si>
  <si>
    <t>赤木名立神</t>
    <rPh sb="0" eb="1">
      <t>アカキ</t>
    </rPh>
    <rPh sb="1" eb="2">
      <t>キ</t>
    </rPh>
    <rPh sb="2" eb="3">
      <t>ナ</t>
    </rPh>
    <rPh sb="3" eb="4">
      <t>タ</t>
    </rPh>
    <rPh sb="4" eb="5">
      <t>カミ</t>
    </rPh>
    <phoneticPr fontId="4"/>
  </si>
  <si>
    <t>礁原</t>
  </si>
  <si>
    <t>サンゴ岩</t>
  </si>
  <si>
    <t>1～3</t>
  </si>
  <si>
    <t>節田</t>
    <rPh sb="0" eb="1">
      <t>セツ</t>
    </rPh>
    <rPh sb="1" eb="2">
      <t>タ</t>
    </rPh>
    <phoneticPr fontId="4"/>
  </si>
  <si>
    <t>礁池</t>
  </si>
  <si>
    <t>砂／礫</t>
  </si>
  <si>
    <t>神の子</t>
    <rPh sb="0" eb="1">
      <t>カミ</t>
    </rPh>
    <rPh sb="2" eb="3">
      <t>コ</t>
    </rPh>
    <phoneticPr fontId="3"/>
  </si>
  <si>
    <t>1～2</t>
  </si>
  <si>
    <t>久場</t>
    <rPh sb="0" eb="1">
      <t>ヒサ</t>
    </rPh>
    <rPh sb="1" eb="2">
      <t>バ</t>
    </rPh>
    <phoneticPr fontId="3"/>
  </si>
  <si>
    <t>内湾</t>
  </si>
  <si>
    <t>泥</t>
  </si>
  <si>
    <t>安木屋場</t>
    <rPh sb="0" eb="1">
      <t>アン</t>
    </rPh>
    <rPh sb="1" eb="2">
      <t>キ</t>
    </rPh>
    <rPh sb="2" eb="3">
      <t>ヤ</t>
    </rPh>
    <rPh sb="3" eb="4">
      <t>バ</t>
    </rPh>
    <phoneticPr fontId="3"/>
  </si>
  <si>
    <t>崎原東</t>
    <rPh sb="0" eb="2">
      <t>サキバル</t>
    </rPh>
    <rPh sb="2" eb="3">
      <t>ヒガシ</t>
    </rPh>
    <phoneticPr fontId="3"/>
  </si>
  <si>
    <t>離礁</t>
  </si>
  <si>
    <t>やや内湾</t>
  </si>
  <si>
    <t>摺子崎</t>
    <rPh sb="0" eb="1">
      <t>スリ</t>
    </rPh>
    <rPh sb="1" eb="2">
      <t>コ</t>
    </rPh>
    <rPh sb="2" eb="3">
      <t>サキ</t>
    </rPh>
    <phoneticPr fontId="3"/>
  </si>
  <si>
    <t>大浜</t>
    <rPh sb="0" eb="2">
      <t>オオハマ</t>
    </rPh>
    <phoneticPr fontId="3"/>
  </si>
  <si>
    <t>徳浜</t>
    <rPh sb="0" eb="2">
      <t>トクハマ</t>
    </rPh>
    <phoneticPr fontId="3"/>
  </si>
  <si>
    <t>和瀬</t>
    <rPh sb="0" eb="1">
      <t>ワ</t>
    </rPh>
    <rPh sb="1" eb="2">
      <t>セ</t>
    </rPh>
    <phoneticPr fontId="3"/>
  </si>
  <si>
    <t>実久</t>
    <rPh sb="0" eb="1">
      <t>ジツ</t>
    </rPh>
    <rPh sb="1" eb="2">
      <t>ヒサ</t>
    </rPh>
    <phoneticPr fontId="3"/>
  </si>
  <si>
    <t>デリキョンマ崎</t>
    <rPh sb="6" eb="7">
      <t>サキ</t>
    </rPh>
    <phoneticPr fontId="3"/>
  </si>
  <si>
    <t>手安</t>
    <rPh sb="0" eb="2">
      <t>テアン</t>
    </rPh>
    <phoneticPr fontId="3"/>
  </si>
  <si>
    <t>砂</t>
  </si>
  <si>
    <t>安脚場</t>
    <rPh sb="0" eb="1">
      <t>アン</t>
    </rPh>
    <rPh sb="1" eb="2">
      <t>キャク</t>
    </rPh>
    <rPh sb="2" eb="3">
      <t>バ</t>
    </rPh>
    <phoneticPr fontId="3"/>
  </si>
  <si>
    <t>5～8</t>
  </si>
  <si>
    <t>沖縄島東岸</t>
    <rPh sb="0" eb="3">
      <t>オキナワジマ</t>
    </rPh>
    <rPh sb="3" eb="5">
      <t>ヒガシガン</t>
    </rPh>
    <phoneticPr fontId="3"/>
  </si>
  <si>
    <t>東村～奥</t>
    <rPh sb="0" eb="2">
      <t>ヒガシソン</t>
    </rPh>
    <rPh sb="3" eb="4">
      <t>オク</t>
    </rPh>
    <phoneticPr fontId="4"/>
  </si>
  <si>
    <t>沖縄県</t>
    <rPh sb="0" eb="3">
      <t>オキナワケン</t>
    </rPh>
    <phoneticPr fontId="3"/>
  </si>
  <si>
    <t>岩</t>
  </si>
  <si>
    <t>1～17</t>
  </si>
  <si>
    <t>砂・岩・礫</t>
  </si>
  <si>
    <t>0～2</t>
  </si>
  <si>
    <t>岩・礫・砂</t>
  </si>
  <si>
    <t>岩・砂</t>
  </si>
  <si>
    <t>1～9</t>
  </si>
  <si>
    <t>久高島エラブ岩東</t>
    <rPh sb="0" eb="1">
      <t>ク</t>
    </rPh>
    <rPh sb="1" eb="2">
      <t>ダカ</t>
    </rPh>
    <rPh sb="2" eb="3">
      <t>ジマ</t>
    </rPh>
    <rPh sb="6" eb="7">
      <t>イワ</t>
    </rPh>
    <rPh sb="7" eb="8">
      <t>ヒガシ</t>
    </rPh>
    <phoneticPr fontId="3"/>
  </si>
  <si>
    <t>ウガン岩南</t>
    <rPh sb="3" eb="4">
      <t>イワ</t>
    </rPh>
    <rPh sb="4" eb="5">
      <t>ミナミ</t>
    </rPh>
    <phoneticPr fontId="3"/>
  </si>
  <si>
    <t>津堅島アギハマ東</t>
    <rPh sb="0" eb="1">
      <t>ツ</t>
    </rPh>
    <rPh sb="1" eb="2">
      <t>ケン</t>
    </rPh>
    <rPh sb="2" eb="3">
      <t>ジマ</t>
    </rPh>
    <rPh sb="7" eb="8">
      <t>ヒガシ</t>
    </rPh>
    <phoneticPr fontId="3"/>
  </si>
  <si>
    <t>1～13</t>
  </si>
  <si>
    <t>ギノギ岩北東</t>
    <rPh sb="3" eb="4">
      <t>イワ</t>
    </rPh>
    <rPh sb="4" eb="6">
      <t>ホクトウ</t>
    </rPh>
    <phoneticPr fontId="3"/>
  </si>
  <si>
    <t>127'</t>
  </si>
  <si>
    <t>礁斜面</t>
  </si>
  <si>
    <t>岩</t>
    <rPh sb="0" eb="1">
      <t>イワ</t>
    </rPh>
    <phoneticPr fontId="3"/>
  </si>
  <si>
    <t>砂</t>
    <rPh sb="0" eb="1">
      <t>スナ</t>
    </rPh>
    <phoneticPr fontId="3"/>
  </si>
  <si>
    <t>伊計島東礁池</t>
    <rPh sb="0" eb="2">
      <t>イケイ</t>
    </rPh>
    <rPh sb="2" eb="3">
      <t>ジマ</t>
    </rPh>
    <rPh sb="3" eb="4">
      <t>ヒガシ</t>
    </rPh>
    <rPh sb="4" eb="6">
      <t>ショウチ</t>
    </rPh>
    <phoneticPr fontId="3"/>
  </si>
  <si>
    <t>岩・砂・礫</t>
  </si>
  <si>
    <t>伊計島東礁斜面</t>
    <rPh sb="0" eb="2">
      <t>イケイ</t>
    </rPh>
    <rPh sb="2" eb="3">
      <t>ジマ</t>
    </rPh>
    <rPh sb="3" eb="4">
      <t>ヒガシ</t>
    </rPh>
    <rPh sb="4" eb="7">
      <t>ショウシャメン</t>
    </rPh>
    <phoneticPr fontId="3"/>
  </si>
  <si>
    <t>1～11</t>
  </si>
  <si>
    <t>岩・礫</t>
  </si>
  <si>
    <t>東村宮城ウンシ南</t>
    <rPh sb="0" eb="2">
      <t>ヒガシソン</t>
    </rPh>
    <rPh sb="7" eb="8">
      <t>ミナミ</t>
    </rPh>
    <phoneticPr fontId="3"/>
  </si>
  <si>
    <t>揚水発電所南東</t>
    <rPh sb="0" eb="1">
      <t>アゲ</t>
    </rPh>
    <phoneticPr fontId="3"/>
  </si>
  <si>
    <t>慶佐次ウッパマ東礁斜面</t>
    <rPh sb="8" eb="9">
      <t>ショウ</t>
    </rPh>
    <rPh sb="9" eb="11">
      <t>シャメン</t>
    </rPh>
    <phoneticPr fontId="3"/>
  </si>
  <si>
    <t>泡瀬ﾋﾒﾏﾂﾐﾄﾞﾘｲｼ礁池</t>
    <rPh sb="0" eb="1">
      <t>アワ</t>
    </rPh>
    <rPh sb="1" eb="2">
      <t>セ</t>
    </rPh>
    <rPh sb="12" eb="13">
      <t>イケ</t>
    </rPh>
    <phoneticPr fontId="13"/>
  </si>
  <si>
    <t>礁池</t>
    <rPh sb="0" eb="1">
      <t>ショウ</t>
    </rPh>
    <rPh sb="1" eb="2">
      <t>チ</t>
    </rPh>
    <phoneticPr fontId="13"/>
  </si>
  <si>
    <t>砂・礫</t>
  </si>
  <si>
    <t>200×100</t>
  </si>
  <si>
    <t>泡瀬ﾋﾒﾏﾂﾐﾄﾞﾘｲｼ礁斜面</t>
    <rPh sb="0" eb="1">
      <t>アワ</t>
    </rPh>
    <rPh sb="1" eb="2">
      <t>セ</t>
    </rPh>
    <rPh sb="12" eb="15">
      <t>ショウシャメン</t>
    </rPh>
    <phoneticPr fontId="13"/>
  </si>
  <si>
    <t>大浦ﾊﾏｻﾝｺﾞ</t>
    <rPh sb="0" eb="2">
      <t>オオウラ</t>
    </rPh>
    <phoneticPr fontId="13"/>
  </si>
  <si>
    <t>200x100</t>
  </si>
  <si>
    <t>具志川城跡南</t>
    <rPh sb="0" eb="3">
      <t>グシカワ</t>
    </rPh>
    <rPh sb="3" eb="5">
      <t>ジョウセキ</t>
    </rPh>
    <rPh sb="5" eb="6">
      <t>ミナミ</t>
    </rPh>
    <phoneticPr fontId="13"/>
  </si>
  <si>
    <t>米須</t>
    <rPh sb="0" eb="2">
      <t>コメス</t>
    </rPh>
    <phoneticPr fontId="13"/>
  </si>
  <si>
    <t>波名城礁池</t>
    <rPh sb="0" eb="1">
      <t>ハ</t>
    </rPh>
    <rPh sb="1" eb="2">
      <t>ナ</t>
    </rPh>
    <rPh sb="2" eb="3">
      <t>シロ</t>
    </rPh>
    <rPh sb="3" eb="4">
      <t>ショウ</t>
    </rPh>
    <rPh sb="4" eb="5">
      <t>イケ</t>
    </rPh>
    <phoneticPr fontId="13"/>
  </si>
  <si>
    <t>波名城礁斜面</t>
    <rPh sb="0" eb="1">
      <t>ハ</t>
    </rPh>
    <rPh sb="1" eb="2">
      <t>ナ</t>
    </rPh>
    <rPh sb="2" eb="3">
      <t>シロ</t>
    </rPh>
    <rPh sb="3" eb="4">
      <t>ショウ</t>
    </rPh>
    <rPh sb="4" eb="6">
      <t>シャメン</t>
    </rPh>
    <phoneticPr fontId="13"/>
  </si>
  <si>
    <t>具志頭</t>
    <rPh sb="0" eb="3">
      <t>グシチャン</t>
    </rPh>
    <phoneticPr fontId="13"/>
  </si>
  <si>
    <t>大浦ﾁﾘﾋﾞｼ</t>
    <rPh sb="0" eb="2">
      <t>オオウラ</t>
    </rPh>
    <phoneticPr fontId="13"/>
  </si>
  <si>
    <t>沖縄島東岸</t>
    <rPh sb="0" eb="3">
      <t>オキナワジマ</t>
    </rPh>
    <rPh sb="3" eb="5">
      <t>ヒガシガン</t>
    </rPh>
    <phoneticPr fontId="6"/>
  </si>
  <si>
    <t>東村～奥</t>
    <rPh sb="0" eb="2">
      <t>ヒガシソン</t>
    </rPh>
    <rPh sb="3" eb="4">
      <t>オク</t>
    </rPh>
    <phoneticPr fontId="8"/>
  </si>
  <si>
    <t>沖縄県</t>
    <rPh sb="0" eb="3">
      <t>オキナワケン</t>
    </rPh>
    <phoneticPr fontId="6"/>
  </si>
  <si>
    <t>大度海岸西礁池</t>
    <rPh sb="0" eb="2">
      <t>オオド</t>
    </rPh>
    <rPh sb="2" eb="4">
      <t>カイガン</t>
    </rPh>
    <rPh sb="4" eb="5">
      <t>ニシ</t>
    </rPh>
    <rPh sb="5" eb="7">
      <t>ショウチ</t>
    </rPh>
    <phoneticPr fontId="6"/>
  </si>
  <si>
    <t>礁池</t>
    <rPh sb="0" eb="1">
      <t>ショウ</t>
    </rPh>
    <rPh sb="1" eb="2">
      <t>チ</t>
    </rPh>
    <phoneticPr fontId="6"/>
  </si>
  <si>
    <t>宇佐浜東礁斜面</t>
  </si>
  <si>
    <t>浮原北東ヨコビシ東</t>
    <rPh sb="0" eb="1">
      <t>ウキ</t>
    </rPh>
    <rPh sb="1" eb="2">
      <t>ハラ</t>
    </rPh>
    <rPh sb="2" eb="4">
      <t>ホクトウ</t>
    </rPh>
    <rPh sb="8" eb="9">
      <t>ヒガシ</t>
    </rPh>
    <phoneticPr fontId="3"/>
  </si>
  <si>
    <t>沖縄島西岸</t>
    <rPh sb="0" eb="2">
      <t>オキナワ</t>
    </rPh>
    <rPh sb="2" eb="3">
      <t>ジマ</t>
    </rPh>
    <rPh sb="3" eb="5">
      <t>セイガン</t>
    </rPh>
    <phoneticPr fontId="3"/>
  </si>
  <si>
    <t>恩納村～残波岬</t>
    <rPh sb="0" eb="3">
      <t>オンナソン</t>
    </rPh>
    <rPh sb="4" eb="5">
      <t>ザン</t>
    </rPh>
    <rPh sb="5" eb="6">
      <t>ナミ</t>
    </rPh>
    <rPh sb="6" eb="7">
      <t>ミサキ</t>
    </rPh>
    <phoneticPr fontId="4"/>
  </si>
  <si>
    <t>喜屋武漁港西</t>
    <rPh sb="0" eb="3">
      <t>キャン</t>
    </rPh>
    <rPh sb="3" eb="5">
      <t>ギョコウ</t>
    </rPh>
    <rPh sb="5" eb="6">
      <t>ニシ</t>
    </rPh>
    <phoneticPr fontId="3"/>
  </si>
  <si>
    <t>那覇空港北儀間の瀬礁池</t>
    <rPh sb="0" eb="2">
      <t>ナハ</t>
    </rPh>
    <rPh sb="2" eb="4">
      <t>クウコウ</t>
    </rPh>
    <rPh sb="4" eb="5">
      <t>キタ</t>
    </rPh>
    <rPh sb="5" eb="7">
      <t>ギマ</t>
    </rPh>
    <rPh sb="8" eb="9">
      <t>セ</t>
    </rPh>
    <rPh sb="9" eb="11">
      <t>ショウチ</t>
    </rPh>
    <phoneticPr fontId="3"/>
  </si>
  <si>
    <t>礫・岩</t>
    <rPh sb="0" eb="1">
      <t>レキ</t>
    </rPh>
    <phoneticPr fontId="13"/>
  </si>
  <si>
    <t>那覇空港北儀間の瀬北礁斜面</t>
    <rPh sb="0" eb="2">
      <t>ナハ</t>
    </rPh>
    <rPh sb="2" eb="4">
      <t>クウコウ</t>
    </rPh>
    <rPh sb="4" eb="5">
      <t>キタ</t>
    </rPh>
    <rPh sb="5" eb="7">
      <t>ギマ</t>
    </rPh>
    <rPh sb="8" eb="9">
      <t>セ</t>
    </rPh>
    <rPh sb="9" eb="10">
      <t>キタ</t>
    </rPh>
    <rPh sb="10" eb="13">
      <t>ショウシャメン</t>
    </rPh>
    <phoneticPr fontId="3"/>
  </si>
  <si>
    <t>チービシクエフ南*</t>
    <rPh sb="7" eb="8">
      <t>ミナミ</t>
    </rPh>
    <phoneticPr fontId="3"/>
  </si>
  <si>
    <t>チービシ神山南</t>
    <rPh sb="4" eb="6">
      <t>カミヤマ</t>
    </rPh>
    <rPh sb="6" eb="7">
      <t>ミナミ</t>
    </rPh>
    <phoneticPr fontId="3"/>
  </si>
  <si>
    <t>チービシナガンヌ南</t>
    <rPh sb="8" eb="9">
      <t>ミナミ</t>
    </rPh>
    <phoneticPr fontId="3"/>
  </si>
  <si>
    <t>チービシナガンヌ西</t>
    <rPh sb="8" eb="9">
      <t>ニシ</t>
    </rPh>
    <phoneticPr fontId="3"/>
  </si>
  <si>
    <t>チービシナガンヌ北</t>
    <rPh sb="8" eb="9">
      <t>キタ</t>
    </rPh>
    <phoneticPr fontId="3"/>
  </si>
  <si>
    <t>空寿崎西座礁船</t>
    <rPh sb="0" eb="1">
      <t>ソラ</t>
    </rPh>
    <rPh sb="1" eb="3">
      <t>スザキ</t>
    </rPh>
    <rPh sb="3" eb="4">
      <t>ニシ</t>
    </rPh>
    <rPh sb="4" eb="6">
      <t>ザショウ</t>
    </rPh>
    <rPh sb="6" eb="7">
      <t>セン</t>
    </rPh>
    <phoneticPr fontId="3"/>
  </si>
  <si>
    <t>伊佐西</t>
    <rPh sb="0" eb="2">
      <t>イサ</t>
    </rPh>
    <rPh sb="2" eb="3">
      <t>ニシ</t>
    </rPh>
    <phoneticPr fontId="3"/>
  </si>
  <si>
    <t>北谷町宮城海岸</t>
    <rPh sb="0" eb="1">
      <t>キタ</t>
    </rPh>
    <rPh sb="1" eb="3">
      <t>タニマチ</t>
    </rPh>
    <rPh sb="3" eb="5">
      <t>ミヤギ</t>
    </rPh>
    <rPh sb="5" eb="7">
      <t>カイガン</t>
    </rPh>
    <phoneticPr fontId="3"/>
  </si>
  <si>
    <t>残波岬西礁池</t>
    <rPh sb="0" eb="1">
      <t>ザン</t>
    </rPh>
    <rPh sb="1" eb="2">
      <t>ナミ</t>
    </rPh>
    <rPh sb="2" eb="3">
      <t>ミサキ</t>
    </rPh>
    <rPh sb="3" eb="4">
      <t>ニシ</t>
    </rPh>
    <rPh sb="4" eb="5">
      <t>ショウ</t>
    </rPh>
    <rPh sb="5" eb="6">
      <t>チ</t>
    </rPh>
    <phoneticPr fontId="3"/>
  </si>
  <si>
    <t>0～3</t>
  </si>
  <si>
    <t>残波岬西礁斜面</t>
    <rPh sb="0" eb="1">
      <t>ザン</t>
    </rPh>
    <rPh sb="1" eb="2">
      <t>ナミ</t>
    </rPh>
    <rPh sb="2" eb="3">
      <t>ミサキ</t>
    </rPh>
    <rPh sb="3" eb="4">
      <t>ニシ</t>
    </rPh>
    <rPh sb="4" eb="5">
      <t>ショウ</t>
    </rPh>
    <rPh sb="5" eb="7">
      <t>シャメン</t>
    </rPh>
    <phoneticPr fontId="3"/>
  </si>
  <si>
    <t>真栄田岬西礁斜面</t>
    <rPh sb="0" eb="3">
      <t>マエダ</t>
    </rPh>
    <rPh sb="3" eb="4">
      <t>ミサキ</t>
    </rPh>
    <rPh sb="4" eb="5">
      <t>ニシ</t>
    </rPh>
    <rPh sb="5" eb="6">
      <t>ショウ</t>
    </rPh>
    <rPh sb="6" eb="8">
      <t>シャメン</t>
    </rPh>
    <phoneticPr fontId="3"/>
  </si>
  <si>
    <t>恩納村赤崎西礁池</t>
    <rPh sb="0" eb="3">
      <t>オンナソン</t>
    </rPh>
    <rPh sb="3" eb="5">
      <t>アカサキ</t>
    </rPh>
    <rPh sb="5" eb="6">
      <t>ニシ</t>
    </rPh>
    <rPh sb="6" eb="7">
      <t>ショウ</t>
    </rPh>
    <rPh sb="7" eb="8">
      <t>チ</t>
    </rPh>
    <phoneticPr fontId="3"/>
  </si>
  <si>
    <t>0～1</t>
  </si>
  <si>
    <t>恩納村赤崎西礁斜面</t>
    <rPh sb="0" eb="3">
      <t>オンナソン</t>
    </rPh>
    <rPh sb="3" eb="5">
      <t>アカサキ</t>
    </rPh>
    <rPh sb="5" eb="6">
      <t>ニシ</t>
    </rPh>
    <rPh sb="6" eb="7">
      <t>ショウ</t>
    </rPh>
    <rPh sb="7" eb="9">
      <t>シャメン</t>
    </rPh>
    <phoneticPr fontId="3"/>
  </si>
  <si>
    <t>安富祖北礁池</t>
    <rPh sb="0" eb="1">
      <t>ヤス</t>
    </rPh>
    <rPh sb="1" eb="2">
      <t>トミ</t>
    </rPh>
    <rPh sb="2" eb="3">
      <t>ソ</t>
    </rPh>
    <rPh sb="3" eb="4">
      <t>キタ</t>
    </rPh>
    <rPh sb="4" eb="5">
      <t>ショウ</t>
    </rPh>
    <rPh sb="5" eb="6">
      <t>チ</t>
    </rPh>
    <phoneticPr fontId="3"/>
  </si>
  <si>
    <t>部瀬名岬西</t>
    <rPh sb="0" eb="1">
      <t>ブ</t>
    </rPh>
    <rPh sb="1" eb="2">
      <t>セ</t>
    </rPh>
    <rPh sb="2" eb="3">
      <t>ナ</t>
    </rPh>
    <rPh sb="3" eb="4">
      <t>ミサキ</t>
    </rPh>
    <rPh sb="4" eb="5">
      <t>ニシ</t>
    </rPh>
    <phoneticPr fontId="3"/>
  </si>
  <si>
    <t>瀬底島南</t>
    <rPh sb="0" eb="1">
      <t>セ</t>
    </rPh>
    <rPh sb="1" eb="2">
      <t>ソコ</t>
    </rPh>
    <rPh sb="2" eb="3">
      <t>ジマ</t>
    </rPh>
    <rPh sb="3" eb="4">
      <t>ミナミ</t>
    </rPh>
    <phoneticPr fontId="3"/>
  </si>
  <si>
    <t>港原海洋センター西</t>
    <rPh sb="0" eb="1">
      <t>ミナト</t>
    </rPh>
    <rPh sb="1" eb="2">
      <t>ハラ</t>
    </rPh>
    <rPh sb="2" eb="4">
      <t>カイヨウ</t>
    </rPh>
    <rPh sb="8" eb="9">
      <t>ニシ</t>
    </rPh>
    <phoneticPr fontId="3"/>
  </si>
  <si>
    <t>離礁/礁斜面</t>
    <rPh sb="0" eb="1">
      <t>リ</t>
    </rPh>
    <rPh sb="1" eb="2">
      <t>ショウ</t>
    </rPh>
    <phoneticPr fontId="13"/>
  </si>
  <si>
    <t>水族館西</t>
    <rPh sb="0" eb="3">
      <t>スイゾクカン</t>
    </rPh>
    <rPh sb="3" eb="4">
      <t>ニシ</t>
    </rPh>
    <phoneticPr fontId="3"/>
  </si>
  <si>
    <t>備瀬崎東礁池</t>
    <rPh sb="0" eb="1">
      <t>ビ</t>
    </rPh>
    <rPh sb="1" eb="2">
      <t>セ</t>
    </rPh>
    <rPh sb="2" eb="3">
      <t>ザキ</t>
    </rPh>
    <rPh sb="3" eb="4">
      <t>ヒガシ</t>
    </rPh>
    <rPh sb="4" eb="5">
      <t>ショウ</t>
    </rPh>
    <rPh sb="5" eb="6">
      <t>チ</t>
    </rPh>
    <phoneticPr fontId="3"/>
  </si>
  <si>
    <t>備瀬崎東礁斜面</t>
    <rPh sb="0" eb="1">
      <t>ビ</t>
    </rPh>
    <rPh sb="1" eb="2">
      <t>セ</t>
    </rPh>
    <rPh sb="2" eb="3">
      <t>ザキ</t>
    </rPh>
    <rPh sb="3" eb="4">
      <t>ヒガシ</t>
    </rPh>
    <rPh sb="4" eb="5">
      <t>ショウ</t>
    </rPh>
    <rPh sb="5" eb="7">
      <t>シャメン</t>
    </rPh>
    <phoneticPr fontId="3"/>
  </si>
  <si>
    <t>礫・岩</t>
  </si>
  <si>
    <t>喜屋武漁港西トコマサリ礁*</t>
    <rPh sb="11" eb="12">
      <t>ショウ</t>
    </rPh>
    <phoneticPr fontId="13"/>
  </si>
  <si>
    <t>大嶺崎大瀬</t>
    <rPh sb="0" eb="2">
      <t>オオミネ</t>
    </rPh>
    <rPh sb="2" eb="3">
      <t>サキ</t>
    </rPh>
    <rPh sb="3" eb="5">
      <t>オオゼ</t>
    </rPh>
    <phoneticPr fontId="13"/>
  </si>
  <si>
    <t>岩</t>
    <rPh sb="0" eb="1">
      <t>イワ</t>
    </rPh>
    <phoneticPr fontId="13"/>
  </si>
  <si>
    <t>西洲礁池</t>
    <rPh sb="0" eb="1">
      <t>ニシ</t>
    </rPh>
    <rPh sb="1" eb="2">
      <t>ス</t>
    </rPh>
    <rPh sb="2" eb="3">
      <t>ショウ</t>
    </rPh>
    <rPh sb="3" eb="4">
      <t>チ</t>
    </rPh>
    <phoneticPr fontId="13"/>
  </si>
  <si>
    <t>西洲礁斜面</t>
    <rPh sb="0" eb="1">
      <t>ニシ</t>
    </rPh>
    <rPh sb="1" eb="2">
      <t>ス</t>
    </rPh>
    <rPh sb="2" eb="3">
      <t>ショウ</t>
    </rPh>
    <rPh sb="3" eb="5">
      <t>シャメン</t>
    </rPh>
    <phoneticPr fontId="13"/>
  </si>
  <si>
    <t>200ｘ100</t>
  </si>
  <si>
    <t>瀬底大橋北</t>
    <rPh sb="2" eb="4">
      <t>オオハシ</t>
    </rPh>
    <rPh sb="4" eb="5">
      <t>キタ</t>
    </rPh>
    <phoneticPr fontId="15"/>
  </si>
  <si>
    <t>干ノ瀬</t>
    <rPh sb="0" eb="1">
      <t>ホ</t>
    </rPh>
    <rPh sb="2" eb="3">
      <t>セ</t>
    </rPh>
    <phoneticPr fontId="13"/>
  </si>
  <si>
    <t>浅ノ瀬防波堤</t>
    <rPh sb="0" eb="1">
      <t>アサ</t>
    </rPh>
    <rPh sb="2" eb="3">
      <t>セ</t>
    </rPh>
    <rPh sb="3" eb="6">
      <t>ボウハテイ</t>
    </rPh>
    <phoneticPr fontId="13"/>
  </si>
  <si>
    <t>喜屋武岬西礁地</t>
    <rPh sb="0" eb="3">
      <t>キャン</t>
    </rPh>
    <rPh sb="3" eb="4">
      <t>ミサキ</t>
    </rPh>
    <rPh sb="4" eb="5">
      <t>ニシ</t>
    </rPh>
    <rPh sb="5" eb="7">
      <t>ショウチ</t>
    </rPh>
    <phoneticPr fontId="13"/>
  </si>
  <si>
    <t>礁地</t>
    <rPh sb="0" eb="2">
      <t>ショウチ</t>
    </rPh>
    <phoneticPr fontId="3"/>
  </si>
  <si>
    <t>岩・礫</t>
    <rPh sb="2" eb="3">
      <t>レキ</t>
    </rPh>
    <phoneticPr fontId="13"/>
  </si>
  <si>
    <t>喜屋武岬西礁斜面</t>
    <rPh sb="0" eb="3">
      <t>キャン</t>
    </rPh>
    <rPh sb="3" eb="4">
      <t>ミサキ</t>
    </rPh>
    <rPh sb="4" eb="5">
      <t>ニシ</t>
    </rPh>
    <rPh sb="5" eb="8">
      <t>ショウシャメン</t>
    </rPh>
    <phoneticPr fontId="13"/>
  </si>
  <si>
    <t>礁斜面</t>
    <rPh sb="0" eb="3">
      <t>ショウシャメン</t>
    </rPh>
    <phoneticPr fontId="3"/>
  </si>
  <si>
    <t>砂辺*</t>
    <rPh sb="0" eb="1">
      <t>スナ</t>
    </rPh>
    <rPh sb="1" eb="2">
      <t>ベ</t>
    </rPh>
    <phoneticPr fontId="3"/>
  </si>
  <si>
    <t>チービシ神山北</t>
    <rPh sb="4" eb="5">
      <t>カミ</t>
    </rPh>
    <rPh sb="5" eb="7">
      <t>ヤマキタ</t>
    </rPh>
    <phoneticPr fontId="3"/>
  </si>
  <si>
    <t>久良波*</t>
    <rPh sb="0" eb="2">
      <t>ヒサヨシ</t>
    </rPh>
    <rPh sb="2" eb="3">
      <t>ナミ</t>
    </rPh>
    <phoneticPr fontId="3"/>
  </si>
  <si>
    <t>沖縄島周辺離島</t>
    <rPh sb="0" eb="2">
      <t>オキナワ</t>
    </rPh>
    <rPh sb="2" eb="3">
      <t>トウ</t>
    </rPh>
    <rPh sb="3" eb="5">
      <t>シュウヘン</t>
    </rPh>
    <rPh sb="5" eb="7">
      <t>リトウ</t>
    </rPh>
    <phoneticPr fontId="3"/>
  </si>
  <si>
    <t>水納島・伊是名島・伊平屋島</t>
    <rPh sb="0" eb="1">
      <t>スイ</t>
    </rPh>
    <rPh sb="1" eb="3">
      <t>イリシマ</t>
    </rPh>
    <rPh sb="4" eb="7">
      <t>イゼナ</t>
    </rPh>
    <rPh sb="7" eb="8">
      <t>ジマ</t>
    </rPh>
    <rPh sb="9" eb="12">
      <t>イヘヤ</t>
    </rPh>
    <rPh sb="12" eb="13">
      <t>ジマ</t>
    </rPh>
    <phoneticPr fontId="4"/>
  </si>
  <si>
    <t>水納島東</t>
    <rPh sb="0" eb="1">
      <t>ミズ</t>
    </rPh>
    <rPh sb="1" eb="2">
      <t>ナ</t>
    </rPh>
    <rPh sb="2" eb="3">
      <t>シマ</t>
    </rPh>
    <rPh sb="3" eb="4">
      <t>ヒガシ</t>
    </rPh>
    <phoneticPr fontId="3"/>
  </si>
  <si>
    <t>沖縄島周辺離島</t>
    <rPh sb="0" eb="2">
      <t>オキナワ</t>
    </rPh>
    <rPh sb="2" eb="3">
      <t>ジマ</t>
    </rPh>
    <rPh sb="3" eb="5">
      <t>シュウヘン</t>
    </rPh>
    <rPh sb="5" eb="7">
      <t>リトウ</t>
    </rPh>
    <phoneticPr fontId="3"/>
  </si>
  <si>
    <t>ナカンシ東</t>
    <rPh sb="4" eb="5">
      <t>ヒガシ</t>
    </rPh>
    <phoneticPr fontId="3"/>
  </si>
  <si>
    <t>伊江島西</t>
    <rPh sb="0" eb="3">
      <t>イエジマ</t>
    </rPh>
    <rPh sb="3" eb="4">
      <t>ニシ</t>
    </rPh>
    <phoneticPr fontId="3"/>
  </si>
  <si>
    <t>伊江島イシャラ原東</t>
    <rPh sb="0" eb="3">
      <t>イエジマ</t>
    </rPh>
    <rPh sb="7" eb="8">
      <t>ハラ</t>
    </rPh>
    <rPh sb="8" eb="9">
      <t>ヒガシ</t>
    </rPh>
    <phoneticPr fontId="3"/>
  </si>
  <si>
    <t>伊江島湧出北</t>
    <rPh sb="0" eb="3">
      <t>イエジマ</t>
    </rPh>
    <rPh sb="3" eb="5">
      <t>ユウシュツ</t>
    </rPh>
    <rPh sb="5" eb="6">
      <t>キタ</t>
    </rPh>
    <phoneticPr fontId="3"/>
  </si>
  <si>
    <t>水納島北</t>
    <rPh sb="0" eb="1">
      <t>ミズ</t>
    </rPh>
    <rPh sb="1" eb="2">
      <t>ナ</t>
    </rPh>
    <rPh sb="2" eb="3">
      <t>シマ</t>
    </rPh>
    <rPh sb="3" eb="4">
      <t>キタ</t>
    </rPh>
    <phoneticPr fontId="13"/>
  </si>
  <si>
    <t>伊是名島内花橋北</t>
    <rPh sb="0" eb="4">
      <t>イゼナシマ</t>
    </rPh>
    <rPh sb="4" eb="7">
      <t>ウチバナハシ</t>
    </rPh>
    <rPh sb="7" eb="8">
      <t>キタ</t>
    </rPh>
    <phoneticPr fontId="13"/>
  </si>
  <si>
    <t>1-9</t>
  </si>
  <si>
    <t>伊是名島アギギタラ</t>
    <rPh sb="0" eb="4">
      <t>イゼナシマ</t>
    </rPh>
    <phoneticPr fontId="13"/>
  </si>
  <si>
    <t>1-11</t>
  </si>
  <si>
    <t>慶良間諸島</t>
    <rPh sb="0" eb="3">
      <t>ケラマ</t>
    </rPh>
    <rPh sb="3" eb="5">
      <t>ショトウ</t>
    </rPh>
    <phoneticPr fontId="3"/>
  </si>
  <si>
    <t>慶良間諸島中心海域（阿嘉島、座間味、渡嘉敷周辺）</t>
    <rPh sb="0" eb="3">
      <t>ケラマ</t>
    </rPh>
    <rPh sb="3" eb="5">
      <t>ショトウ</t>
    </rPh>
    <rPh sb="5" eb="7">
      <t>チュウシン</t>
    </rPh>
    <rPh sb="7" eb="9">
      <t>カイイキ</t>
    </rPh>
    <rPh sb="10" eb="13">
      <t>アカジマ</t>
    </rPh>
    <rPh sb="14" eb="17">
      <t>ザマミ</t>
    </rPh>
    <rPh sb="18" eb="21">
      <t>トカシキ</t>
    </rPh>
    <rPh sb="21" eb="23">
      <t>シュウヘン</t>
    </rPh>
    <phoneticPr fontId="4"/>
  </si>
  <si>
    <t>安室南</t>
    <rPh sb="0" eb="1">
      <t>アン</t>
    </rPh>
    <rPh sb="1" eb="2">
      <t>ムロ</t>
    </rPh>
    <rPh sb="2" eb="3">
      <t>ミナミ</t>
    </rPh>
    <phoneticPr fontId="3"/>
  </si>
  <si>
    <t>1.0～6.0</t>
  </si>
  <si>
    <t>座間味阿護の浦</t>
    <rPh sb="0" eb="3">
      <t>ザマミ</t>
    </rPh>
    <rPh sb="3" eb="4">
      <t>ア</t>
    </rPh>
    <rPh sb="4" eb="5">
      <t>ゴ</t>
    </rPh>
    <rPh sb="6" eb="7">
      <t>ウラ</t>
    </rPh>
    <phoneticPr fontId="3"/>
  </si>
  <si>
    <t>内湾
(離礁）</t>
  </si>
  <si>
    <t>砂：礫・岩(サンゴ）
＝7：3</t>
    <rPh sb="0" eb="1">
      <t>スナ</t>
    </rPh>
    <rPh sb="2" eb="3">
      <t>レキ</t>
    </rPh>
    <rPh sb="4" eb="5">
      <t>イワ</t>
    </rPh>
    <phoneticPr fontId="7"/>
  </si>
  <si>
    <t>100×100</t>
  </si>
  <si>
    <t>1.0～2.0</t>
  </si>
  <si>
    <t>座間味ニタ</t>
    <rPh sb="0" eb="3">
      <t>ザマミ</t>
    </rPh>
    <phoneticPr fontId="3"/>
  </si>
  <si>
    <t>サンゴ岩</t>
    <rPh sb="3" eb="4">
      <t>イワ</t>
    </rPh>
    <phoneticPr fontId="7"/>
  </si>
  <si>
    <t>1.0～7.0</t>
  </si>
  <si>
    <t>嘉比南</t>
    <rPh sb="0" eb="1">
      <t>カ</t>
    </rPh>
    <rPh sb="1" eb="2">
      <t>ヒ</t>
    </rPh>
    <rPh sb="2" eb="3">
      <t>ミナミ</t>
    </rPh>
    <phoneticPr fontId="3"/>
  </si>
  <si>
    <t>礁原</t>
    <rPh sb="0" eb="1">
      <t>ショウ</t>
    </rPh>
    <rPh sb="1" eb="2">
      <t>ゲン</t>
    </rPh>
    <phoneticPr fontId="5"/>
  </si>
  <si>
    <t>1.5～6.0</t>
  </si>
  <si>
    <t>阿嘉ニシハマ</t>
    <rPh sb="0" eb="2">
      <t>アカ</t>
    </rPh>
    <phoneticPr fontId="3"/>
  </si>
  <si>
    <t>礁原～
礁斜面</t>
  </si>
  <si>
    <t>サンゴ岩と礫：砂
＝8：2</t>
    <rPh sb="5" eb="6">
      <t>レキ</t>
    </rPh>
    <rPh sb="7" eb="8">
      <t>スナ</t>
    </rPh>
    <phoneticPr fontId="7"/>
  </si>
  <si>
    <t>1.0～5.0</t>
  </si>
  <si>
    <t>阿嘉クシバル</t>
    <rPh sb="0" eb="2">
      <t>アカ</t>
    </rPh>
    <phoneticPr fontId="3"/>
  </si>
  <si>
    <t>阿嘉アグ</t>
    <rPh sb="0" eb="2">
      <t>アカ</t>
    </rPh>
    <phoneticPr fontId="3"/>
  </si>
  <si>
    <t>阿嘉マエノハマ</t>
    <rPh sb="0" eb="2">
      <t>アカ</t>
    </rPh>
    <phoneticPr fontId="3"/>
  </si>
  <si>
    <t>岩：礫
＝7：3</t>
    <rPh sb="2" eb="3">
      <t>レキ</t>
    </rPh>
    <phoneticPr fontId="7"/>
  </si>
  <si>
    <t>1.0～4.0</t>
  </si>
  <si>
    <t>屋嘉比東</t>
    <rPh sb="0" eb="1">
      <t>ヤ</t>
    </rPh>
    <rPh sb="1" eb="2">
      <t>カ</t>
    </rPh>
    <rPh sb="2" eb="3">
      <t>ヒ</t>
    </rPh>
    <rPh sb="3" eb="4">
      <t>ヒガシ</t>
    </rPh>
    <phoneticPr fontId="3"/>
  </si>
  <si>
    <t>1.5～5.0</t>
  </si>
  <si>
    <t>久場北西</t>
    <rPh sb="0" eb="2">
      <t>クバ</t>
    </rPh>
    <rPh sb="2" eb="4">
      <t>ホクセイ</t>
    </rPh>
    <phoneticPr fontId="3"/>
  </si>
  <si>
    <t>渡嘉敷アリガー</t>
    <rPh sb="0" eb="3">
      <t>トカシキ</t>
    </rPh>
    <phoneticPr fontId="16"/>
  </si>
  <si>
    <t>2.0～8.0</t>
  </si>
  <si>
    <t>渡嘉敷アハレン</t>
    <rPh sb="0" eb="3">
      <t>トカシキ</t>
    </rPh>
    <phoneticPr fontId="16"/>
  </si>
  <si>
    <t>大東諸島</t>
    <rPh sb="0" eb="2">
      <t>ダイトウ</t>
    </rPh>
    <rPh sb="2" eb="4">
      <t>ショトウ</t>
    </rPh>
    <phoneticPr fontId="3"/>
  </si>
  <si>
    <t>本場階段前</t>
  </si>
  <si>
    <t>ﾔｷﾞ道(岸壁)前</t>
  </si>
  <si>
    <t>塩屋プール前</t>
  </si>
  <si>
    <t>塩屋のﾊﾅ</t>
  </si>
  <si>
    <t>ｱｶﾊﾞﾏ（銅浜）</t>
  </si>
  <si>
    <t>亀池港前</t>
  </si>
  <si>
    <t>海軍棒前</t>
  </si>
  <si>
    <t>ｱｶﾂｷﾎﾟｲﾝﾄ</t>
  </si>
  <si>
    <t>ｱｶﾂｷﾎﾟｲﾝﾄ（20m）</t>
  </si>
  <si>
    <t>北のﾊﾅ・東</t>
  </si>
  <si>
    <t>北のﾊﾅ・南</t>
  </si>
  <si>
    <t>北大東南端</t>
  </si>
  <si>
    <t>ﾆｲｹｲｶﾞﾏ（二階釜）</t>
  </si>
  <si>
    <t>真黒崎</t>
  </si>
  <si>
    <t>海軍棒前・深場</t>
    <rPh sb="0" eb="2">
      <t>カイグン</t>
    </rPh>
    <rPh sb="2" eb="3">
      <t>ボウ</t>
    </rPh>
    <rPh sb="3" eb="4">
      <t>マエ</t>
    </rPh>
    <rPh sb="5" eb="7">
      <t>フカバ</t>
    </rPh>
    <phoneticPr fontId="3"/>
  </si>
  <si>
    <t>ながやの下南側・浅瀬</t>
    <rPh sb="4" eb="5">
      <t>シタ</t>
    </rPh>
    <rPh sb="5" eb="7">
      <t>ミナミガワ</t>
    </rPh>
    <rPh sb="8" eb="10">
      <t>アサセ</t>
    </rPh>
    <phoneticPr fontId="3"/>
  </si>
  <si>
    <t>宮古島周辺</t>
    <rPh sb="0" eb="3">
      <t>ミヤコジマ</t>
    </rPh>
    <rPh sb="3" eb="5">
      <t>シュウヘン</t>
    </rPh>
    <phoneticPr fontId="3"/>
  </si>
  <si>
    <t>礁縁</t>
  </si>
  <si>
    <t>0+～1.5</t>
  </si>
  <si>
    <t>離礁・礁縁</t>
    <rPh sb="0" eb="1">
      <t>リ</t>
    </rPh>
    <phoneticPr fontId="7"/>
  </si>
  <si>
    <t>平良高野漁港沖二段干瀬</t>
    <rPh sb="7" eb="9">
      <t>２ダン</t>
    </rPh>
    <rPh sb="9" eb="10">
      <t>カン</t>
    </rPh>
    <rPh sb="10" eb="11">
      <t>セ</t>
    </rPh>
    <phoneticPr fontId="9"/>
  </si>
  <si>
    <t>礁縁</t>
    <rPh sb="0" eb="2">
      <t>ショウエン</t>
    </rPh>
    <phoneticPr fontId="3"/>
  </si>
  <si>
    <t>宮古島離礁</t>
    <rPh sb="0" eb="3">
      <t>ミヤコジマ</t>
    </rPh>
    <rPh sb="3" eb="4">
      <t>ハナ</t>
    </rPh>
    <rPh sb="4" eb="5">
      <t>ショウ</t>
    </rPh>
    <phoneticPr fontId="3"/>
  </si>
  <si>
    <t>八重干瀬</t>
    <rPh sb="0" eb="4">
      <t>ヤビジ</t>
    </rPh>
    <phoneticPr fontId="3"/>
  </si>
  <si>
    <t>八重干瀬ウル西</t>
    <rPh sb="0" eb="2">
      <t>ヤエ</t>
    </rPh>
    <rPh sb="2" eb="3">
      <t>カン</t>
    </rPh>
    <rPh sb="3" eb="4">
      <t>セ</t>
    </rPh>
    <rPh sb="6" eb="7">
      <t>ニシ</t>
    </rPh>
    <phoneticPr fontId="17"/>
  </si>
  <si>
    <t>離礁・礁縁</t>
  </si>
  <si>
    <t>八重干瀬カナマラ中央南</t>
    <rPh sb="0" eb="2">
      <t>ヤエ</t>
    </rPh>
    <rPh sb="2" eb="3">
      <t>カン</t>
    </rPh>
    <rPh sb="3" eb="4">
      <t>セ</t>
    </rPh>
    <rPh sb="8" eb="10">
      <t>チュウオウ</t>
    </rPh>
    <rPh sb="10" eb="11">
      <t>ミナミ</t>
    </rPh>
    <phoneticPr fontId="17"/>
  </si>
  <si>
    <t>八重干瀬イフ南</t>
    <rPh sb="0" eb="2">
      <t>ヤエ</t>
    </rPh>
    <rPh sb="2" eb="3">
      <t>カン</t>
    </rPh>
    <rPh sb="3" eb="4">
      <t>セ</t>
    </rPh>
    <rPh sb="6" eb="7">
      <t>ミナミ</t>
    </rPh>
    <phoneticPr fontId="17"/>
  </si>
  <si>
    <t>石垣島東岸</t>
    <rPh sb="0" eb="3">
      <t>イシガキジマ</t>
    </rPh>
    <rPh sb="3" eb="5">
      <t>トウガン</t>
    </rPh>
    <phoneticPr fontId="3"/>
  </si>
  <si>
    <t>平久保崎～宮良湾</t>
    <rPh sb="0" eb="3">
      <t>ヒラクボ</t>
    </rPh>
    <rPh sb="3" eb="4">
      <t>サキ</t>
    </rPh>
    <rPh sb="5" eb="8">
      <t>ミヤラワン</t>
    </rPh>
    <phoneticPr fontId="3"/>
  </si>
  <si>
    <t>大浜小前</t>
  </si>
  <si>
    <t>岩・枝礫</t>
  </si>
  <si>
    <t>1.5～2.5</t>
  </si>
  <si>
    <t>宮良川河口</t>
  </si>
  <si>
    <t>礁原・礁斜面</t>
  </si>
  <si>
    <t>1.5～8</t>
  </si>
  <si>
    <t>宮良集落前</t>
  </si>
  <si>
    <t>砂・岩</t>
  </si>
  <si>
    <t>1～1.5</t>
  </si>
  <si>
    <t>白保集落前</t>
  </si>
  <si>
    <t>礁池・礁原</t>
  </si>
  <si>
    <t>白保ｱｵｻﾝｺﾞ</t>
  </si>
  <si>
    <t>白保第１ﾎﾟｰﾙ</t>
  </si>
  <si>
    <t>1～2.5</t>
  </si>
  <si>
    <t>白保～轟川</t>
  </si>
  <si>
    <t>轟川河口</t>
  </si>
  <si>
    <t>モリヤマグチ</t>
  </si>
  <si>
    <t>礁原・水路斜面</t>
  </si>
  <si>
    <t>スムジグチ</t>
  </si>
  <si>
    <t>1～4</t>
  </si>
  <si>
    <t>採石場前</t>
  </si>
  <si>
    <t>通路川南</t>
  </si>
  <si>
    <t>0.5～4</t>
  </si>
  <si>
    <t>通路川水路北</t>
  </si>
  <si>
    <t>0.5～5</t>
  </si>
  <si>
    <t>野原崎</t>
  </si>
  <si>
    <t>枝礫・砂</t>
  </si>
  <si>
    <t>2～4</t>
  </si>
  <si>
    <t>伊野田漁港前</t>
  </si>
  <si>
    <t>枝礫・岩</t>
  </si>
  <si>
    <t>大野牧場前</t>
  </si>
  <si>
    <t>玉取崎南</t>
  </si>
  <si>
    <t>玉取崎東</t>
  </si>
  <si>
    <t>伊原間牧場前</t>
  </si>
  <si>
    <t>トムル崎南</t>
  </si>
  <si>
    <t>トムル崎</t>
  </si>
  <si>
    <t>ﾊﾟﾗﾜｰﾙﾄﾞ前</t>
  </si>
  <si>
    <t>枝礫</t>
  </si>
  <si>
    <t>明石～安良崎</t>
  </si>
  <si>
    <t>安良崎南</t>
  </si>
  <si>
    <t>安良崎</t>
  </si>
  <si>
    <t>安良グチ北</t>
  </si>
  <si>
    <t>岩崎南</t>
  </si>
  <si>
    <t>岩崎</t>
  </si>
  <si>
    <t>岩崎～浦崎</t>
  </si>
  <si>
    <t>0.5～2.5</t>
  </si>
  <si>
    <t>浦崎沖</t>
  </si>
  <si>
    <t>浦崎前</t>
  </si>
  <si>
    <t>平野集落前</t>
  </si>
  <si>
    <t>1.5～3</t>
  </si>
  <si>
    <t>平久保灯台北</t>
  </si>
  <si>
    <t>石垣島西岸</t>
    <rPh sb="0" eb="3">
      <t>イシガキジマ</t>
    </rPh>
    <rPh sb="3" eb="5">
      <t>セイガン</t>
    </rPh>
    <phoneticPr fontId="3"/>
  </si>
  <si>
    <t>川平～大崎</t>
    <rPh sb="0" eb="2">
      <t>カビラ</t>
    </rPh>
    <rPh sb="3" eb="5">
      <t>オオサキ</t>
    </rPh>
    <phoneticPr fontId="3"/>
  </si>
  <si>
    <t>平久保灯台西</t>
  </si>
  <si>
    <t>枝礫・岩</t>
    <rPh sb="0" eb="1">
      <t>エダ</t>
    </rPh>
    <rPh sb="1" eb="2">
      <t>レキ</t>
    </rPh>
    <rPh sb="3" eb="4">
      <t>ガン</t>
    </rPh>
    <phoneticPr fontId="18"/>
  </si>
  <si>
    <t>平久保川北</t>
  </si>
  <si>
    <t>1.5～5</t>
  </si>
  <si>
    <t>平久保集落南</t>
  </si>
  <si>
    <t>嘉良川前</t>
  </si>
  <si>
    <t>ダテフ崎北</t>
  </si>
  <si>
    <t>1.5～6</t>
  </si>
  <si>
    <t>ダテフ崎南</t>
  </si>
  <si>
    <t>野底石崎</t>
  </si>
  <si>
    <t>栄集落前</t>
  </si>
  <si>
    <t>野底集落前</t>
  </si>
  <si>
    <t>野底崎</t>
  </si>
  <si>
    <t>伊土名北</t>
  </si>
  <si>
    <t>伊土名南</t>
  </si>
  <si>
    <t>浦底湾口北</t>
  </si>
  <si>
    <t>浦底湾口西</t>
  </si>
  <si>
    <t>富野集落前</t>
  </si>
  <si>
    <t>米原ｷｬﾝﾌﾟ場</t>
  </si>
  <si>
    <t>ヤマバレー前</t>
  </si>
  <si>
    <t>ヤマバレー西</t>
  </si>
  <si>
    <t>川平小島東</t>
  </si>
  <si>
    <t>川平小島北</t>
  </si>
  <si>
    <t>川平水路東</t>
  </si>
  <si>
    <t>川平水路</t>
  </si>
  <si>
    <t>川平水路北西</t>
  </si>
  <si>
    <t>川平～石崎</t>
  </si>
  <si>
    <t>ｸﾗﾌﾞﾒｯﾄﾞ前</t>
  </si>
  <si>
    <t>川平石崎北</t>
  </si>
  <si>
    <t>川平石崎南</t>
  </si>
  <si>
    <t>底地ビーチ沖</t>
  </si>
  <si>
    <t>崎枝湾内</t>
  </si>
  <si>
    <t>2～3</t>
  </si>
  <si>
    <t>崎枝湾口</t>
  </si>
  <si>
    <t>崎枝～御神</t>
  </si>
  <si>
    <t>御神崎</t>
  </si>
  <si>
    <t>御神～屋良部</t>
  </si>
  <si>
    <t>屋良部崎北</t>
  </si>
  <si>
    <t>屋良部崎南</t>
  </si>
  <si>
    <t>屋良部～大崎</t>
  </si>
  <si>
    <t>名蔵保護水面</t>
  </si>
  <si>
    <t>5～5</t>
  </si>
  <si>
    <t>富崎小島前</t>
  </si>
  <si>
    <t>観音崎</t>
  </si>
  <si>
    <t>真栄里海岸前</t>
  </si>
  <si>
    <t>岩・砂礫</t>
  </si>
  <si>
    <t>赤崎</t>
  </si>
  <si>
    <t>名蔵川河口</t>
  </si>
  <si>
    <t>砂泥・岩</t>
  </si>
  <si>
    <t>明石西</t>
    <rPh sb="0" eb="2">
      <t>アカシ</t>
    </rPh>
    <rPh sb="2" eb="3">
      <t>ニシ</t>
    </rPh>
    <phoneticPr fontId="13"/>
  </si>
  <si>
    <t>礁池</t>
    <rPh sb="0" eb="2">
      <t>ショウチ</t>
    </rPh>
    <phoneticPr fontId="13"/>
  </si>
  <si>
    <t>枝礫</t>
    <rPh sb="0" eb="1">
      <t>エダ</t>
    </rPh>
    <rPh sb="1" eb="2">
      <t>レキ</t>
    </rPh>
    <phoneticPr fontId="13"/>
  </si>
  <si>
    <t>伊原間湾口</t>
    <rPh sb="0" eb="3">
      <t>イバルマ</t>
    </rPh>
    <rPh sb="3" eb="4">
      <t>ワン</t>
    </rPh>
    <rPh sb="4" eb="5">
      <t>コウ</t>
    </rPh>
    <phoneticPr fontId="13"/>
  </si>
  <si>
    <t>小浜島東沖</t>
    <rPh sb="0" eb="2">
      <t>コハマ</t>
    </rPh>
    <rPh sb="2" eb="3">
      <t>ジマ</t>
    </rPh>
    <rPh sb="3" eb="4">
      <t>ヒガシ</t>
    </rPh>
    <rPh sb="4" eb="5">
      <t>オキ</t>
    </rPh>
    <phoneticPr fontId="1"/>
  </si>
  <si>
    <t>嘉弥真島南岸礁縁</t>
    <rPh sb="0" eb="4">
      <t>カヤマジマ</t>
    </rPh>
    <rPh sb="4" eb="6">
      <t>ナンガン</t>
    </rPh>
    <rPh sb="6" eb="8">
      <t>ショウエン</t>
    </rPh>
    <phoneticPr fontId="1"/>
  </si>
  <si>
    <t>嘉弥真島南西岸礁池内</t>
    <rPh sb="0" eb="4">
      <t>カヤマジマ</t>
    </rPh>
    <rPh sb="4" eb="6">
      <t>ナンセイ</t>
    </rPh>
    <rPh sb="6" eb="10">
      <t>ガンショウチナイ</t>
    </rPh>
    <phoneticPr fontId="1"/>
  </si>
  <si>
    <t>小浜島北東岸礁縁</t>
    <rPh sb="0" eb="2">
      <t>コハマ</t>
    </rPh>
    <rPh sb="2" eb="3">
      <t>ジマ</t>
    </rPh>
    <rPh sb="3" eb="4">
      <t>キタ</t>
    </rPh>
    <rPh sb="4" eb="6">
      <t>トウガン</t>
    </rPh>
    <rPh sb="6" eb="7">
      <t>ショウ</t>
    </rPh>
    <rPh sb="7" eb="8">
      <t>エン</t>
    </rPh>
    <phoneticPr fontId="1"/>
  </si>
  <si>
    <t>ヨナラ水道南礁縁</t>
    <rPh sb="3" eb="5">
      <t>スイドウ</t>
    </rPh>
    <rPh sb="5" eb="6">
      <t>ミナミ</t>
    </rPh>
    <rPh sb="6" eb="8">
      <t>ショウエン</t>
    </rPh>
    <phoneticPr fontId="1"/>
  </si>
  <si>
    <t>ヨナラ水道南①</t>
    <rPh sb="3" eb="5">
      <t>スイドウ</t>
    </rPh>
    <rPh sb="5" eb="6">
      <t>ミナミ</t>
    </rPh>
    <phoneticPr fontId="1"/>
  </si>
  <si>
    <t>小浜島東沖礁湖内①</t>
    <rPh sb="0" eb="2">
      <t>コハマ</t>
    </rPh>
    <rPh sb="2" eb="3">
      <t>ジマ</t>
    </rPh>
    <rPh sb="3" eb="4">
      <t>ヒガシ</t>
    </rPh>
    <rPh sb="4" eb="5">
      <t>オキ</t>
    </rPh>
    <rPh sb="5" eb="7">
      <t>ショウコ</t>
    </rPh>
    <rPh sb="7" eb="8">
      <t>ナイ</t>
    </rPh>
    <phoneticPr fontId="1"/>
  </si>
  <si>
    <t>小浜島東沖礁湖内②</t>
    <rPh sb="0" eb="2">
      <t>コハマ</t>
    </rPh>
    <rPh sb="2" eb="3">
      <t>ジマ</t>
    </rPh>
    <rPh sb="3" eb="4">
      <t>ヒガシ</t>
    </rPh>
    <rPh sb="4" eb="5">
      <t>オキ</t>
    </rPh>
    <rPh sb="5" eb="7">
      <t>ショウコ</t>
    </rPh>
    <rPh sb="7" eb="8">
      <t>ナイ</t>
    </rPh>
    <phoneticPr fontId="1"/>
  </si>
  <si>
    <t>嘉弥真島東沖礁湖内</t>
    <rPh sb="0" eb="4">
      <t>カヤマジマ</t>
    </rPh>
    <rPh sb="4" eb="6">
      <t>ヒガシオキ</t>
    </rPh>
    <rPh sb="6" eb="8">
      <t>ショウコ</t>
    </rPh>
    <rPh sb="8" eb="9">
      <t>ナイ</t>
    </rPh>
    <phoneticPr fontId="1"/>
  </si>
  <si>
    <t>竹富島西沖離礁礁縁</t>
    <rPh sb="0" eb="2">
      <t>タケトミ</t>
    </rPh>
    <rPh sb="2" eb="3">
      <t>ジマ</t>
    </rPh>
    <rPh sb="3" eb="5">
      <t>ニシオキ</t>
    </rPh>
    <rPh sb="5" eb="7">
      <t>リショウ</t>
    </rPh>
    <rPh sb="7" eb="9">
      <t>ショウエン</t>
    </rPh>
    <phoneticPr fontId="1"/>
  </si>
  <si>
    <t>竹富島西沖離礁外縁</t>
    <rPh sb="0" eb="2">
      <t>タケトミ</t>
    </rPh>
    <rPh sb="2" eb="3">
      <t>ジマ</t>
    </rPh>
    <rPh sb="3" eb="5">
      <t>ニシオキ</t>
    </rPh>
    <rPh sb="5" eb="7">
      <t>リショウ</t>
    </rPh>
    <rPh sb="7" eb="9">
      <t>ガイエン</t>
    </rPh>
    <phoneticPr fontId="1"/>
  </si>
  <si>
    <t>竹富島北岸礁外縁</t>
    <rPh sb="0" eb="2">
      <t>タケトミ</t>
    </rPh>
    <rPh sb="2" eb="3">
      <t>ジマ</t>
    </rPh>
    <rPh sb="3" eb="5">
      <t>ホクガン</t>
    </rPh>
    <rPh sb="5" eb="6">
      <t>ショウ</t>
    </rPh>
    <rPh sb="6" eb="8">
      <t>ガイエン</t>
    </rPh>
    <phoneticPr fontId="1"/>
  </si>
  <si>
    <t>竹富島北東岸礁外縁</t>
    <rPh sb="0" eb="2">
      <t>タケトミ</t>
    </rPh>
    <rPh sb="2" eb="3">
      <t>ジマ</t>
    </rPh>
    <rPh sb="3" eb="5">
      <t>ホクトウ</t>
    </rPh>
    <rPh sb="5" eb="6">
      <t>ガン</t>
    </rPh>
    <rPh sb="6" eb="9">
      <t>ショウガイエン</t>
    </rPh>
    <phoneticPr fontId="1"/>
  </si>
  <si>
    <t>竹富島北東沖礁縁</t>
    <rPh sb="0" eb="2">
      <t>タケトミ</t>
    </rPh>
    <rPh sb="2" eb="3">
      <t>ジマ</t>
    </rPh>
    <rPh sb="3" eb="5">
      <t>ホクトウ</t>
    </rPh>
    <rPh sb="5" eb="6">
      <t>オキ</t>
    </rPh>
    <rPh sb="6" eb="8">
      <t>ショウエン</t>
    </rPh>
    <phoneticPr fontId="1"/>
  </si>
  <si>
    <t>1.5～4</t>
  </si>
  <si>
    <t>ヨナラ水道南②</t>
    <rPh sb="3" eb="5">
      <t>スイドウ</t>
    </rPh>
    <rPh sb="5" eb="6">
      <t>ミナミ</t>
    </rPh>
    <phoneticPr fontId="1"/>
  </si>
  <si>
    <t>ヨナラ水道南部</t>
    <rPh sb="3" eb="5">
      <t>スイドウ</t>
    </rPh>
    <rPh sb="5" eb="7">
      <t>ナンブ</t>
    </rPh>
    <phoneticPr fontId="1"/>
  </si>
  <si>
    <t>ヨナラ水道中央部①</t>
    <rPh sb="3" eb="5">
      <t>スイドウ</t>
    </rPh>
    <rPh sb="5" eb="8">
      <t>チュウオウブ</t>
    </rPh>
    <phoneticPr fontId="1"/>
  </si>
  <si>
    <t>ヨナラ水道北部</t>
    <rPh sb="3" eb="5">
      <t>スイドウ</t>
    </rPh>
    <rPh sb="5" eb="7">
      <t>ホクブ</t>
    </rPh>
    <phoneticPr fontId="1"/>
  </si>
  <si>
    <t>小浜島東沖離礁①</t>
    <rPh sb="0" eb="2">
      <t>コハマ</t>
    </rPh>
    <rPh sb="2" eb="3">
      <t>ジマ</t>
    </rPh>
    <rPh sb="3" eb="5">
      <t>ヒガシオキ</t>
    </rPh>
    <rPh sb="5" eb="7">
      <t>リショウ</t>
    </rPh>
    <phoneticPr fontId="1"/>
  </si>
  <si>
    <t>嘉弥真島東沖礁内縁</t>
    <rPh sb="0" eb="4">
      <t>カヤマジマ</t>
    </rPh>
    <rPh sb="4" eb="5">
      <t>ヒガシ</t>
    </rPh>
    <rPh sb="5" eb="6">
      <t>オキ</t>
    </rPh>
    <rPh sb="6" eb="7">
      <t>ショウ</t>
    </rPh>
    <rPh sb="7" eb="9">
      <t>ナイエン</t>
    </rPh>
    <phoneticPr fontId="1"/>
  </si>
  <si>
    <t>嘉弥真島東沖礁外縁</t>
    <rPh sb="0" eb="4">
      <t>カヤマジマ</t>
    </rPh>
    <rPh sb="4" eb="6">
      <t>ヒガシオキ</t>
    </rPh>
    <rPh sb="6" eb="9">
      <t>ショウガイエン</t>
    </rPh>
    <phoneticPr fontId="1"/>
  </si>
  <si>
    <t>嘉弥真島北岸礁外縁①</t>
    <rPh sb="0" eb="4">
      <t>カヤマジマ</t>
    </rPh>
    <rPh sb="4" eb="6">
      <t>ホクガン</t>
    </rPh>
    <rPh sb="6" eb="9">
      <t>ショウガイエン</t>
    </rPh>
    <phoneticPr fontId="1"/>
  </si>
  <si>
    <t>嘉弥真島北岸礁外縁②</t>
    <rPh sb="0" eb="4">
      <t>カヤマジマ</t>
    </rPh>
    <rPh sb="4" eb="6">
      <t>ホクガン</t>
    </rPh>
    <rPh sb="6" eb="9">
      <t>ショウガイエン</t>
    </rPh>
    <phoneticPr fontId="1"/>
  </si>
  <si>
    <t>小浜島北岸礁外縁</t>
    <rPh sb="0" eb="2">
      <t>コハマ</t>
    </rPh>
    <rPh sb="2" eb="3">
      <t>ジマ</t>
    </rPh>
    <rPh sb="3" eb="5">
      <t>ホクガン</t>
    </rPh>
    <rPh sb="5" eb="8">
      <t>ショウガイエン</t>
    </rPh>
    <phoneticPr fontId="1"/>
  </si>
  <si>
    <t>ヨナラ水道中央部②</t>
    <rPh sb="3" eb="5">
      <t>スイドウ</t>
    </rPh>
    <rPh sb="5" eb="8">
      <t>チュウオウブ</t>
    </rPh>
    <phoneticPr fontId="1"/>
  </si>
  <si>
    <t>小浜島東沖離礁②</t>
    <rPh sb="0" eb="2">
      <t>コハマ</t>
    </rPh>
    <rPh sb="2" eb="3">
      <t>ジマ</t>
    </rPh>
    <rPh sb="3" eb="5">
      <t>ヒガシオキ</t>
    </rPh>
    <rPh sb="5" eb="7">
      <t>リショウ</t>
    </rPh>
    <phoneticPr fontId="1"/>
  </si>
  <si>
    <t>タキドングチ海中公園地区</t>
    <rPh sb="6" eb="8">
      <t>カイチュウ</t>
    </rPh>
    <rPh sb="8" eb="12">
      <t>コウエンチク</t>
    </rPh>
    <phoneticPr fontId="1"/>
  </si>
  <si>
    <t>シモビシ海中公園地区</t>
    <rPh sb="4" eb="6">
      <t>カイチュウ</t>
    </rPh>
    <rPh sb="6" eb="10">
      <t>コウエンチク</t>
    </rPh>
    <phoneticPr fontId="1"/>
  </si>
  <si>
    <t>竹富島南西岸礁縁</t>
    <rPh sb="0" eb="2">
      <t>タケトミ</t>
    </rPh>
    <rPh sb="2" eb="3">
      <t>ジマ</t>
    </rPh>
    <rPh sb="3" eb="5">
      <t>ナンセイ</t>
    </rPh>
    <rPh sb="5" eb="8">
      <t>ガンショウエン</t>
    </rPh>
    <phoneticPr fontId="1"/>
  </si>
  <si>
    <t>竹富島東沖離礁</t>
    <rPh sb="0" eb="2">
      <t>タケトミ</t>
    </rPh>
    <rPh sb="2" eb="3">
      <t>ジマ</t>
    </rPh>
    <rPh sb="3" eb="5">
      <t>ヒガシオキ</t>
    </rPh>
    <rPh sb="5" eb="7">
      <t>リショウ</t>
    </rPh>
    <phoneticPr fontId="1"/>
  </si>
  <si>
    <t>アーサーピー外縁</t>
    <rPh sb="6" eb="8">
      <t>ガイエン</t>
    </rPh>
    <phoneticPr fontId="1"/>
  </si>
  <si>
    <t>ウマノハピー礁内①</t>
    <rPh sb="6" eb="7">
      <t>ショウ</t>
    </rPh>
    <rPh sb="7" eb="8">
      <t>ナイ</t>
    </rPh>
    <phoneticPr fontId="1"/>
  </si>
  <si>
    <t>ウマノハピー礁内②</t>
    <rPh sb="6" eb="7">
      <t>ショウ</t>
    </rPh>
    <rPh sb="7" eb="8">
      <t>ナイ</t>
    </rPh>
    <phoneticPr fontId="1"/>
  </si>
  <si>
    <t>ウマノハピー礁内③</t>
    <rPh sb="6" eb="7">
      <t>ショウ</t>
    </rPh>
    <rPh sb="7" eb="8">
      <t>ナイ</t>
    </rPh>
    <phoneticPr fontId="1"/>
  </si>
  <si>
    <t>ウマノハピー内縁①</t>
    <rPh sb="6" eb="8">
      <t>ナイエン</t>
    </rPh>
    <phoneticPr fontId="1"/>
  </si>
  <si>
    <t>ウマノハピー内縁②</t>
    <rPh sb="6" eb="8">
      <t>ナイエン</t>
    </rPh>
    <phoneticPr fontId="1"/>
  </si>
  <si>
    <t>ウマノハピー内縁③</t>
    <rPh sb="6" eb="8">
      <t>ナイエン</t>
    </rPh>
    <phoneticPr fontId="1"/>
  </si>
  <si>
    <t>ウマノハピー内縁④</t>
    <rPh sb="6" eb="8">
      <t>ナイエン</t>
    </rPh>
    <phoneticPr fontId="1"/>
  </si>
  <si>
    <t>ウマノハピー外縁①</t>
    <rPh sb="6" eb="8">
      <t>ガイエン</t>
    </rPh>
    <phoneticPr fontId="1"/>
  </si>
  <si>
    <t>アーサーピー内縁①</t>
    <rPh sb="6" eb="8">
      <t>ナイエン</t>
    </rPh>
    <phoneticPr fontId="1"/>
  </si>
  <si>
    <t>アーサーピー内縁②</t>
    <rPh sb="6" eb="8">
      <t>ナイエン</t>
    </rPh>
    <phoneticPr fontId="1"/>
  </si>
  <si>
    <t>アーサーピー内縁③</t>
    <rPh sb="6" eb="8">
      <t>ナイエン</t>
    </rPh>
    <phoneticPr fontId="1"/>
  </si>
  <si>
    <t>アーサーピー内縁④</t>
    <rPh sb="6" eb="8">
      <t>ナイエン</t>
    </rPh>
    <phoneticPr fontId="1"/>
  </si>
  <si>
    <t>ウマノハピー外縁②</t>
    <rPh sb="6" eb="8">
      <t>ガイエン</t>
    </rPh>
    <phoneticPr fontId="1"/>
  </si>
  <si>
    <t>竹富島南沖離礁①</t>
    <rPh sb="0" eb="2">
      <t>タケトミ</t>
    </rPh>
    <rPh sb="2" eb="5">
      <t>ジマミナミオキ</t>
    </rPh>
    <rPh sb="5" eb="7">
      <t>リショウ</t>
    </rPh>
    <phoneticPr fontId="1"/>
  </si>
  <si>
    <t>竹富島南沖離礁②</t>
    <rPh sb="0" eb="2">
      <t>タケトミ</t>
    </rPh>
    <rPh sb="2" eb="3">
      <t>ジマ</t>
    </rPh>
    <rPh sb="3" eb="5">
      <t>ミナミオキ</t>
    </rPh>
    <rPh sb="5" eb="7">
      <t>リショウ</t>
    </rPh>
    <phoneticPr fontId="1"/>
  </si>
  <si>
    <t>ウマノハピー礁内④</t>
    <rPh sb="6" eb="8">
      <t>ショウナイ</t>
    </rPh>
    <phoneticPr fontId="1"/>
  </si>
  <si>
    <t>黒島北沖離礁①</t>
    <rPh sb="0" eb="2">
      <t>クロシマ</t>
    </rPh>
    <rPh sb="2" eb="3">
      <t>キタ</t>
    </rPh>
    <rPh sb="3" eb="4">
      <t>オキ</t>
    </rPh>
    <rPh sb="4" eb="6">
      <t>リショウ</t>
    </rPh>
    <phoneticPr fontId="1"/>
  </si>
  <si>
    <t>黒島北沖離礁②</t>
    <rPh sb="0" eb="3">
      <t>クロシマキタ</t>
    </rPh>
    <rPh sb="3" eb="6">
      <t>オキリショウ</t>
    </rPh>
    <phoneticPr fontId="1"/>
  </si>
  <si>
    <t>黒島北沖離礁③</t>
    <rPh sb="0" eb="2">
      <t>クロシマ</t>
    </rPh>
    <rPh sb="2" eb="3">
      <t>キタ</t>
    </rPh>
    <rPh sb="3" eb="4">
      <t>オキ</t>
    </rPh>
    <rPh sb="4" eb="6">
      <t>リショウ</t>
    </rPh>
    <phoneticPr fontId="1"/>
  </si>
  <si>
    <t>黒島北沖離礁④</t>
    <rPh sb="0" eb="3">
      <t>クロシマキタ</t>
    </rPh>
    <rPh sb="3" eb="6">
      <t>オキリショウ</t>
    </rPh>
    <phoneticPr fontId="1"/>
  </si>
  <si>
    <t>黒島ー小浜島間離礁①</t>
    <rPh sb="0" eb="1">
      <t>クロ</t>
    </rPh>
    <rPh sb="1" eb="2">
      <t>シマ</t>
    </rPh>
    <rPh sb="3" eb="5">
      <t>コハマ</t>
    </rPh>
    <rPh sb="5" eb="6">
      <t>ジマ</t>
    </rPh>
    <rPh sb="6" eb="7">
      <t>カン</t>
    </rPh>
    <rPh sb="7" eb="9">
      <t>リショウ</t>
    </rPh>
    <phoneticPr fontId="1"/>
  </si>
  <si>
    <t>小浜島南東岸礁縁</t>
    <rPh sb="0" eb="2">
      <t>コハマ</t>
    </rPh>
    <rPh sb="2" eb="3">
      <t>ジマ</t>
    </rPh>
    <rPh sb="3" eb="5">
      <t>ナントウ</t>
    </rPh>
    <rPh sb="5" eb="6">
      <t>ガン</t>
    </rPh>
    <rPh sb="6" eb="8">
      <t>ショウエン</t>
    </rPh>
    <phoneticPr fontId="1"/>
  </si>
  <si>
    <t>小浜島南東沖礁縁①</t>
    <rPh sb="0" eb="2">
      <t>コハマ</t>
    </rPh>
    <rPh sb="2" eb="3">
      <t>ジマ</t>
    </rPh>
    <rPh sb="3" eb="5">
      <t>ナントウ</t>
    </rPh>
    <rPh sb="5" eb="6">
      <t>オキ</t>
    </rPh>
    <rPh sb="6" eb="8">
      <t>ショウエン</t>
    </rPh>
    <phoneticPr fontId="1"/>
  </si>
  <si>
    <t>小浜島南東沖礁縁②</t>
    <rPh sb="0" eb="2">
      <t>コハマ</t>
    </rPh>
    <rPh sb="2" eb="3">
      <t>ジマ</t>
    </rPh>
    <rPh sb="3" eb="5">
      <t>ナントウ</t>
    </rPh>
    <rPh sb="5" eb="6">
      <t>オキ</t>
    </rPh>
    <rPh sb="6" eb="8">
      <t>ショウエン</t>
    </rPh>
    <phoneticPr fontId="1"/>
  </si>
  <si>
    <t>黒島ー西表島間離礁①</t>
    <rPh sb="0" eb="2">
      <t>クロシマ</t>
    </rPh>
    <rPh sb="3" eb="6">
      <t>イリオモテジマ</t>
    </rPh>
    <rPh sb="6" eb="7">
      <t>カン</t>
    </rPh>
    <rPh sb="7" eb="9">
      <t>リショウ</t>
    </rPh>
    <phoneticPr fontId="1"/>
  </si>
  <si>
    <t>黒島ー西表島間離礁②</t>
    <rPh sb="0" eb="2">
      <t>クロシマ</t>
    </rPh>
    <rPh sb="3" eb="6">
      <t>イリオモテジマ</t>
    </rPh>
    <rPh sb="6" eb="7">
      <t>カン</t>
    </rPh>
    <rPh sb="7" eb="9">
      <t>リショウ</t>
    </rPh>
    <phoneticPr fontId="1"/>
  </si>
  <si>
    <t>黒島ー小浜島間離礁②</t>
    <rPh sb="0" eb="2">
      <t>クロシマ</t>
    </rPh>
    <rPh sb="3" eb="5">
      <t>コハマ</t>
    </rPh>
    <rPh sb="5" eb="6">
      <t>ジマ</t>
    </rPh>
    <rPh sb="6" eb="7">
      <t>カン</t>
    </rPh>
    <rPh sb="7" eb="9">
      <t>リショウ</t>
    </rPh>
    <phoneticPr fontId="1"/>
  </si>
  <si>
    <t>小浜島南東沖離礁①</t>
    <rPh sb="0" eb="2">
      <t>コハマ</t>
    </rPh>
    <rPh sb="2" eb="3">
      <t>ジマ</t>
    </rPh>
    <rPh sb="3" eb="5">
      <t>ナントウ</t>
    </rPh>
    <rPh sb="5" eb="6">
      <t>オキ</t>
    </rPh>
    <rPh sb="6" eb="8">
      <t>リショウ</t>
    </rPh>
    <phoneticPr fontId="1"/>
  </si>
  <si>
    <t>小浜島南東沖離礁②</t>
    <rPh sb="0" eb="2">
      <t>コハマ</t>
    </rPh>
    <rPh sb="2" eb="3">
      <t>ジマ</t>
    </rPh>
    <rPh sb="3" eb="5">
      <t>ナントウ</t>
    </rPh>
    <rPh sb="5" eb="8">
      <t>オキリショウ</t>
    </rPh>
    <phoneticPr fontId="1"/>
  </si>
  <si>
    <t>西表島東沖離礁①</t>
    <rPh sb="0" eb="3">
      <t>イリオモテジマ</t>
    </rPh>
    <rPh sb="3" eb="5">
      <t>ヒガシオキ</t>
    </rPh>
    <rPh sb="5" eb="7">
      <t>リショウ</t>
    </rPh>
    <phoneticPr fontId="1"/>
  </si>
  <si>
    <t>西表島東沖離礁②</t>
    <rPh sb="0" eb="3">
      <t>イリオモテジマ</t>
    </rPh>
    <rPh sb="3" eb="5">
      <t>ヒガシオキ</t>
    </rPh>
    <rPh sb="5" eb="7">
      <t>リショウ</t>
    </rPh>
    <phoneticPr fontId="1"/>
  </si>
  <si>
    <t>西表島東沖離礁③</t>
    <rPh sb="0" eb="3">
      <t>イリオモテジマ</t>
    </rPh>
    <rPh sb="3" eb="5">
      <t>ヒガシオキ</t>
    </rPh>
    <rPh sb="5" eb="7">
      <t>リショウ</t>
    </rPh>
    <phoneticPr fontId="1"/>
  </si>
  <si>
    <t>西表島東岸礁池内</t>
    <rPh sb="0" eb="3">
      <t>イリオモテジマ</t>
    </rPh>
    <rPh sb="3" eb="5">
      <t>トウガン</t>
    </rPh>
    <rPh sb="5" eb="8">
      <t>ショウチナイ</t>
    </rPh>
    <phoneticPr fontId="1"/>
  </si>
  <si>
    <t>泥</t>
    <rPh sb="0" eb="1">
      <t>ドロ</t>
    </rPh>
    <phoneticPr fontId="13"/>
  </si>
  <si>
    <t>小浜島南礁縁</t>
    <rPh sb="0" eb="2">
      <t>コハマ</t>
    </rPh>
    <rPh sb="2" eb="4">
      <t>ジマミナミ</t>
    </rPh>
    <rPh sb="4" eb="6">
      <t>ショウエン</t>
    </rPh>
    <phoneticPr fontId="1"/>
  </si>
  <si>
    <t>新城島ー西表島間離礁②</t>
    <rPh sb="0" eb="2">
      <t>シンジョウ</t>
    </rPh>
    <rPh sb="2" eb="3">
      <t>ジマ</t>
    </rPh>
    <rPh sb="4" eb="7">
      <t>イリオモテジマ</t>
    </rPh>
    <rPh sb="7" eb="8">
      <t>カン</t>
    </rPh>
    <rPh sb="8" eb="10">
      <t>リショウ</t>
    </rPh>
    <phoneticPr fontId="1"/>
  </si>
  <si>
    <t>黒島北西沖離礁</t>
    <rPh sb="0" eb="2">
      <t>クロシマ</t>
    </rPh>
    <rPh sb="2" eb="4">
      <t>ホクセイ</t>
    </rPh>
    <rPh sb="4" eb="7">
      <t>オキリショウ</t>
    </rPh>
    <phoneticPr fontId="1"/>
  </si>
  <si>
    <t>小浜島南沖離礁</t>
    <rPh sb="0" eb="2">
      <t>コハマ</t>
    </rPh>
    <rPh sb="2" eb="3">
      <t>ジマ</t>
    </rPh>
    <rPh sb="3" eb="5">
      <t>ミナミオキ</t>
    </rPh>
    <rPh sb="5" eb="7">
      <t>リショウ</t>
    </rPh>
    <phoneticPr fontId="1"/>
  </si>
  <si>
    <t>ヨナラ水道南沖離礁</t>
    <rPh sb="3" eb="5">
      <t>スイドウ</t>
    </rPh>
    <rPh sb="5" eb="7">
      <t>ミナミオキ</t>
    </rPh>
    <rPh sb="7" eb="9">
      <t>リショウ</t>
    </rPh>
    <phoneticPr fontId="1"/>
  </si>
  <si>
    <t>枝礫・泥</t>
    <rPh sb="3" eb="4">
      <t>ドロ</t>
    </rPh>
    <phoneticPr fontId="13"/>
  </si>
  <si>
    <t>小浜島南東沖離礁③</t>
    <rPh sb="0" eb="2">
      <t>コハマ</t>
    </rPh>
    <rPh sb="2" eb="3">
      <t>ジマ</t>
    </rPh>
    <rPh sb="3" eb="5">
      <t>ナントウ</t>
    </rPh>
    <rPh sb="5" eb="8">
      <t>オキリショウ</t>
    </rPh>
    <phoneticPr fontId="1"/>
  </si>
  <si>
    <t>西表島仲間崎沖離礁</t>
    <rPh sb="0" eb="3">
      <t>イリオモテジマ</t>
    </rPh>
    <rPh sb="3" eb="5">
      <t>ナカマ</t>
    </rPh>
    <rPh sb="5" eb="6">
      <t>ザキ</t>
    </rPh>
    <rPh sb="6" eb="9">
      <t>オキリショウ</t>
    </rPh>
    <phoneticPr fontId="1"/>
  </si>
  <si>
    <t>黒島～新城島</t>
    <rPh sb="0" eb="2">
      <t>クロジマ</t>
    </rPh>
    <rPh sb="3" eb="5">
      <t>シンジョウ</t>
    </rPh>
    <rPh sb="5" eb="6">
      <t>ジマ</t>
    </rPh>
    <phoneticPr fontId="3"/>
  </si>
  <si>
    <t>ウラビシ南礁縁</t>
    <rPh sb="4" eb="5">
      <t>ナン</t>
    </rPh>
    <rPh sb="5" eb="7">
      <t>ショウエン</t>
    </rPh>
    <phoneticPr fontId="1"/>
  </si>
  <si>
    <t>0.5～2</t>
  </si>
  <si>
    <t>ウラビシ東礁縁</t>
    <rPh sb="4" eb="5">
      <t>ヒガシ</t>
    </rPh>
    <rPh sb="5" eb="7">
      <t>ショウエン</t>
    </rPh>
    <phoneticPr fontId="1"/>
  </si>
  <si>
    <t>ウラビシ北東礁縁</t>
    <rPh sb="4" eb="6">
      <t>ホクトウ</t>
    </rPh>
    <rPh sb="6" eb="8">
      <t>ショウエン</t>
    </rPh>
    <phoneticPr fontId="1"/>
  </si>
  <si>
    <t>黒島北西岸礁縁</t>
    <rPh sb="0" eb="2">
      <t>クロシマ</t>
    </rPh>
    <rPh sb="2" eb="4">
      <t>ホクセイ</t>
    </rPh>
    <rPh sb="4" eb="5">
      <t>ガン</t>
    </rPh>
    <rPh sb="5" eb="7">
      <t>ショウエン</t>
    </rPh>
    <phoneticPr fontId="1"/>
  </si>
  <si>
    <t>黒島西岸礁池内</t>
    <rPh sb="0" eb="2">
      <t>クロシマ</t>
    </rPh>
    <rPh sb="2" eb="4">
      <t>セイガン</t>
    </rPh>
    <rPh sb="4" eb="7">
      <t>ショウチナイ</t>
    </rPh>
    <phoneticPr fontId="1"/>
  </si>
  <si>
    <t>黒島南西岸礁池内①</t>
    <rPh sb="0" eb="2">
      <t>クロシマ</t>
    </rPh>
    <rPh sb="2" eb="5">
      <t>ナンセイガン</t>
    </rPh>
    <rPh sb="5" eb="8">
      <t>ショウチナイ</t>
    </rPh>
    <phoneticPr fontId="1"/>
  </si>
  <si>
    <t>黒島南岸礁池内</t>
    <rPh sb="0" eb="2">
      <t>クロシマ</t>
    </rPh>
    <rPh sb="2" eb="4">
      <t>ナンガン</t>
    </rPh>
    <rPh sb="4" eb="7">
      <t>ショウチナイ</t>
    </rPh>
    <phoneticPr fontId="1"/>
  </si>
  <si>
    <t>黒島南東岸礁池内①</t>
    <rPh sb="0" eb="2">
      <t>クロシマ</t>
    </rPh>
    <rPh sb="2" eb="4">
      <t>ナントウ</t>
    </rPh>
    <rPh sb="4" eb="5">
      <t>ガン</t>
    </rPh>
    <rPh sb="5" eb="8">
      <t>ショウチナイ</t>
    </rPh>
    <phoneticPr fontId="1"/>
  </si>
  <si>
    <t>黒島北東岸礁池内</t>
    <rPh sb="0" eb="2">
      <t>クロシマ</t>
    </rPh>
    <rPh sb="2" eb="4">
      <t>ホクトウ</t>
    </rPh>
    <rPh sb="4" eb="8">
      <t>ガンショウチナイ</t>
    </rPh>
    <phoneticPr fontId="1"/>
  </si>
  <si>
    <t>新城島上地北岸離礁</t>
    <rPh sb="0" eb="2">
      <t>アラグスク</t>
    </rPh>
    <rPh sb="2" eb="3">
      <t>ジマ</t>
    </rPh>
    <rPh sb="3" eb="5">
      <t>カミチ</t>
    </rPh>
    <rPh sb="5" eb="7">
      <t>ホクガン</t>
    </rPh>
    <rPh sb="7" eb="9">
      <t>リショウ</t>
    </rPh>
    <phoneticPr fontId="1"/>
  </si>
  <si>
    <t>マイビシ海中公園地区</t>
    <rPh sb="4" eb="6">
      <t>カイチュウ</t>
    </rPh>
    <rPh sb="6" eb="10">
      <t>コウエンチク</t>
    </rPh>
    <phoneticPr fontId="1"/>
  </si>
  <si>
    <t>新城島上地西岸</t>
    <rPh sb="0" eb="2">
      <t>アラグスク</t>
    </rPh>
    <rPh sb="2" eb="3">
      <t>ジマ</t>
    </rPh>
    <rPh sb="3" eb="5">
      <t>カミチ</t>
    </rPh>
    <rPh sb="5" eb="7">
      <t>セイガン</t>
    </rPh>
    <phoneticPr fontId="1"/>
  </si>
  <si>
    <t>新城島間水路部</t>
    <rPh sb="0" eb="2">
      <t>アラグスク</t>
    </rPh>
    <rPh sb="2" eb="3">
      <t>ジマ</t>
    </rPh>
    <rPh sb="3" eb="4">
      <t>カン</t>
    </rPh>
    <rPh sb="4" eb="6">
      <t>スイロ</t>
    </rPh>
    <rPh sb="6" eb="7">
      <t>ブ</t>
    </rPh>
    <phoneticPr fontId="1"/>
  </si>
  <si>
    <t>新城島下地西岸礁池内①</t>
    <rPh sb="0" eb="2">
      <t>アラグスク</t>
    </rPh>
    <rPh sb="2" eb="3">
      <t>ジマ</t>
    </rPh>
    <rPh sb="3" eb="5">
      <t>シモチ</t>
    </rPh>
    <rPh sb="5" eb="7">
      <t>セイガン</t>
    </rPh>
    <rPh sb="7" eb="10">
      <t>ショウチナイ</t>
    </rPh>
    <phoneticPr fontId="1"/>
  </si>
  <si>
    <t>新城島下地西岸礁池内②</t>
    <rPh sb="0" eb="2">
      <t>アラグスク</t>
    </rPh>
    <rPh sb="2" eb="3">
      <t>ジマ</t>
    </rPh>
    <rPh sb="3" eb="5">
      <t>シモチ</t>
    </rPh>
    <rPh sb="5" eb="7">
      <t>セイガン</t>
    </rPh>
    <rPh sb="7" eb="10">
      <t>ショウチナイ</t>
    </rPh>
    <phoneticPr fontId="1"/>
  </si>
  <si>
    <t>ウラビシ北離礁</t>
    <rPh sb="4" eb="5">
      <t>キタ</t>
    </rPh>
    <rPh sb="5" eb="7">
      <t>リショウ</t>
    </rPh>
    <phoneticPr fontId="1"/>
  </si>
  <si>
    <t>黒島南東岸礁池内②</t>
    <rPh sb="0" eb="2">
      <t>クロシマ</t>
    </rPh>
    <rPh sb="2" eb="4">
      <t>ナントウ</t>
    </rPh>
    <rPh sb="4" eb="5">
      <t>ガン</t>
    </rPh>
    <rPh sb="5" eb="8">
      <t>ショウチナイ</t>
    </rPh>
    <phoneticPr fontId="1"/>
  </si>
  <si>
    <t>黒島南西岸礁池内②</t>
    <rPh sb="0" eb="2">
      <t>クロシマ</t>
    </rPh>
    <rPh sb="2" eb="4">
      <t>ナンセイ</t>
    </rPh>
    <rPh sb="4" eb="5">
      <t>ガン</t>
    </rPh>
    <rPh sb="5" eb="8">
      <t>ショウチナイ</t>
    </rPh>
    <phoneticPr fontId="1"/>
  </si>
  <si>
    <t>新城島水路部礁池内</t>
    <rPh sb="0" eb="2">
      <t>アラグスク</t>
    </rPh>
    <rPh sb="2" eb="3">
      <t>ジマ</t>
    </rPh>
    <rPh sb="3" eb="5">
      <t>スイロ</t>
    </rPh>
    <rPh sb="5" eb="6">
      <t>ブ</t>
    </rPh>
    <rPh sb="6" eb="9">
      <t>ショウチナイ</t>
    </rPh>
    <phoneticPr fontId="1"/>
  </si>
  <si>
    <t>黒島南西岸礁外縁</t>
    <rPh sb="0" eb="2">
      <t>クロシマ</t>
    </rPh>
    <rPh sb="2" eb="5">
      <t>ナンセイガン</t>
    </rPh>
    <rPh sb="5" eb="8">
      <t>ショウガイエン</t>
    </rPh>
    <phoneticPr fontId="1"/>
  </si>
  <si>
    <t>黒島南岸礁外縁</t>
    <rPh sb="0" eb="2">
      <t>クロシマ</t>
    </rPh>
    <rPh sb="2" eb="4">
      <t>ナンガン</t>
    </rPh>
    <rPh sb="4" eb="7">
      <t>ショウガイエン</t>
    </rPh>
    <phoneticPr fontId="1"/>
  </si>
  <si>
    <t>キャングチ海中公園地区</t>
    <rPh sb="5" eb="7">
      <t>カイチュウ</t>
    </rPh>
    <rPh sb="7" eb="9">
      <t>コウエン</t>
    </rPh>
    <rPh sb="9" eb="11">
      <t>チク</t>
    </rPh>
    <phoneticPr fontId="1"/>
  </si>
  <si>
    <t>黒島東岸礁外縁</t>
    <rPh sb="0" eb="4">
      <t>クロシマトウガン</t>
    </rPh>
    <rPh sb="4" eb="7">
      <t>ショウガイエン</t>
    </rPh>
    <phoneticPr fontId="1"/>
  </si>
  <si>
    <t>新城島上地東岸礁外縁</t>
    <rPh sb="0" eb="2">
      <t>アラグスク</t>
    </rPh>
    <rPh sb="2" eb="3">
      <t>ジマ</t>
    </rPh>
    <rPh sb="3" eb="5">
      <t>カミチ</t>
    </rPh>
    <rPh sb="5" eb="7">
      <t>トウガン</t>
    </rPh>
    <rPh sb="7" eb="10">
      <t>ショウガイエン</t>
    </rPh>
    <phoneticPr fontId="1"/>
  </si>
  <si>
    <t>新城島下地南東岸礁外縁</t>
    <rPh sb="0" eb="2">
      <t>アラグスク</t>
    </rPh>
    <rPh sb="2" eb="3">
      <t>ジマ</t>
    </rPh>
    <rPh sb="3" eb="5">
      <t>シモチ</t>
    </rPh>
    <rPh sb="5" eb="7">
      <t>ナントウ</t>
    </rPh>
    <rPh sb="7" eb="8">
      <t>ガン</t>
    </rPh>
    <rPh sb="8" eb="11">
      <t>ショウガイエン</t>
    </rPh>
    <phoneticPr fontId="1"/>
  </si>
  <si>
    <t>新城島下地西岸礁外縁</t>
    <rPh sb="0" eb="2">
      <t>アラグスク</t>
    </rPh>
    <rPh sb="2" eb="3">
      <t>ジマ</t>
    </rPh>
    <rPh sb="3" eb="5">
      <t>シモチ</t>
    </rPh>
    <rPh sb="5" eb="7">
      <t>セイガン</t>
    </rPh>
    <rPh sb="7" eb="10">
      <t>ショウガイエン</t>
    </rPh>
    <phoneticPr fontId="1"/>
  </si>
  <si>
    <t>新城島北西沖離礁</t>
    <rPh sb="0" eb="2">
      <t>アラグスク</t>
    </rPh>
    <rPh sb="2" eb="3">
      <t>ジマ</t>
    </rPh>
    <rPh sb="3" eb="5">
      <t>ホクセイ</t>
    </rPh>
    <rPh sb="5" eb="6">
      <t>オキ</t>
    </rPh>
    <rPh sb="6" eb="8">
      <t>リショウ</t>
    </rPh>
    <phoneticPr fontId="1"/>
  </si>
  <si>
    <t>新城島ー西表島間離礁①</t>
    <rPh sb="0" eb="2">
      <t>アラグスク</t>
    </rPh>
    <rPh sb="2" eb="3">
      <t>ジマ</t>
    </rPh>
    <rPh sb="4" eb="7">
      <t>イリオモテジマ</t>
    </rPh>
    <rPh sb="7" eb="8">
      <t>カン</t>
    </rPh>
    <rPh sb="8" eb="10">
      <t>リショウ</t>
    </rPh>
    <phoneticPr fontId="1"/>
  </si>
  <si>
    <t>南風見崎沖離礁外縁東</t>
    <rPh sb="0" eb="1">
      <t>ミナミ</t>
    </rPh>
    <rPh sb="1" eb="2">
      <t>カゼ</t>
    </rPh>
    <rPh sb="2" eb="3">
      <t>ミ</t>
    </rPh>
    <rPh sb="3" eb="4">
      <t>ザキ</t>
    </rPh>
    <rPh sb="4" eb="5">
      <t>オキ</t>
    </rPh>
    <rPh sb="5" eb="7">
      <t>リショウ</t>
    </rPh>
    <rPh sb="7" eb="9">
      <t>ガイエン</t>
    </rPh>
    <rPh sb="9" eb="10">
      <t>ヒガシ</t>
    </rPh>
    <phoneticPr fontId="1"/>
  </si>
  <si>
    <t>黒島ー新城島間大型離礁</t>
    <rPh sb="0" eb="2">
      <t>クロシマ</t>
    </rPh>
    <rPh sb="3" eb="5">
      <t>アラグスク</t>
    </rPh>
    <rPh sb="5" eb="6">
      <t>ジマ</t>
    </rPh>
    <rPh sb="6" eb="7">
      <t>カン</t>
    </rPh>
    <rPh sb="7" eb="9">
      <t>オオガタ</t>
    </rPh>
    <rPh sb="9" eb="11">
      <t>リショウ</t>
    </rPh>
    <phoneticPr fontId="1"/>
  </si>
  <si>
    <t>崎山湾（西表島西部）周辺</t>
    <rPh sb="10" eb="12">
      <t>シュウヘン</t>
    </rPh>
    <phoneticPr fontId="3"/>
  </si>
  <si>
    <t>ユツン湾口礁縁</t>
    <rPh sb="3" eb="5">
      <t>ワンコウ</t>
    </rPh>
    <rPh sb="5" eb="7">
      <t>ショウエン</t>
    </rPh>
    <phoneticPr fontId="1"/>
  </si>
  <si>
    <t>礁原～礁斜面</t>
  </si>
  <si>
    <t>船浦沖離礁</t>
    <rPh sb="0" eb="1">
      <t>フナ</t>
    </rPh>
    <rPh sb="1" eb="2">
      <t>ウラ</t>
    </rPh>
    <rPh sb="2" eb="3">
      <t>オキ</t>
    </rPh>
    <rPh sb="3" eb="5">
      <t>リショウ</t>
    </rPh>
    <phoneticPr fontId="1"/>
  </si>
  <si>
    <t>バラス島西</t>
    <rPh sb="3" eb="4">
      <t>トウ</t>
    </rPh>
    <rPh sb="4" eb="5">
      <t>ニシ</t>
    </rPh>
    <phoneticPr fontId="1"/>
  </si>
  <si>
    <t>鳩間島南東礁池①</t>
    <rPh sb="0" eb="2">
      <t>ハトマ</t>
    </rPh>
    <rPh sb="2" eb="3">
      <t>ジマ</t>
    </rPh>
    <rPh sb="3" eb="5">
      <t>ナントウ</t>
    </rPh>
    <rPh sb="5" eb="7">
      <t>ショウチ</t>
    </rPh>
    <phoneticPr fontId="1"/>
  </si>
  <si>
    <t>鳩間島南東礁池②</t>
    <rPh sb="0" eb="2">
      <t>ハトマ</t>
    </rPh>
    <rPh sb="2" eb="3">
      <t>ジマ</t>
    </rPh>
    <rPh sb="3" eb="5">
      <t>ナントウ</t>
    </rPh>
    <rPh sb="5" eb="7">
      <t>ショウチ</t>
    </rPh>
    <phoneticPr fontId="1"/>
  </si>
  <si>
    <t>鳩間島南西沖離礁</t>
    <rPh sb="0" eb="2">
      <t>ハトマ</t>
    </rPh>
    <rPh sb="2" eb="3">
      <t>ジマ</t>
    </rPh>
    <rPh sb="3" eb="5">
      <t>ナンセイ</t>
    </rPh>
    <rPh sb="5" eb="8">
      <t>オキリショウ</t>
    </rPh>
    <phoneticPr fontId="1"/>
  </si>
  <si>
    <t>星砂浜前礁縁</t>
    <rPh sb="0" eb="1">
      <t>ホシ</t>
    </rPh>
    <rPh sb="1" eb="2">
      <t>スナ</t>
    </rPh>
    <rPh sb="2" eb="3">
      <t>ハマ</t>
    </rPh>
    <rPh sb="3" eb="4">
      <t>マエ</t>
    </rPh>
    <rPh sb="4" eb="6">
      <t>ショウエン</t>
    </rPh>
    <phoneticPr fontId="1"/>
  </si>
  <si>
    <t>タコ崎礁縁</t>
    <rPh sb="2" eb="3">
      <t>サキ</t>
    </rPh>
    <rPh sb="3" eb="5">
      <t>ショウエン</t>
    </rPh>
    <phoneticPr fontId="1"/>
  </si>
  <si>
    <t>網取湾奥</t>
    <rPh sb="0" eb="1">
      <t>アミ</t>
    </rPh>
    <rPh sb="1" eb="2">
      <t>ト</t>
    </rPh>
    <rPh sb="2" eb="3">
      <t>ワン</t>
    </rPh>
    <rPh sb="3" eb="4">
      <t>オク</t>
    </rPh>
    <phoneticPr fontId="1"/>
  </si>
  <si>
    <t>4～8</t>
  </si>
  <si>
    <t>ヨナソネ</t>
  </si>
  <si>
    <t>崎山礁縁</t>
    <rPh sb="0" eb="2">
      <t>サキヤマ</t>
    </rPh>
    <rPh sb="2" eb="4">
      <t>ショウエン</t>
    </rPh>
    <phoneticPr fontId="1"/>
  </si>
  <si>
    <t>11～13</t>
  </si>
  <si>
    <t>崎山礁池</t>
    <rPh sb="0" eb="2">
      <t>サキヤマ</t>
    </rPh>
    <rPh sb="2" eb="4">
      <t>ショウチ</t>
    </rPh>
    <phoneticPr fontId="1"/>
  </si>
  <si>
    <t>波照間石</t>
    <rPh sb="0" eb="1">
      <t>ハ</t>
    </rPh>
    <rPh sb="1" eb="2">
      <t>テ</t>
    </rPh>
    <rPh sb="2" eb="3">
      <t>マ</t>
    </rPh>
    <rPh sb="3" eb="4">
      <t>イシ</t>
    </rPh>
    <phoneticPr fontId="1"/>
  </si>
  <si>
    <t>鹿川湾中ノ瀬①</t>
    <rPh sb="0" eb="1">
      <t>シカ</t>
    </rPh>
    <rPh sb="1" eb="2">
      <t>カワ</t>
    </rPh>
    <rPh sb="2" eb="3">
      <t>ワン</t>
    </rPh>
    <rPh sb="3" eb="4">
      <t>ナカ</t>
    </rPh>
    <rPh sb="5" eb="6">
      <t>セ</t>
    </rPh>
    <phoneticPr fontId="1"/>
  </si>
  <si>
    <t>鹿川湾中ノ瀬②</t>
    <rPh sb="0" eb="1">
      <t>シカ</t>
    </rPh>
    <rPh sb="1" eb="2">
      <t>カワ</t>
    </rPh>
    <rPh sb="2" eb="3">
      <t>ワン</t>
    </rPh>
    <rPh sb="3" eb="4">
      <t>ナカ</t>
    </rPh>
    <rPh sb="5" eb="6">
      <t>セ</t>
    </rPh>
    <phoneticPr fontId="1"/>
  </si>
  <si>
    <t>サザレ浜礁縁</t>
    <rPh sb="3" eb="4">
      <t>ハマ</t>
    </rPh>
    <rPh sb="4" eb="6">
      <t>ショウエン</t>
    </rPh>
    <phoneticPr fontId="1"/>
  </si>
  <si>
    <t>豊原沖礁縁</t>
    <rPh sb="0" eb="2">
      <t>トヨハラ</t>
    </rPh>
    <rPh sb="2" eb="3">
      <t>オキ</t>
    </rPh>
    <rPh sb="3" eb="5">
      <t>ショウエン</t>
    </rPh>
    <phoneticPr fontId="1"/>
  </si>
  <si>
    <t>船浮崎前</t>
    <rPh sb="0" eb="1">
      <t>フナ</t>
    </rPh>
    <rPh sb="1" eb="2">
      <t>ウ</t>
    </rPh>
    <rPh sb="2" eb="3">
      <t>ザキ</t>
    </rPh>
    <rPh sb="3" eb="4">
      <t>マエ</t>
    </rPh>
    <phoneticPr fontId="1"/>
  </si>
  <si>
    <t>外パナリ南礁縁</t>
    <rPh sb="0" eb="1">
      <t>ソト</t>
    </rPh>
    <rPh sb="4" eb="5">
      <t>ミナミ</t>
    </rPh>
    <rPh sb="5" eb="6">
      <t>ショウ</t>
    </rPh>
    <rPh sb="6" eb="7">
      <t>エン</t>
    </rPh>
    <phoneticPr fontId="1"/>
  </si>
  <si>
    <t>鳩間島東礁縁</t>
    <rPh sb="0" eb="1">
      <t>ハト</t>
    </rPh>
    <rPh sb="1" eb="3">
      <t>マジマ</t>
    </rPh>
    <rPh sb="3" eb="4">
      <t>ヒガシ</t>
    </rPh>
    <rPh sb="4" eb="5">
      <t>ショウ</t>
    </rPh>
    <rPh sb="5" eb="6">
      <t>エン</t>
    </rPh>
    <phoneticPr fontId="6"/>
  </si>
  <si>
    <t>鳩間島北礁縁</t>
    <rPh sb="0" eb="1">
      <t>ハト</t>
    </rPh>
    <rPh sb="1" eb="3">
      <t>マジマ</t>
    </rPh>
    <rPh sb="3" eb="4">
      <t>キタ</t>
    </rPh>
    <rPh sb="4" eb="5">
      <t>ショウ</t>
    </rPh>
    <rPh sb="5" eb="6">
      <t>エン</t>
    </rPh>
    <phoneticPr fontId="6"/>
  </si>
  <si>
    <t>星砂浜前礁池内</t>
    <rPh sb="0" eb="1">
      <t>ホシ</t>
    </rPh>
    <rPh sb="1" eb="2">
      <t>スナ</t>
    </rPh>
    <rPh sb="2" eb="3">
      <t>ハマ</t>
    </rPh>
    <rPh sb="3" eb="4">
      <t>マエ</t>
    </rPh>
    <rPh sb="4" eb="6">
      <t>ショウチ</t>
    </rPh>
    <rPh sb="6" eb="7">
      <t>ナイ</t>
    </rPh>
    <phoneticPr fontId="1"/>
  </si>
  <si>
    <t>タコ崎礁浅部</t>
    <rPh sb="2" eb="3">
      <t>サキ</t>
    </rPh>
    <rPh sb="3" eb="4">
      <t>ショウ</t>
    </rPh>
    <rPh sb="4" eb="5">
      <t>アサ</t>
    </rPh>
    <rPh sb="5" eb="6">
      <t>ブ</t>
    </rPh>
    <phoneticPr fontId="1"/>
  </si>
  <si>
    <t>小笠原諸島</t>
    <rPh sb="0" eb="3">
      <t>オガサワラ</t>
    </rPh>
    <rPh sb="3" eb="5">
      <t>ショトウ</t>
    </rPh>
    <phoneticPr fontId="3"/>
  </si>
  <si>
    <t>父島周辺</t>
    <rPh sb="0" eb="2">
      <t>チチジマ</t>
    </rPh>
    <rPh sb="2" eb="4">
      <t>シュウヘン</t>
    </rPh>
    <phoneticPr fontId="3"/>
  </si>
  <si>
    <t>東京都</t>
    <rPh sb="0" eb="3">
      <t>トウキョウト</t>
    </rPh>
    <phoneticPr fontId="3"/>
  </si>
  <si>
    <t>兄島　滝之浦</t>
    <rPh sb="4" eb="5">
      <t>コレ</t>
    </rPh>
    <phoneticPr fontId="4"/>
  </si>
  <si>
    <t>内湾</t>
    <rPh sb="0" eb="2">
      <t>ナイワン</t>
    </rPh>
    <phoneticPr fontId="13"/>
  </si>
  <si>
    <t>サンゴ岩盤</t>
  </si>
  <si>
    <t>11.0～18.0</t>
  </si>
  <si>
    <t>内湾（海峡）</t>
    <rPh sb="0" eb="2">
      <t>ナイワン</t>
    </rPh>
    <rPh sb="3" eb="5">
      <t>カイキョウ</t>
    </rPh>
    <phoneticPr fontId="13"/>
  </si>
  <si>
    <t>サンゴ岩盤、砂泥</t>
  </si>
  <si>
    <t>40×60</t>
  </si>
  <si>
    <t>兄島　水玉湾西側</t>
    <rPh sb="3" eb="6">
      <t>ミズタマワン</t>
    </rPh>
    <rPh sb="6" eb="7">
      <t>ニシ</t>
    </rPh>
    <rPh sb="7" eb="8">
      <t>ガワ</t>
    </rPh>
    <phoneticPr fontId="4"/>
  </si>
  <si>
    <t>岩盤</t>
  </si>
  <si>
    <t>80×20</t>
  </si>
  <si>
    <t>5.0～15.0</t>
  </si>
  <si>
    <t>父島　宮之浜</t>
    <rPh sb="0" eb="2">
      <t>チチジマ</t>
    </rPh>
    <rPh sb="3" eb="6">
      <t>ミヤノハマ</t>
    </rPh>
    <phoneticPr fontId="4"/>
  </si>
  <si>
    <t>30×60</t>
  </si>
  <si>
    <t>3.0～5.0</t>
  </si>
  <si>
    <t>父島  釣浜</t>
    <rPh sb="0" eb="2">
      <t>チチジマ</t>
    </rPh>
    <phoneticPr fontId="4"/>
  </si>
  <si>
    <t>サンゴ岩盤、砂</t>
  </si>
  <si>
    <t>20×80</t>
  </si>
  <si>
    <t>父島　初寝浦</t>
    <rPh sb="0" eb="2">
      <t>チチジマ</t>
    </rPh>
    <rPh sb="3" eb="6">
      <t>ハツネウラ</t>
    </rPh>
    <phoneticPr fontId="4"/>
  </si>
  <si>
    <t>外海</t>
    <rPh sb="0" eb="2">
      <t>ガイカイ</t>
    </rPh>
    <phoneticPr fontId="13"/>
  </si>
  <si>
    <t>2.0～5.0</t>
  </si>
  <si>
    <t>父島　巽東海岸</t>
    <rPh sb="0" eb="2">
      <t>チチジマ</t>
    </rPh>
    <rPh sb="3" eb="7">
      <t>タツミナカカイガン</t>
    </rPh>
    <phoneticPr fontId="4"/>
  </si>
  <si>
    <t>サンゴ岩盤、砂、巨礫</t>
  </si>
  <si>
    <t>50×40</t>
  </si>
  <si>
    <t>0.5～10.0</t>
  </si>
  <si>
    <t>父島　巽中海岸</t>
    <rPh sb="0" eb="2">
      <t>チチジマ</t>
    </rPh>
    <rPh sb="3" eb="7">
      <t>タツミナカカイガン</t>
    </rPh>
    <phoneticPr fontId="4"/>
  </si>
  <si>
    <t>サンゴ岩盤、砂、転石</t>
  </si>
  <si>
    <t>0.5～8.0</t>
  </si>
  <si>
    <t>父島(属)南島
サンゴ池</t>
    <rPh sb="0" eb="2">
      <t>チチジマ</t>
    </rPh>
    <rPh sb="3" eb="5">
      <t>ゾク</t>
    </rPh>
    <rPh sb="5" eb="7">
      <t>ミナミジマ</t>
    </rPh>
    <rPh sb="11" eb="12">
      <t>イケ</t>
    </rPh>
    <phoneticPr fontId="4"/>
  </si>
  <si>
    <t>離礁（内湾）</t>
    <rPh sb="0" eb="2">
      <t>リショウ</t>
    </rPh>
    <rPh sb="3" eb="5">
      <t>ナイワン</t>
    </rPh>
    <phoneticPr fontId="13"/>
  </si>
  <si>
    <t>40×40</t>
  </si>
  <si>
    <t>4.0～6.0</t>
  </si>
  <si>
    <t>父島　コペペ海岸</t>
    <rPh sb="0" eb="2">
      <t>チチジマ</t>
    </rPh>
    <rPh sb="6" eb="8">
      <t>カイガン</t>
    </rPh>
    <phoneticPr fontId="4"/>
  </si>
  <si>
    <t>サ岩盤、砂泥</t>
  </si>
  <si>
    <t>1.0～3.0</t>
  </si>
  <si>
    <t>父島　野羊山内側</t>
    <rPh sb="0" eb="2">
      <t>チチジマ</t>
    </rPh>
    <rPh sb="3" eb="4">
      <t>ヤギュウ</t>
    </rPh>
    <rPh sb="4" eb="6">
      <t>ヒツジヤマ</t>
    </rPh>
    <rPh sb="6" eb="8">
      <t>ウチガワ</t>
    </rPh>
    <phoneticPr fontId="4"/>
  </si>
  <si>
    <t>岩盤、巨礫、砂泥</t>
  </si>
  <si>
    <t>5.0～13.0</t>
  </si>
  <si>
    <t>父島　二見湾奥</t>
    <rPh sb="0" eb="2">
      <t>チチジマ</t>
    </rPh>
    <rPh sb="3" eb="7">
      <t>フタミワンオク</t>
    </rPh>
    <phoneticPr fontId="4"/>
  </si>
  <si>
    <t>サンゴ礫、砂泥</t>
  </si>
  <si>
    <t>75×75</t>
  </si>
  <si>
    <t>房総・伊豆・伊豆諸島（黒潮影響域）</t>
    <rPh sb="0" eb="2">
      <t>ボウソウ</t>
    </rPh>
    <rPh sb="3" eb="5">
      <t>イズ</t>
    </rPh>
    <rPh sb="6" eb="8">
      <t>イズ</t>
    </rPh>
    <rPh sb="8" eb="10">
      <t>ショトウ</t>
    </rPh>
    <rPh sb="11" eb="13">
      <t>クロシオ</t>
    </rPh>
    <rPh sb="13" eb="15">
      <t>エイキョウ</t>
    </rPh>
    <rPh sb="15" eb="16">
      <t>イキ</t>
    </rPh>
    <phoneticPr fontId="3"/>
  </si>
  <si>
    <t>館山（房総）</t>
    <rPh sb="0" eb="2">
      <t>タテヤマ</t>
    </rPh>
    <rPh sb="3" eb="5">
      <t>ボウソウ</t>
    </rPh>
    <phoneticPr fontId="3"/>
  </si>
  <si>
    <t>千葉</t>
    <rPh sb="0" eb="2">
      <t>チバ</t>
    </rPh>
    <phoneticPr fontId="4"/>
  </si>
  <si>
    <t>50×20</t>
  </si>
  <si>
    <t>房総・伊豆・伊豆諸島（黒潮影響域）</t>
  </si>
  <si>
    <t>千葉</t>
    <rPh sb="0" eb="2">
      <t>チバ</t>
    </rPh>
    <phoneticPr fontId="3"/>
  </si>
  <si>
    <t>坂田①</t>
    <rPh sb="0" eb="2">
      <t>サカタ</t>
    </rPh>
    <phoneticPr fontId="3"/>
  </si>
  <si>
    <t>やや外洋</t>
  </si>
  <si>
    <t>岩／砂</t>
  </si>
  <si>
    <t>30×20</t>
  </si>
  <si>
    <t>9～10</t>
  </si>
  <si>
    <t>坂田②</t>
    <rPh sb="0" eb="2">
      <t>サカタ</t>
    </rPh>
    <phoneticPr fontId="3"/>
  </si>
  <si>
    <t>20×5</t>
  </si>
  <si>
    <t>雀島</t>
    <rPh sb="0" eb="2">
      <t>スズメシマ</t>
    </rPh>
    <phoneticPr fontId="3"/>
  </si>
  <si>
    <t>7～9</t>
  </si>
  <si>
    <t>坂田③</t>
    <rPh sb="0" eb="2">
      <t>バンダ</t>
    </rPh>
    <phoneticPr fontId="3"/>
  </si>
  <si>
    <t>やや外洋</t>
    <rPh sb="2" eb="4">
      <t>ガイヨウ</t>
    </rPh>
    <phoneticPr fontId="13"/>
  </si>
  <si>
    <t>5×2</t>
  </si>
  <si>
    <t>3～4</t>
  </si>
  <si>
    <t>日本海（対馬暖流影響域）</t>
    <rPh sb="0" eb="3">
      <t>ニホンカイ</t>
    </rPh>
    <rPh sb="4" eb="6">
      <t>ツシマ</t>
    </rPh>
    <rPh sb="6" eb="8">
      <t>ダンリュウ</t>
    </rPh>
    <rPh sb="8" eb="10">
      <t>エイキョウ</t>
    </rPh>
    <rPh sb="10" eb="11">
      <t>イキ</t>
    </rPh>
    <phoneticPr fontId="3"/>
  </si>
  <si>
    <t>壱岐周辺</t>
    <rPh sb="0" eb="2">
      <t>イキ</t>
    </rPh>
    <rPh sb="2" eb="4">
      <t>シュウヘン</t>
    </rPh>
    <phoneticPr fontId="3"/>
  </si>
  <si>
    <t>長崎</t>
    <rPh sb="0" eb="2">
      <t>ナガサキ</t>
    </rPh>
    <phoneticPr fontId="3"/>
  </si>
  <si>
    <t>福江　布浦(1)</t>
    <rPh sb="0" eb="2">
      <t>フクエ</t>
    </rPh>
    <rPh sb="3" eb="5">
      <t>ヌノウラ</t>
    </rPh>
    <phoneticPr fontId="9"/>
  </si>
  <si>
    <t>基盤岩＋礫底</t>
    <rPh sb="0" eb="3">
      <t>キバンガン</t>
    </rPh>
    <rPh sb="4" eb="5">
      <t>サレキ</t>
    </rPh>
    <rPh sb="5" eb="6">
      <t>スナゾコ</t>
    </rPh>
    <phoneticPr fontId="3"/>
  </si>
  <si>
    <t>福江　布浦(2)</t>
    <rPh sb="0" eb="2">
      <t>フクエ</t>
    </rPh>
    <rPh sb="3" eb="5">
      <t>ヌノウラ</t>
    </rPh>
    <phoneticPr fontId="9"/>
  </si>
  <si>
    <t>基盤岩＋礫底</t>
    <rPh sb="0" eb="3">
      <t>キバンガン</t>
    </rPh>
    <phoneticPr fontId="3"/>
  </si>
  <si>
    <t>福江　津多羅島(1)</t>
    <rPh sb="0" eb="2">
      <t>フクエ</t>
    </rPh>
    <rPh sb="3" eb="5">
      <t>ツタ</t>
    </rPh>
    <rPh sb="5" eb="6">
      <t>ラ</t>
    </rPh>
    <rPh sb="6" eb="7">
      <t>ジマ</t>
    </rPh>
    <phoneticPr fontId="9"/>
  </si>
  <si>
    <t>基盤岩</t>
    <rPh sb="0" eb="3">
      <t>キバンガン「</t>
    </rPh>
    <phoneticPr fontId="3"/>
  </si>
  <si>
    <t>福江　津多羅島(2)</t>
    <rPh sb="0" eb="2">
      <t>フクエ</t>
    </rPh>
    <rPh sb="3" eb="5">
      <t>ツタ</t>
    </rPh>
    <rPh sb="5" eb="6">
      <t>ラ</t>
    </rPh>
    <rPh sb="6" eb="7">
      <t>ジマ</t>
    </rPh>
    <phoneticPr fontId="9"/>
  </si>
  <si>
    <t>福江　津多羅島(3)</t>
    <rPh sb="0" eb="2">
      <t>フクエ</t>
    </rPh>
    <rPh sb="3" eb="5">
      <t>ツタ</t>
    </rPh>
    <rPh sb="5" eb="6">
      <t>ラ</t>
    </rPh>
    <rPh sb="6" eb="7">
      <t>ジマ</t>
    </rPh>
    <phoneticPr fontId="9"/>
  </si>
  <si>
    <t>壱岐　黒崎</t>
    <rPh sb="0" eb="2">
      <t>イキ</t>
    </rPh>
    <rPh sb="3" eb="5">
      <t>クロサキ</t>
    </rPh>
    <phoneticPr fontId="3"/>
  </si>
  <si>
    <t>砂礫底</t>
    <rPh sb="0" eb="3">
      <t>サレキソコ</t>
    </rPh>
    <phoneticPr fontId="3"/>
  </si>
  <si>
    <t>壱岐　板浦</t>
    <rPh sb="0" eb="2">
      <t>イキ</t>
    </rPh>
    <phoneticPr fontId="3"/>
  </si>
  <si>
    <t>基盤岩＋砂底</t>
    <rPh sb="0" eb="3">
      <t>キバンガン</t>
    </rPh>
    <rPh sb="4" eb="6">
      <t>スナゾコ</t>
    </rPh>
    <phoneticPr fontId="3"/>
  </si>
  <si>
    <t>壱岐　神瀬</t>
    <rPh sb="0" eb="2">
      <t>イキ</t>
    </rPh>
    <phoneticPr fontId="3"/>
  </si>
  <si>
    <t>対馬　瀬ノ浦</t>
    <rPh sb="0" eb="2">
      <t>ツシマ</t>
    </rPh>
    <rPh sb="3" eb="4">
      <t>セ</t>
    </rPh>
    <rPh sb="5" eb="6">
      <t>ウラ</t>
    </rPh>
    <phoneticPr fontId="3"/>
  </si>
  <si>
    <t>対馬　太田浦</t>
    <rPh sb="0" eb="2">
      <t>ツシマ</t>
    </rPh>
    <rPh sb="3" eb="5">
      <t>オオタ</t>
    </rPh>
    <rPh sb="5" eb="6">
      <t>ウラ</t>
    </rPh>
    <phoneticPr fontId="3"/>
  </si>
  <si>
    <t>5～7</t>
  </si>
  <si>
    <t>中通島　三ツ瀬(1)</t>
    <rPh sb="0" eb="3">
      <t>ナカドオリジマ</t>
    </rPh>
    <rPh sb="4" eb="5">
      <t>サン</t>
    </rPh>
    <rPh sb="6" eb="7">
      <t>セ</t>
    </rPh>
    <phoneticPr fontId="13"/>
  </si>
  <si>
    <t>20×20</t>
  </si>
  <si>
    <t>中通島　三ツ瀬(2)</t>
    <rPh sb="0" eb="3">
      <t>ナカドオリジマ</t>
    </rPh>
    <rPh sb="4" eb="5">
      <t>サン</t>
    </rPh>
    <rPh sb="6" eb="7">
      <t>セ</t>
    </rPh>
    <phoneticPr fontId="13"/>
  </si>
  <si>
    <t>10×10</t>
  </si>
  <si>
    <t>中通島　三ツ瀬(3)</t>
    <rPh sb="0" eb="3">
      <t>ナカドオリジマ</t>
    </rPh>
    <rPh sb="4" eb="5">
      <t>サン</t>
    </rPh>
    <rPh sb="6" eb="7">
      <t>セ</t>
    </rPh>
    <phoneticPr fontId="13"/>
  </si>
  <si>
    <t>若松島　滝ケ原</t>
    <rPh sb="0" eb="3">
      <t>ワカマツジマ</t>
    </rPh>
    <rPh sb="4" eb="5">
      <t>タキ</t>
    </rPh>
    <rPh sb="6" eb="7">
      <t>ハラ</t>
    </rPh>
    <phoneticPr fontId="13"/>
  </si>
  <si>
    <t>福江　多々良島</t>
    <rPh sb="0" eb="2">
      <t>フクエ</t>
    </rPh>
    <rPh sb="3" eb="6">
      <t>タタラ</t>
    </rPh>
    <rPh sb="6" eb="7">
      <t>ジマ</t>
    </rPh>
    <phoneticPr fontId="13"/>
  </si>
  <si>
    <t>基盤岩</t>
    <rPh sb="0" eb="2">
      <t>キバン</t>
    </rPh>
    <rPh sb="2" eb="3">
      <t>ガン</t>
    </rPh>
    <phoneticPr fontId="3"/>
  </si>
  <si>
    <t>対馬　太田浦沖</t>
    <rPh sb="6" eb="7">
      <t>オキ</t>
    </rPh>
    <phoneticPr fontId="3"/>
  </si>
  <si>
    <t>30×30</t>
  </si>
  <si>
    <t>紀伊半島（黒潮影響域）</t>
    <rPh sb="0" eb="2">
      <t>キイ</t>
    </rPh>
    <rPh sb="2" eb="4">
      <t>ハントウ</t>
    </rPh>
    <rPh sb="5" eb="7">
      <t>クロシオ</t>
    </rPh>
    <rPh sb="7" eb="9">
      <t>エイキョウ</t>
    </rPh>
    <rPh sb="9" eb="10">
      <t>イキ</t>
    </rPh>
    <phoneticPr fontId="3"/>
  </si>
  <si>
    <t>串本周辺</t>
    <rPh sb="0" eb="2">
      <t>クシモト</t>
    </rPh>
    <rPh sb="2" eb="4">
      <t>シュウヘン</t>
    </rPh>
    <phoneticPr fontId="3"/>
  </si>
  <si>
    <t>和歌山県</t>
    <rPh sb="0" eb="4">
      <t>ワカヤマケン</t>
    </rPh>
    <phoneticPr fontId="4"/>
  </si>
  <si>
    <t>岩/砂礫</t>
  </si>
  <si>
    <t>100×20</t>
  </si>
  <si>
    <t>7～15</t>
  </si>
  <si>
    <t>やや外洋
（入り江）</t>
  </si>
  <si>
    <t>砂礫</t>
  </si>
  <si>
    <t>15～17</t>
  </si>
  <si>
    <t>岩
（サンゴ岩）</t>
  </si>
  <si>
    <t>やや外洋（湾口、くじの川河口近接）</t>
    <rPh sb="2" eb="4">
      <t>ガイヨウ</t>
    </rPh>
    <rPh sb="5" eb="7">
      <t>ワンコウ</t>
    </rPh>
    <rPh sb="11" eb="12">
      <t>カワ</t>
    </rPh>
    <rPh sb="12" eb="14">
      <t>カコウ</t>
    </rPh>
    <rPh sb="14" eb="16">
      <t>キンセツ</t>
    </rPh>
    <phoneticPr fontId="6"/>
  </si>
  <si>
    <t>岩/転石</t>
  </si>
  <si>
    <t>80×40</t>
  </si>
  <si>
    <t>湾奥（高富川河口近接）</t>
    <rPh sb="0" eb="1">
      <t>ワン</t>
    </rPh>
    <rPh sb="1" eb="2">
      <t>オク</t>
    </rPh>
    <rPh sb="3" eb="5">
      <t>タカトミ</t>
    </rPh>
    <rPh sb="5" eb="6">
      <t>カワ</t>
    </rPh>
    <rPh sb="6" eb="8">
      <t>カコウ</t>
    </rPh>
    <rPh sb="8" eb="10">
      <t>キンセツ</t>
    </rPh>
    <phoneticPr fontId="6"/>
  </si>
  <si>
    <t>公園1号地</t>
    <rPh sb="0" eb="2">
      <t>コウエン</t>
    </rPh>
    <rPh sb="3" eb="5">
      <t>ゴウチ</t>
    </rPh>
    <phoneticPr fontId="4"/>
  </si>
  <si>
    <t>礫砂</t>
  </si>
  <si>
    <t>100×25</t>
  </si>
  <si>
    <t>公園2号地</t>
    <rPh sb="0" eb="2">
      <t>コウエン</t>
    </rPh>
    <rPh sb="3" eb="5">
      <t>ゴウチ</t>
    </rPh>
    <phoneticPr fontId="4"/>
  </si>
  <si>
    <t>岩/礫砂</t>
  </si>
  <si>
    <t>公園3号地</t>
    <rPh sb="0" eb="2">
      <t>コウエン</t>
    </rPh>
    <rPh sb="3" eb="5">
      <t>ゴウチ</t>
    </rPh>
    <phoneticPr fontId="4"/>
  </si>
  <si>
    <t>沖瀬</t>
  </si>
  <si>
    <t>公園4号地</t>
    <rPh sb="0" eb="2">
      <t>コウエン</t>
    </rPh>
    <rPh sb="3" eb="5">
      <t>ゴウチ</t>
    </rPh>
    <phoneticPr fontId="4"/>
  </si>
  <si>
    <t>入り江</t>
  </si>
  <si>
    <t>砂礫/岩</t>
  </si>
  <si>
    <t>展望塔前</t>
    <rPh sb="0" eb="3">
      <t>テンボウトウ</t>
    </rPh>
    <rPh sb="3" eb="4">
      <t>マエ</t>
    </rPh>
    <phoneticPr fontId="4"/>
  </si>
  <si>
    <t>100×30</t>
  </si>
  <si>
    <t>有田湾奥</t>
    <rPh sb="0" eb="2">
      <t>アリタ</t>
    </rPh>
    <rPh sb="2" eb="3">
      <t>ワン</t>
    </rPh>
    <rPh sb="3" eb="4">
      <t>オク</t>
    </rPh>
    <phoneticPr fontId="4"/>
  </si>
  <si>
    <t>湾奥</t>
  </si>
  <si>
    <t>泥/砂礫</t>
  </si>
  <si>
    <t>下浅地</t>
    <rPh sb="0" eb="1">
      <t>シモ</t>
    </rPh>
    <rPh sb="1" eb="3">
      <t>アサジ</t>
    </rPh>
    <phoneticPr fontId="4"/>
  </si>
  <si>
    <t>17～25</t>
  </si>
  <si>
    <t>三重県</t>
    <rPh sb="0" eb="3">
      <t>ミエケン</t>
    </rPh>
    <phoneticPr fontId="4"/>
  </si>
  <si>
    <t>二木島海中公園
1号地区</t>
    <rPh sb="0" eb="3">
      <t>ニギシマ</t>
    </rPh>
    <rPh sb="3" eb="5">
      <t>カイチュウ</t>
    </rPh>
    <rPh sb="5" eb="7">
      <t>コウエン</t>
    </rPh>
    <rPh sb="9" eb="10">
      <t>ゴウ</t>
    </rPh>
    <rPh sb="10" eb="12">
      <t>チク</t>
    </rPh>
    <phoneticPr fontId="7"/>
  </si>
  <si>
    <t>外洋</t>
    <rPh sb="0" eb="2">
      <t>ガイヨウ</t>
    </rPh>
    <phoneticPr fontId="7"/>
  </si>
  <si>
    <t>20×100</t>
  </si>
  <si>
    <t>2～25</t>
  </si>
  <si>
    <t>1～15</t>
  </si>
  <si>
    <t>紀伊大島
ゾウバナ</t>
    <rPh sb="0" eb="2">
      <t>キイ</t>
    </rPh>
    <rPh sb="2" eb="4">
      <t>オオシマ</t>
    </rPh>
    <phoneticPr fontId="13"/>
  </si>
  <si>
    <t>弱い内湾傾向</t>
    <rPh sb="0" eb="1">
      <t>ヨワ</t>
    </rPh>
    <rPh sb="2" eb="3">
      <t>ナイ</t>
    </rPh>
    <rPh sb="3" eb="4">
      <t>ワン</t>
    </rPh>
    <rPh sb="4" eb="6">
      <t>ケイコウ</t>
    </rPh>
    <phoneticPr fontId="3"/>
  </si>
  <si>
    <t>砂礫/岩</t>
    <rPh sb="0" eb="2">
      <t>サレキ</t>
    </rPh>
    <phoneticPr fontId="3"/>
  </si>
  <si>
    <t>10～20</t>
  </si>
  <si>
    <t>四国（黒潮影響域）</t>
    <rPh sb="0" eb="2">
      <t>シコク</t>
    </rPh>
    <rPh sb="3" eb="5">
      <t>クロシオ</t>
    </rPh>
    <rPh sb="5" eb="7">
      <t>エイキョウ</t>
    </rPh>
    <rPh sb="7" eb="8">
      <t>イキ</t>
    </rPh>
    <phoneticPr fontId="3"/>
  </si>
  <si>
    <t>四国南西岸（宇和海～足摺岬）</t>
    <rPh sb="2" eb="3">
      <t>ミナミ</t>
    </rPh>
    <phoneticPr fontId="3"/>
  </si>
  <si>
    <t>愛媛県</t>
    <rPh sb="0" eb="3">
      <t>エヒメケン</t>
    </rPh>
    <phoneticPr fontId="4"/>
  </si>
  <si>
    <t>須ノ川</t>
    <rPh sb="0" eb="1">
      <t>ス</t>
    </rPh>
    <rPh sb="2" eb="3">
      <t>カワ</t>
    </rPh>
    <phoneticPr fontId="4"/>
  </si>
  <si>
    <t>開放的湾内</t>
    <rPh sb="0" eb="3">
      <t>カイホウテキ</t>
    </rPh>
    <rPh sb="3" eb="5">
      <t>ワンナイ</t>
    </rPh>
    <phoneticPr fontId="13"/>
  </si>
  <si>
    <t>砂,転石,岩,砂礫</t>
    <rPh sb="0" eb="1">
      <t>スナ</t>
    </rPh>
    <rPh sb="2" eb="3">
      <t>テン</t>
    </rPh>
    <rPh sb="3" eb="4">
      <t>セキ</t>
    </rPh>
    <rPh sb="5" eb="6">
      <t>イワ</t>
    </rPh>
    <rPh sb="7" eb="9">
      <t>サレキ</t>
    </rPh>
    <phoneticPr fontId="13"/>
  </si>
  <si>
    <t>鹿島</t>
    <rPh sb="0" eb="2">
      <t>カシマ</t>
    </rPh>
    <phoneticPr fontId="4"/>
  </si>
  <si>
    <t>外海</t>
    <rPh sb="0" eb="2">
      <t>ソトウミ</t>
    </rPh>
    <phoneticPr fontId="13"/>
  </si>
  <si>
    <t>砂,転石</t>
    <rPh sb="0" eb="1">
      <t>スナ</t>
    </rPh>
    <rPh sb="2" eb="3">
      <t>テン</t>
    </rPh>
    <rPh sb="3" eb="4">
      <t>セキ</t>
    </rPh>
    <phoneticPr fontId="13"/>
  </si>
  <si>
    <t>1～9.5</t>
  </si>
  <si>
    <t>天嶬鼻</t>
    <rPh sb="0" eb="1">
      <t>アマ</t>
    </rPh>
    <rPh sb="1" eb="2">
      <t>タカシ</t>
    </rPh>
    <rPh sb="2" eb="3">
      <t>バナ</t>
    </rPh>
    <phoneticPr fontId="4"/>
  </si>
  <si>
    <t>砂,礫,転石,岩</t>
    <rPh sb="0" eb="1">
      <t>スナ</t>
    </rPh>
    <rPh sb="2" eb="3">
      <t>レキ</t>
    </rPh>
    <rPh sb="4" eb="5">
      <t>テン</t>
    </rPh>
    <rPh sb="5" eb="6">
      <t>セキ</t>
    </rPh>
    <rPh sb="7" eb="8">
      <t>イワ</t>
    </rPh>
    <phoneticPr fontId="13"/>
  </si>
  <si>
    <t>1～3.5</t>
  </si>
  <si>
    <t>高知県</t>
    <rPh sb="0" eb="3">
      <t>コウチケン</t>
    </rPh>
    <phoneticPr fontId="4"/>
  </si>
  <si>
    <t>白浜</t>
    <rPh sb="0" eb="2">
      <t>シラハマ</t>
    </rPh>
    <phoneticPr fontId="4"/>
  </si>
  <si>
    <t>内湾</t>
    <rPh sb="0" eb="1">
      <t>ナイ</t>
    </rPh>
    <rPh sb="1" eb="2">
      <t>ワン</t>
    </rPh>
    <phoneticPr fontId="13"/>
  </si>
  <si>
    <t>砂,転石,岩</t>
    <rPh sb="0" eb="1">
      <t>スナ</t>
    </rPh>
    <rPh sb="2" eb="3">
      <t>テン</t>
    </rPh>
    <rPh sb="3" eb="4">
      <t>セキ</t>
    </rPh>
    <rPh sb="5" eb="6">
      <t>イワ</t>
    </rPh>
    <phoneticPr fontId="13"/>
  </si>
  <si>
    <t>黒崎</t>
    <rPh sb="0" eb="2">
      <t>クロサキ</t>
    </rPh>
    <phoneticPr fontId="4"/>
  </si>
  <si>
    <t>網代</t>
    <rPh sb="0" eb="2">
      <t>アジロ</t>
    </rPh>
    <phoneticPr fontId="4"/>
  </si>
  <si>
    <t>柏島</t>
    <rPh sb="0" eb="1">
      <t>カシワ</t>
    </rPh>
    <rPh sb="1" eb="2">
      <t>ジマ</t>
    </rPh>
    <phoneticPr fontId="4"/>
  </si>
  <si>
    <t>沖ノ島・トリノクビ</t>
    <rPh sb="0" eb="1">
      <t>オキ</t>
    </rPh>
    <rPh sb="2" eb="3">
      <t>シマ</t>
    </rPh>
    <phoneticPr fontId="4"/>
  </si>
  <si>
    <t>1～6.3</t>
  </si>
  <si>
    <t>沖ノ島・三ツ碆</t>
    <rPh sb="0" eb="1">
      <t>オキ</t>
    </rPh>
    <rPh sb="2" eb="3">
      <t>シマ</t>
    </rPh>
    <rPh sb="4" eb="5">
      <t>ミ</t>
    </rPh>
    <phoneticPr fontId="4"/>
  </si>
  <si>
    <t>外海・沖瀬</t>
    <rPh sb="0" eb="2">
      <t>ソトウミ</t>
    </rPh>
    <rPh sb="3" eb="4">
      <t>オキ</t>
    </rPh>
    <rPh sb="4" eb="5">
      <t>セ</t>
    </rPh>
    <phoneticPr fontId="13"/>
  </si>
  <si>
    <t>-</t>
  </si>
  <si>
    <t>尻貝</t>
    <rPh sb="0" eb="1">
      <t>シリ</t>
    </rPh>
    <rPh sb="1" eb="2">
      <t>ガイ</t>
    </rPh>
    <phoneticPr fontId="4"/>
  </si>
  <si>
    <t>1～8.4</t>
  </si>
  <si>
    <t>西泊</t>
    <rPh sb="0" eb="1">
      <t>ニシ</t>
    </rPh>
    <rPh sb="1" eb="2">
      <t>ト</t>
    </rPh>
    <phoneticPr fontId="4"/>
  </si>
  <si>
    <t>湾口</t>
    <rPh sb="0" eb="2">
      <t>ワンコウ</t>
    </rPh>
    <phoneticPr fontId="13"/>
  </si>
  <si>
    <t>爪白</t>
    <rPh sb="0" eb="1">
      <t>ツマ</t>
    </rPh>
    <rPh sb="1" eb="2">
      <t>ジロ</t>
    </rPh>
    <phoneticPr fontId="4"/>
  </si>
  <si>
    <t>1～6.5</t>
  </si>
  <si>
    <t>海中公園2号地・竜串１</t>
    <rPh sb="0" eb="2">
      <t>カイチュウ</t>
    </rPh>
    <rPh sb="2" eb="4">
      <t>コウエン</t>
    </rPh>
    <rPh sb="5" eb="7">
      <t>ゴウチ</t>
    </rPh>
    <rPh sb="8" eb="10">
      <t>タツクシ</t>
    </rPh>
    <phoneticPr fontId="4"/>
  </si>
  <si>
    <t>1～8.3</t>
  </si>
  <si>
    <t>海中公園2号地・竜串２</t>
    <rPh sb="0" eb="2">
      <t>カイチュウ</t>
    </rPh>
    <rPh sb="2" eb="4">
      <t>コウエン</t>
    </rPh>
    <rPh sb="5" eb="7">
      <t>ゴウチ</t>
    </rPh>
    <rPh sb="8" eb="10">
      <t>タツクシ</t>
    </rPh>
    <phoneticPr fontId="4"/>
  </si>
  <si>
    <t>1～7.2</t>
  </si>
  <si>
    <t>海中公園3号地・大碆</t>
    <rPh sb="0" eb="2">
      <t>カイチュウ</t>
    </rPh>
    <rPh sb="2" eb="4">
      <t>コウエン</t>
    </rPh>
    <rPh sb="5" eb="7">
      <t>ゴウチ</t>
    </rPh>
    <rPh sb="8" eb="9">
      <t>オオ</t>
    </rPh>
    <phoneticPr fontId="4"/>
  </si>
  <si>
    <t>大村碆</t>
    <rPh sb="0" eb="2">
      <t>オオムラ</t>
    </rPh>
    <rPh sb="2" eb="3">
      <t>ハ</t>
    </rPh>
    <phoneticPr fontId="4"/>
  </si>
  <si>
    <t>岩,転石,砂礫</t>
    <rPh sb="0" eb="1">
      <t>イワ</t>
    </rPh>
    <rPh sb="2" eb="3">
      <t>テン</t>
    </rPh>
    <rPh sb="3" eb="4">
      <t>セキ</t>
    </rPh>
    <rPh sb="5" eb="7">
      <t>サレキ</t>
    </rPh>
    <phoneticPr fontId="13"/>
  </si>
  <si>
    <t>1～6.9</t>
  </si>
  <si>
    <t>奈半利10号堤　内側</t>
    <rPh sb="5" eb="6">
      <t>ゴウ</t>
    </rPh>
    <rPh sb="6" eb="7">
      <t>ツツミ</t>
    </rPh>
    <rPh sb="8" eb="10">
      <t>ウチガワ</t>
    </rPh>
    <phoneticPr fontId="4"/>
  </si>
  <si>
    <t>離岸堤内側</t>
    <rPh sb="0" eb="3">
      <t>リガンテイ</t>
    </rPh>
    <rPh sb="3" eb="5">
      <t>ウチガワ</t>
    </rPh>
    <phoneticPr fontId="13"/>
  </si>
  <si>
    <t>コンクリートブロック</t>
  </si>
  <si>
    <t>奈半利7号堤　外側</t>
    <rPh sb="4" eb="5">
      <t>ゴウ</t>
    </rPh>
    <rPh sb="5" eb="6">
      <t>ツツミ</t>
    </rPh>
    <rPh sb="7" eb="9">
      <t>ソトガワ</t>
    </rPh>
    <phoneticPr fontId="4"/>
  </si>
  <si>
    <t>離岸堤外側</t>
    <rPh sb="0" eb="3">
      <t>リガンテイ</t>
    </rPh>
    <rPh sb="3" eb="5">
      <t>ソトガワ</t>
    </rPh>
    <phoneticPr fontId="13"/>
  </si>
  <si>
    <t>奈半利5号堤　内側</t>
    <rPh sb="4" eb="5">
      <t>ゴウ</t>
    </rPh>
    <rPh sb="5" eb="6">
      <t>ツツミ</t>
    </rPh>
    <rPh sb="7" eb="9">
      <t>ウチガワ</t>
    </rPh>
    <phoneticPr fontId="4"/>
  </si>
  <si>
    <t>田野2号堤　内側</t>
    <rPh sb="0" eb="2">
      <t>タノ</t>
    </rPh>
    <rPh sb="3" eb="5">
      <t>ゴウテイ</t>
    </rPh>
    <rPh sb="6" eb="8">
      <t>ウチガワ</t>
    </rPh>
    <phoneticPr fontId="4"/>
  </si>
  <si>
    <t>徳島県</t>
    <rPh sb="0" eb="3">
      <t>トクシマケン</t>
    </rPh>
    <phoneticPr fontId="4"/>
  </si>
  <si>
    <t>金目</t>
    <rPh sb="0" eb="2">
      <t>カナメ</t>
    </rPh>
    <phoneticPr fontId="4"/>
  </si>
  <si>
    <t>岩・砂</t>
    <rPh sb="0" eb="1">
      <t>イワ</t>
    </rPh>
    <rPh sb="2" eb="3">
      <t>スナ</t>
    </rPh>
    <phoneticPr fontId="13"/>
  </si>
  <si>
    <t>海中公園1号地・沖側</t>
    <rPh sb="0" eb="2">
      <t>カイチュウ</t>
    </rPh>
    <rPh sb="2" eb="4">
      <t>コウエン</t>
    </rPh>
    <rPh sb="5" eb="7">
      <t>ゴウチ</t>
    </rPh>
    <rPh sb="8" eb="10">
      <t>オキガワ</t>
    </rPh>
    <phoneticPr fontId="4"/>
  </si>
  <si>
    <t>海中公園1号地・水路側</t>
    <rPh sb="0" eb="2">
      <t>カイチュウ</t>
    </rPh>
    <rPh sb="2" eb="4">
      <t>コウエン</t>
    </rPh>
    <rPh sb="5" eb="7">
      <t>ゴウチ</t>
    </rPh>
    <rPh sb="8" eb="10">
      <t>スイロ</t>
    </rPh>
    <rPh sb="10" eb="11">
      <t>ガワ</t>
    </rPh>
    <phoneticPr fontId="4"/>
  </si>
  <si>
    <t>海中公園2号地・竹ヶ島</t>
    <rPh sb="0" eb="2">
      <t>カイチュウ</t>
    </rPh>
    <rPh sb="2" eb="4">
      <t>コウエン</t>
    </rPh>
    <rPh sb="5" eb="7">
      <t>ゴウチ</t>
    </rPh>
    <rPh sb="8" eb="11">
      <t>タケガシマ</t>
    </rPh>
    <phoneticPr fontId="4"/>
  </si>
  <si>
    <t>海中公園2号地・二子島</t>
    <rPh sb="0" eb="2">
      <t>カイチュウ</t>
    </rPh>
    <rPh sb="2" eb="4">
      <t>コウエン</t>
    </rPh>
    <rPh sb="5" eb="7">
      <t>ゴウチ</t>
    </rPh>
    <rPh sb="8" eb="11">
      <t>フタゴジマ</t>
    </rPh>
    <phoneticPr fontId="4"/>
  </si>
  <si>
    <t>大島・海中公園1号地</t>
    <rPh sb="0" eb="2">
      <t>オオシマ</t>
    </rPh>
    <rPh sb="3" eb="5">
      <t>カイチュウ</t>
    </rPh>
    <rPh sb="5" eb="7">
      <t>コウエン</t>
    </rPh>
    <rPh sb="8" eb="10">
      <t>ゴウチ</t>
    </rPh>
    <phoneticPr fontId="4"/>
  </si>
  <si>
    <t>岩・礫</t>
    <rPh sb="0" eb="1">
      <t>イワ</t>
    </rPh>
    <rPh sb="2" eb="3">
      <t>レキ</t>
    </rPh>
    <phoneticPr fontId="13"/>
  </si>
  <si>
    <t>8～17</t>
  </si>
  <si>
    <t>大島・海中公園2号地</t>
    <rPh sb="0" eb="2">
      <t>オオシマ</t>
    </rPh>
    <rPh sb="3" eb="5">
      <t>カイチュウ</t>
    </rPh>
    <rPh sb="5" eb="7">
      <t>コウエン</t>
    </rPh>
    <rPh sb="8" eb="10">
      <t>ゴウチ</t>
    </rPh>
    <phoneticPr fontId="4"/>
  </si>
  <si>
    <t>大島・ビシャゴ</t>
    <rPh sb="0" eb="2">
      <t>オオシマ</t>
    </rPh>
    <phoneticPr fontId="4"/>
  </si>
  <si>
    <t>岩・転石</t>
    <rPh sb="0" eb="1">
      <t>イワ</t>
    </rPh>
    <rPh sb="2" eb="4">
      <t>テンセキ</t>
    </rPh>
    <phoneticPr fontId="13"/>
  </si>
  <si>
    <t>5～19</t>
  </si>
  <si>
    <t>大島・内湾</t>
    <rPh sb="0" eb="2">
      <t>オオシマ</t>
    </rPh>
    <rPh sb="3" eb="4">
      <t>ナイ</t>
    </rPh>
    <rPh sb="4" eb="5">
      <t>ワン</t>
    </rPh>
    <phoneticPr fontId="4"/>
  </si>
  <si>
    <t>湾内</t>
    <rPh sb="0" eb="1">
      <t>ワン</t>
    </rPh>
    <rPh sb="1" eb="2">
      <t>ナイ</t>
    </rPh>
    <phoneticPr fontId="13"/>
  </si>
  <si>
    <t>6～20</t>
  </si>
  <si>
    <t>大島・チエバの下</t>
    <rPh sb="0" eb="2">
      <t>オオシマ</t>
    </rPh>
    <rPh sb="7" eb="8">
      <t>シタ</t>
    </rPh>
    <phoneticPr fontId="3"/>
  </si>
  <si>
    <t>モニタリング基盤ＷＢ</t>
    <rPh sb="6" eb="8">
      <t>キバン</t>
    </rPh>
    <phoneticPr fontId="3"/>
  </si>
  <si>
    <t>湾内</t>
    <rPh sb="0" eb="2">
      <t>ワンナイ</t>
    </rPh>
    <phoneticPr fontId="6"/>
  </si>
  <si>
    <t>岩・砂</t>
    <rPh sb="0" eb="1">
      <t>イワ</t>
    </rPh>
    <rPh sb="2" eb="3">
      <t>スナ</t>
    </rPh>
    <phoneticPr fontId="6"/>
  </si>
  <si>
    <t>大手の浜・灯台下</t>
    <rPh sb="0" eb="2">
      <t>オオテ</t>
    </rPh>
    <rPh sb="3" eb="4">
      <t>ハマ</t>
    </rPh>
    <rPh sb="5" eb="7">
      <t>トウダイ</t>
    </rPh>
    <rPh sb="7" eb="8">
      <t>シタ</t>
    </rPh>
    <phoneticPr fontId="13"/>
  </si>
  <si>
    <t>内湾</t>
    <rPh sb="0" eb="2">
      <t>ナイワン</t>
    </rPh>
    <phoneticPr fontId="3"/>
  </si>
  <si>
    <t>岩・砂地</t>
    <rPh sb="0" eb="1">
      <t>イワ</t>
    </rPh>
    <rPh sb="2" eb="4">
      <t>スナジ</t>
    </rPh>
    <phoneticPr fontId="13"/>
  </si>
  <si>
    <t>大手の浜・海風荘下</t>
    <rPh sb="0" eb="2">
      <t>オオテ</t>
    </rPh>
    <rPh sb="3" eb="4">
      <t>ハマ</t>
    </rPh>
    <rPh sb="5" eb="7">
      <t>カイフウ</t>
    </rPh>
    <rPh sb="7" eb="8">
      <t>ソウ</t>
    </rPh>
    <rPh sb="8" eb="9">
      <t>シタ</t>
    </rPh>
    <phoneticPr fontId="13"/>
  </si>
  <si>
    <t>九州南東部（黒潮影響域）</t>
    <rPh sb="0" eb="2">
      <t>キュウシュウ</t>
    </rPh>
    <rPh sb="2" eb="5">
      <t>ナントウブ</t>
    </rPh>
    <rPh sb="6" eb="8">
      <t>クロシオ</t>
    </rPh>
    <rPh sb="8" eb="10">
      <t>エイキョウ</t>
    </rPh>
    <rPh sb="10" eb="11">
      <t>イキ</t>
    </rPh>
    <phoneticPr fontId="3"/>
  </si>
  <si>
    <t>鹿児島県南部沿岸</t>
    <rPh sb="0" eb="4">
      <t>カゴシマケン</t>
    </rPh>
    <rPh sb="4" eb="6">
      <t>ナンブ</t>
    </rPh>
    <rPh sb="6" eb="8">
      <t>エンガン</t>
    </rPh>
    <phoneticPr fontId="3"/>
  </si>
  <si>
    <t>身代湾入口</t>
    <rPh sb="0" eb="2">
      <t>ミガ</t>
    </rPh>
    <rPh sb="2" eb="3">
      <t>ワン</t>
    </rPh>
    <rPh sb="3" eb="5">
      <t>イリグチ</t>
    </rPh>
    <phoneticPr fontId="19"/>
  </si>
  <si>
    <t>小湾入口</t>
    <rPh sb="0" eb="2">
      <t>ショウワン</t>
    </rPh>
    <rPh sb="2" eb="4">
      <t>イリグチ</t>
    </rPh>
    <phoneticPr fontId="3"/>
  </si>
  <si>
    <t>角礫</t>
    <rPh sb="0" eb="2">
      <t>カクレキレキ</t>
    </rPh>
    <phoneticPr fontId="4"/>
  </si>
  <si>
    <t>6.4～9.9</t>
  </si>
  <si>
    <t>観音崎東</t>
    <rPh sb="0" eb="3">
      <t>カンノンザキ</t>
    </rPh>
    <rPh sb="3" eb="4">
      <t>ヒガシ</t>
    </rPh>
    <phoneticPr fontId="19"/>
  </si>
  <si>
    <t>岩礁入江</t>
    <rPh sb="0" eb="2">
      <t>ガンショウ</t>
    </rPh>
    <rPh sb="2" eb="4">
      <t>イリエ</t>
    </rPh>
    <phoneticPr fontId="3"/>
  </si>
  <si>
    <t>岩礁、角礫</t>
    <rPh sb="0" eb="2">
      <t>ガンショウ</t>
    </rPh>
    <rPh sb="3" eb="4">
      <t>カク</t>
    </rPh>
    <rPh sb="4" eb="5">
      <t>レキ</t>
    </rPh>
    <phoneticPr fontId="4"/>
  </si>
  <si>
    <t>3.4～9.6</t>
  </si>
  <si>
    <t>沖小島 （立神）</t>
    <rPh sb="0" eb="3">
      <t>オキコジマ</t>
    </rPh>
    <rPh sb="5" eb="6">
      <t>タ</t>
    </rPh>
    <rPh sb="6" eb="7">
      <t>カミ</t>
    </rPh>
    <phoneticPr fontId="19"/>
  </si>
  <si>
    <t>島入江</t>
    <rPh sb="0" eb="1">
      <t>シマ</t>
    </rPh>
    <rPh sb="1" eb="3">
      <t>イリエ</t>
    </rPh>
    <phoneticPr fontId="3"/>
  </si>
  <si>
    <t>礫</t>
    <rPh sb="0" eb="1">
      <t>レキ</t>
    </rPh>
    <phoneticPr fontId="4"/>
  </si>
  <si>
    <t>3.0～4.5</t>
  </si>
  <si>
    <t>神瀬</t>
    <rPh sb="0" eb="1">
      <t>カミ</t>
    </rPh>
    <rPh sb="1" eb="2">
      <t>セ</t>
    </rPh>
    <phoneticPr fontId="19"/>
  </si>
  <si>
    <t>干出瀬</t>
    <rPh sb="0" eb="1">
      <t>ヒ</t>
    </rPh>
    <rPh sb="1" eb="2">
      <t>シュツ</t>
    </rPh>
    <rPh sb="2" eb="3">
      <t>セ</t>
    </rPh>
    <phoneticPr fontId="3"/>
  </si>
  <si>
    <t>礫、砂</t>
    <rPh sb="0" eb="1">
      <t>レキ</t>
    </rPh>
    <rPh sb="2" eb="3">
      <t>スナ</t>
    </rPh>
    <phoneticPr fontId="4"/>
  </si>
  <si>
    <t>2.6～4.6</t>
  </si>
  <si>
    <t>岩礁、礫</t>
    <rPh sb="0" eb="2">
      <t>ガンショウ</t>
    </rPh>
    <rPh sb="3" eb="4">
      <t>レキ</t>
    </rPh>
    <phoneticPr fontId="4"/>
  </si>
  <si>
    <t>3～7.6</t>
  </si>
  <si>
    <t>佐田岬海中公園・岬側</t>
    <rPh sb="0" eb="3">
      <t>サダミサキ</t>
    </rPh>
    <rPh sb="3" eb="7">
      <t>カイチュウコウエン</t>
    </rPh>
    <rPh sb="8" eb="9">
      <t>ミサキ</t>
    </rPh>
    <rPh sb="9" eb="10">
      <t>ガワ</t>
    </rPh>
    <phoneticPr fontId="19"/>
  </si>
  <si>
    <t>岩礁、砂</t>
    <rPh sb="0" eb="2">
      <t>ガンショウ</t>
    </rPh>
    <rPh sb="3" eb="4">
      <t>スナ</t>
    </rPh>
    <phoneticPr fontId="4"/>
  </si>
  <si>
    <t>佐多岬海中公園・ビロウ島</t>
    <rPh sb="0" eb="3">
      <t>サタミサキ</t>
    </rPh>
    <rPh sb="3" eb="7">
      <t>カイチュウコウエン</t>
    </rPh>
    <rPh sb="11" eb="12">
      <t>ジマ</t>
    </rPh>
    <phoneticPr fontId="19"/>
  </si>
  <si>
    <t>島岩礁</t>
    <rPh sb="0" eb="1">
      <t>シマ</t>
    </rPh>
    <rPh sb="1" eb="3">
      <t>ガンショウ</t>
    </rPh>
    <phoneticPr fontId="3"/>
  </si>
  <si>
    <t>白木</t>
    <rPh sb="0" eb="2">
      <t>シロキ</t>
    </rPh>
    <phoneticPr fontId="19"/>
  </si>
  <si>
    <t>巨大礫</t>
    <rPh sb="0" eb="2">
      <t>キョダイ</t>
    </rPh>
    <rPh sb="2" eb="3">
      <t>レキ</t>
    </rPh>
    <phoneticPr fontId="4"/>
  </si>
  <si>
    <t>3～6</t>
  </si>
  <si>
    <t>赤水大龍　権現</t>
    <rPh sb="0" eb="2">
      <t>アカミズ</t>
    </rPh>
    <rPh sb="2" eb="3">
      <t>オオ</t>
    </rPh>
    <rPh sb="3" eb="4">
      <t>リュウ</t>
    </rPh>
    <rPh sb="5" eb="7">
      <t>ゴンゲン</t>
    </rPh>
    <phoneticPr fontId="19"/>
  </si>
  <si>
    <t>坊津・塩ケ浦</t>
    <rPh sb="3" eb="4">
      <t>シオ</t>
    </rPh>
    <rPh sb="5" eb="6">
      <t>ウラ</t>
    </rPh>
    <phoneticPr fontId="19"/>
  </si>
  <si>
    <t>坊津・馬込浜その1</t>
    <rPh sb="3" eb="4">
      <t>ウマ</t>
    </rPh>
    <rPh sb="4" eb="5">
      <t>コ</t>
    </rPh>
    <rPh sb="5" eb="6">
      <t>ハマ</t>
    </rPh>
    <phoneticPr fontId="19"/>
  </si>
  <si>
    <t>坊津・馬込浜その2</t>
    <rPh sb="0" eb="2">
      <t>ボウノツ</t>
    </rPh>
    <rPh sb="3" eb="4">
      <t>ウマ</t>
    </rPh>
    <rPh sb="4" eb="5">
      <t>コ</t>
    </rPh>
    <rPh sb="5" eb="6">
      <t>ハマ</t>
    </rPh>
    <phoneticPr fontId="19"/>
  </si>
  <si>
    <t>砂浜沖沈瀬</t>
    <rPh sb="0" eb="2">
      <t>スナハマ</t>
    </rPh>
    <rPh sb="2" eb="3">
      <t>オキ</t>
    </rPh>
    <rPh sb="3" eb="4">
      <t>シズ</t>
    </rPh>
    <rPh sb="4" eb="5">
      <t>セ</t>
    </rPh>
    <phoneticPr fontId="3"/>
  </si>
  <si>
    <t>坊津・平崎集会場下</t>
    <rPh sb="0" eb="2">
      <t>ボウノツ</t>
    </rPh>
    <rPh sb="3" eb="5">
      <t>ヒラサキ</t>
    </rPh>
    <rPh sb="5" eb="9">
      <t>シュウカイジョウシタ</t>
    </rPh>
    <phoneticPr fontId="19"/>
  </si>
  <si>
    <t>坊津・田平</t>
    <rPh sb="0" eb="2">
      <t>ボウノツ</t>
    </rPh>
    <rPh sb="3" eb="5">
      <t>タヒラ</t>
    </rPh>
    <phoneticPr fontId="19"/>
  </si>
  <si>
    <t>笠沙町・大当</t>
    <rPh sb="0" eb="3">
      <t>カササチョウ</t>
    </rPh>
    <rPh sb="4" eb="6">
      <t>ダイトウ</t>
    </rPh>
    <phoneticPr fontId="19"/>
  </si>
  <si>
    <t>開放海岸</t>
    <rPh sb="0" eb="4">
      <t>カイホウカイガン</t>
    </rPh>
    <phoneticPr fontId="3"/>
  </si>
  <si>
    <t>阿久根・桑島　　</t>
    <rPh sb="0" eb="3">
      <t>アクネ</t>
    </rPh>
    <rPh sb="4" eb="6">
      <t>クワシマ</t>
    </rPh>
    <phoneticPr fontId="19"/>
  </si>
  <si>
    <t>桑島西岸の浅瀬</t>
    <rPh sb="0" eb="2">
      <t>クワシマ</t>
    </rPh>
    <rPh sb="2" eb="4">
      <t>セイガン</t>
    </rPh>
    <rPh sb="5" eb="7">
      <t>アサセ</t>
    </rPh>
    <phoneticPr fontId="3"/>
  </si>
  <si>
    <t>長島・多々羅島</t>
    <rPh sb="0" eb="2">
      <t>ナガシマ</t>
    </rPh>
    <rPh sb="3" eb="6">
      <t>タタラ</t>
    </rPh>
    <rPh sb="6" eb="7">
      <t>ジマ</t>
    </rPh>
    <phoneticPr fontId="19"/>
  </si>
  <si>
    <t>多々羅島西岸</t>
    <rPh sb="0" eb="3">
      <t>タタラ</t>
    </rPh>
    <rPh sb="3" eb="4">
      <t>ジマ</t>
    </rPh>
    <rPh sb="4" eb="6">
      <t>セイガン</t>
    </rPh>
    <phoneticPr fontId="3"/>
  </si>
  <si>
    <t>4～9</t>
  </si>
  <si>
    <t>湾内</t>
    <rPh sb="0" eb="2">
      <t>ワンナイ</t>
    </rPh>
    <phoneticPr fontId="3"/>
  </si>
  <si>
    <t>九州西部（対馬暖流影響域）</t>
    <rPh sb="0" eb="2">
      <t>キュウシュウ</t>
    </rPh>
    <rPh sb="2" eb="4">
      <t>セイブ</t>
    </rPh>
    <rPh sb="5" eb="7">
      <t>ツシマ</t>
    </rPh>
    <rPh sb="7" eb="9">
      <t>ダンリュウ</t>
    </rPh>
    <rPh sb="9" eb="11">
      <t>エイキョウ</t>
    </rPh>
    <rPh sb="11" eb="12">
      <t>イキ</t>
    </rPh>
    <phoneticPr fontId="3"/>
  </si>
  <si>
    <t>天草周辺</t>
    <rPh sb="0" eb="2">
      <t>アマクサ</t>
    </rPh>
    <rPh sb="2" eb="4">
      <t>シュウヘン</t>
    </rPh>
    <phoneticPr fontId="3"/>
  </si>
  <si>
    <t>熊本県</t>
    <rPh sb="0" eb="3">
      <t>クマモトケン</t>
    </rPh>
    <phoneticPr fontId="4"/>
  </si>
  <si>
    <t>沈瀬</t>
    <rPh sb="0" eb="1">
      <t>シズ</t>
    </rPh>
    <rPh sb="1" eb="2">
      <t>セ</t>
    </rPh>
    <phoneticPr fontId="13"/>
  </si>
  <si>
    <t>岩礁、間に砂</t>
    <rPh sb="0" eb="2">
      <t>ガンショウ</t>
    </rPh>
    <rPh sb="3" eb="4">
      <t>アイダ</t>
    </rPh>
    <rPh sb="5" eb="6">
      <t>スナ</t>
    </rPh>
    <phoneticPr fontId="6"/>
  </si>
  <si>
    <t>岩礁開放海岸</t>
    <rPh sb="0" eb="2">
      <t>ガンショウ</t>
    </rPh>
    <rPh sb="2" eb="6">
      <t>カイホウカイガン</t>
    </rPh>
    <phoneticPr fontId="13"/>
  </si>
  <si>
    <t>岩礁一部円礫</t>
    <rPh sb="0" eb="2">
      <t>ガンショウ</t>
    </rPh>
    <rPh sb="2" eb="4">
      <t>イチブ</t>
    </rPh>
    <rPh sb="4" eb="5">
      <t>エンレキ</t>
    </rPh>
    <rPh sb="5" eb="6">
      <t>レキ</t>
    </rPh>
    <phoneticPr fontId="6"/>
  </si>
  <si>
    <t>天草海中公園、大ガ瀬対岸</t>
    <rPh sb="0" eb="2">
      <t>アマクサ</t>
    </rPh>
    <rPh sb="2" eb="4">
      <t>カイチュウ</t>
    </rPh>
    <rPh sb="4" eb="6">
      <t>コウエン</t>
    </rPh>
    <phoneticPr fontId="4"/>
  </si>
  <si>
    <t>岩礁、礫</t>
    <rPh sb="0" eb="2">
      <t>ガンショウ</t>
    </rPh>
    <rPh sb="3" eb="4">
      <t>レキ</t>
    </rPh>
    <phoneticPr fontId="6"/>
  </si>
  <si>
    <t>島入江</t>
    <rPh sb="0" eb="1">
      <t>シマ</t>
    </rPh>
    <rPh sb="1" eb="3">
      <t>イリエ</t>
    </rPh>
    <phoneticPr fontId="13"/>
  </si>
  <si>
    <t>砂浜入江</t>
    <rPh sb="0" eb="2">
      <t>スナハマ</t>
    </rPh>
    <rPh sb="2" eb="4">
      <t>イリエ</t>
    </rPh>
    <phoneticPr fontId="13"/>
  </si>
  <si>
    <t>岩礁、砂</t>
    <rPh sb="0" eb="2">
      <t>ガンショウ</t>
    </rPh>
    <rPh sb="3" eb="4">
      <t>スナ</t>
    </rPh>
    <phoneticPr fontId="6"/>
  </si>
  <si>
    <t>岩礁入江</t>
    <rPh sb="0" eb="2">
      <t>ガンショウ</t>
    </rPh>
    <rPh sb="2" eb="4">
      <t>イリエ</t>
    </rPh>
    <phoneticPr fontId="13"/>
  </si>
  <si>
    <t>岩礁、礫、砂</t>
    <rPh sb="0" eb="2">
      <t>ガンショウ</t>
    </rPh>
    <rPh sb="3" eb="4">
      <t>レキ</t>
    </rPh>
    <rPh sb="5" eb="6">
      <t>スナ</t>
    </rPh>
    <phoneticPr fontId="6"/>
  </si>
  <si>
    <t>礫</t>
    <rPh sb="0" eb="1">
      <t>レキ</t>
    </rPh>
    <phoneticPr fontId="6"/>
  </si>
  <si>
    <t>3～15</t>
  </si>
  <si>
    <t>片島南</t>
    <rPh sb="0" eb="2">
      <t>カタシマ</t>
    </rPh>
    <rPh sb="2" eb="3">
      <t>ミナミ</t>
    </rPh>
    <phoneticPr fontId="4"/>
  </si>
  <si>
    <t>砂月</t>
    <rPh sb="0" eb="1">
      <t>スナ</t>
    </rPh>
    <rPh sb="1" eb="2">
      <t>ツキ</t>
    </rPh>
    <phoneticPr fontId="3"/>
  </si>
  <si>
    <t>H17年度のみ茂串(No.6)の代替地として調査</t>
    <rPh sb="3" eb="5">
      <t>ネンド</t>
    </rPh>
    <rPh sb="7" eb="8">
      <t>モ</t>
    </rPh>
    <rPh sb="8" eb="9">
      <t>クシ</t>
    </rPh>
    <rPh sb="16" eb="19">
      <t>ダイタイチ</t>
    </rPh>
    <rPh sb="22" eb="24">
      <t>チョウサ</t>
    </rPh>
    <phoneticPr fontId="3"/>
  </si>
  <si>
    <t>注1：</t>
    <rPh sb="0" eb="1">
      <t>チュウ</t>
    </rPh>
    <phoneticPr fontId="3"/>
  </si>
  <si>
    <t>沖縄島の地点名＊はGPS値を地図より推定した</t>
    <rPh sb="0" eb="2">
      <t>オキナワ</t>
    </rPh>
    <rPh sb="2" eb="3">
      <t>シマ</t>
    </rPh>
    <rPh sb="4" eb="6">
      <t>チテン</t>
    </rPh>
    <rPh sb="6" eb="7">
      <t>ナ</t>
    </rPh>
    <rPh sb="12" eb="13">
      <t>チ</t>
    </rPh>
    <rPh sb="14" eb="16">
      <t>チズ</t>
    </rPh>
    <rPh sb="18" eb="20">
      <t>スイテイ</t>
    </rPh>
    <phoneticPr fontId="4"/>
  </si>
  <si>
    <t>沖縄島の地点名＊＊はGPS値を海岸より測定した</t>
    <rPh sb="0" eb="3">
      <t>オキナワジマ</t>
    </rPh>
    <rPh sb="4" eb="6">
      <t>チテン</t>
    </rPh>
    <rPh sb="6" eb="7">
      <t>ナ</t>
    </rPh>
    <rPh sb="13" eb="14">
      <t>チ</t>
    </rPh>
    <rPh sb="15" eb="17">
      <t>カイガン</t>
    </rPh>
    <rPh sb="19" eb="21">
      <t>ソクテイ</t>
    </rPh>
    <phoneticPr fontId="4"/>
  </si>
  <si>
    <t>50×50</t>
    <phoneticPr fontId="3"/>
  </si>
  <si>
    <t>岩礁・礫</t>
    <phoneticPr fontId="3"/>
  </si>
  <si>
    <t>富岡海中公園１号、つつま瀬</t>
    <phoneticPr fontId="4"/>
  </si>
  <si>
    <t>富岡海中公園２号、白岩崎</t>
    <phoneticPr fontId="4"/>
  </si>
  <si>
    <t>天草海中公園、大ガ瀬</t>
    <phoneticPr fontId="4"/>
  </si>
  <si>
    <t>海中公園、桑島</t>
    <phoneticPr fontId="4"/>
  </si>
  <si>
    <t>茂串（白浜）</t>
    <phoneticPr fontId="4"/>
  </si>
  <si>
    <t>大島北</t>
    <phoneticPr fontId="4"/>
  </si>
  <si>
    <t>牛深海中公園１号、鶴崎</t>
    <phoneticPr fontId="4"/>
  </si>
  <si>
    <t>大島港西</t>
    <phoneticPr fontId="4"/>
  </si>
  <si>
    <t>片島</t>
    <phoneticPr fontId="4"/>
  </si>
  <si>
    <t>春這</t>
    <phoneticPr fontId="4"/>
  </si>
  <si>
    <t>平瀬</t>
    <phoneticPr fontId="4"/>
  </si>
  <si>
    <t>牛深海中公園３号、築ノ島</t>
    <phoneticPr fontId="4"/>
  </si>
  <si>
    <t>牛深海中公園４号、法ヶ島南側</t>
    <phoneticPr fontId="4"/>
  </si>
  <si>
    <t>サイトNo.</t>
    <phoneticPr fontId="3"/>
  </si>
  <si>
    <t>北緯
(度）</t>
    <phoneticPr fontId="3"/>
  </si>
  <si>
    <t>北緯
(分）</t>
    <phoneticPr fontId="3"/>
  </si>
  <si>
    <t>北緯
(秒）</t>
    <phoneticPr fontId="3"/>
  </si>
  <si>
    <t>東経
(分）</t>
    <phoneticPr fontId="3"/>
  </si>
  <si>
    <t>観察
範囲
(m)</t>
    <phoneticPr fontId="3"/>
  </si>
  <si>
    <t>水深
範囲
(m）</t>
    <phoneticPr fontId="3"/>
  </si>
  <si>
    <t>屋久島　志戸子</t>
    <phoneticPr fontId="3"/>
  </si>
  <si>
    <t>屋久島　七瀬　</t>
    <phoneticPr fontId="8"/>
  </si>
  <si>
    <t>堆積岩</t>
    <phoneticPr fontId="3"/>
  </si>
  <si>
    <t>2～3</t>
    <phoneticPr fontId="3"/>
  </si>
  <si>
    <t>礁斜面</t>
    <phoneticPr fontId="3"/>
  </si>
  <si>
    <t>200×100</t>
    <phoneticPr fontId="3"/>
  </si>
  <si>
    <t>礁池</t>
    <phoneticPr fontId="3"/>
  </si>
  <si>
    <t>礁斜面/礁池</t>
    <phoneticPr fontId="3"/>
  </si>
  <si>
    <t>-</t>
    <phoneticPr fontId="3"/>
  </si>
  <si>
    <t>砂・岩</t>
    <phoneticPr fontId="3"/>
  </si>
  <si>
    <t>岩</t>
    <phoneticPr fontId="3"/>
  </si>
  <si>
    <t>1～9</t>
    <phoneticPr fontId="3"/>
  </si>
  <si>
    <t>200x100</t>
    <phoneticPr fontId="3"/>
  </si>
  <si>
    <t>1～5</t>
    <phoneticPr fontId="3"/>
  </si>
  <si>
    <t>1～11</t>
    <phoneticPr fontId="3"/>
  </si>
  <si>
    <t>200ｘ100</t>
    <phoneticPr fontId="3"/>
  </si>
  <si>
    <t>100×100</t>
    <phoneticPr fontId="3"/>
  </si>
  <si>
    <t>池間島北カギンミ</t>
    <phoneticPr fontId="9"/>
  </si>
  <si>
    <t>1～6</t>
    <phoneticPr fontId="3"/>
  </si>
  <si>
    <t>池間島東チュラビジ</t>
    <phoneticPr fontId="9"/>
  </si>
  <si>
    <t>平良狩俣西</t>
    <phoneticPr fontId="9"/>
  </si>
  <si>
    <t>2～10</t>
    <phoneticPr fontId="3"/>
  </si>
  <si>
    <t>伊良部下地島カヤッファ</t>
    <phoneticPr fontId="9"/>
  </si>
  <si>
    <t>伊良部下地島渡口沖離礁</t>
    <phoneticPr fontId="9"/>
  </si>
  <si>
    <t>来間島東ヨコターラ</t>
    <phoneticPr fontId="9"/>
  </si>
  <si>
    <t>2～12</t>
    <phoneticPr fontId="3"/>
  </si>
  <si>
    <t>上野博愛沖友利大ビセ</t>
    <phoneticPr fontId="9"/>
  </si>
  <si>
    <t>城辺吉野海岸</t>
    <phoneticPr fontId="9"/>
  </si>
  <si>
    <t>城辺ツフツワ干瀬北</t>
    <phoneticPr fontId="9"/>
  </si>
  <si>
    <t>2～5</t>
    <phoneticPr fontId="3"/>
  </si>
  <si>
    <t>1～8</t>
    <phoneticPr fontId="3"/>
  </si>
  <si>
    <t>1～10</t>
    <phoneticPr fontId="3"/>
  </si>
  <si>
    <t>八重干瀬クンカディ・ガマ</t>
    <rPh sb="0" eb="2">
      <t>ヤエ</t>
    </rPh>
    <rPh sb="2" eb="3">
      <t>カン</t>
    </rPh>
    <rPh sb="3" eb="4">
      <t>セ</t>
    </rPh>
    <phoneticPr fontId="3"/>
  </si>
  <si>
    <t>2014年スムトゥビジ南より名称変更．</t>
    <phoneticPr fontId="3"/>
  </si>
  <si>
    <t>石西礁湖北部</t>
    <phoneticPr fontId="3"/>
  </si>
  <si>
    <t>小浜島周辺</t>
    <phoneticPr fontId="3"/>
  </si>
  <si>
    <t>離礁</t>
    <phoneticPr fontId="3"/>
  </si>
  <si>
    <t>石西礁湖東部</t>
    <phoneticPr fontId="3"/>
  </si>
  <si>
    <t>カタグァー周辺</t>
    <phoneticPr fontId="3"/>
  </si>
  <si>
    <t>石西礁湖中央部</t>
    <phoneticPr fontId="3"/>
  </si>
  <si>
    <t>シモビシ～仲間崎沖</t>
    <phoneticPr fontId="3"/>
  </si>
  <si>
    <t>石西礁湖南部</t>
    <phoneticPr fontId="3"/>
  </si>
  <si>
    <t>西表島と周辺離島</t>
    <phoneticPr fontId="3"/>
  </si>
  <si>
    <t>126'</t>
    <phoneticPr fontId="3"/>
  </si>
  <si>
    <t>崎山湾（西表島西部）周辺</t>
    <phoneticPr fontId="3"/>
  </si>
  <si>
    <t>127'</t>
    <phoneticPr fontId="3"/>
  </si>
  <si>
    <t>兄島　キャベツビーチ</t>
    <phoneticPr fontId="4"/>
  </si>
  <si>
    <t>沖ノ島①</t>
    <phoneticPr fontId="4"/>
  </si>
  <si>
    <t>沖ノ島②</t>
    <phoneticPr fontId="4"/>
  </si>
  <si>
    <t>やや内湾</t>
    <phoneticPr fontId="3"/>
  </si>
  <si>
    <t>20×10</t>
    <phoneticPr fontId="3"/>
  </si>
  <si>
    <t>10×10</t>
    <phoneticPr fontId="3"/>
  </si>
  <si>
    <t>外洋の島影</t>
    <phoneticPr fontId="3"/>
  </si>
  <si>
    <t>20×20</t>
    <phoneticPr fontId="3"/>
  </si>
  <si>
    <t>5×5</t>
    <phoneticPr fontId="3"/>
  </si>
  <si>
    <t>30×30</t>
    <phoneticPr fontId="3"/>
  </si>
  <si>
    <t>5～6</t>
    <phoneticPr fontId="3"/>
  </si>
  <si>
    <t>50×30</t>
    <phoneticPr fontId="3"/>
  </si>
  <si>
    <t>は今年度新規設置地点</t>
  </si>
  <si>
    <t>糸満港クラントガイ北</t>
    <rPh sb="0" eb="2">
      <t>イトマン</t>
    </rPh>
    <rPh sb="2" eb="3">
      <t>コウ</t>
    </rPh>
    <rPh sb="9" eb="10">
      <t>キタ</t>
    </rPh>
    <phoneticPr fontId="2"/>
  </si>
  <si>
    <t>崎山</t>
    <rPh sb="0" eb="2">
      <t>サキヤマ</t>
    </rPh>
    <phoneticPr fontId="2"/>
  </si>
  <si>
    <t>岩・礫</t>
    <rPh sb="2" eb="3">
      <t>レキ</t>
    </rPh>
    <phoneticPr fontId="1"/>
  </si>
  <si>
    <t>非公開</t>
    <rPh sb="0" eb="3">
      <t>ヒコウカイ</t>
    </rPh>
    <phoneticPr fontId="3"/>
  </si>
  <si>
    <t>サ
イ
ト
No.</t>
    <phoneticPr fontId="4"/>
  </si>
  <si>
    <t>サイト名</t>
    <rPh sb="3" eb="4">
      <t>メイ</t>
    </rPh>
    <phoneticPr fontId="4"/>
  </si>
  <si>
    <t>調査区（spot）No.</t>
    <rPh sb="0" eb="3">
      <t>チョウサク</t>
    </rPh>
    <phoneticPr fontId="4"/>
  </si>
  <si>
    <t>地名</t>
    <rPh sb="0" eb="2">
      <t>チメイ</t>
    </rPh>
    <phoneticPr fontId="3"/>
  </si>
  <si>
    <t>調査日</t>
    <rPh sb="0" eb="3">
      <t>チョウサビ</t>
    </rPh>
    <phoneticPr fontId="4"/>
  </si>
  <si>
    <t>調査
代表者名</t>
    <rPh sb="0" eb="2">
      <t>チョウサ</t>
    </rPh>
    <rPh sb="3" eb="6">
      <t>ダイヒョウシャ</t>
    </rPh>
    <rPh sb="6" eb="7">
      <t>メイ</t>
    </rPh>
    <phoneticPr fontId="3"/>
  </si>
  <si>
    <t>観察
手段</t>
    <rPh sb="0" eb="2">
      <t>カンサツ</t>
    </rPh>
    <rPh sb="3" eb="5">
      <t>シュダン</t>
    </rPh>
    <phoneticPr fontId="4"/>
  </si>
  <si>
    <t>観察
時間
（分）</t>
    <rPh sb="0" eb="2">
      <t>カンサツ</t>
    </rPh>
    <rPh sb="3" eb="5">
      <t>ジカン</t>
    </rPh>
    <rPh sb="7" eb="8">
      <t>フン</t>
    </rPh>
    <phoneticPr fontId="4"/>
  </si>
  <si>
    <t>サンゴ</t>
    <phoneticPr fontId="4"/>
  </si>
  <si>
    <t>サンゴ食巻貝</t>
    <rPh sb="3" eb="4">
      <t>ショク</t>
    </rPh>
    <rPh sb="4" eb="6">
      <t>マキガイ</t>
    </rPh>
    <phoneticPr fontId="4"/>
  </si>
  <si>
    <t>SPSS</t>
    <phoneticPr fontId="4"/>
  </si>
  <si>
    <t>30cm以上の大型魚類数</t>
    <rPh sb="4" eb="6">
      <t>イジョウ</t>
    </rPh>
    <rPh sb="7" eb="9">
      <t>オオガタ</t>
    </rPh>
    <rPh sb="9" eb="11">
      <t>ギョルイ</t>
    </rPh>
    <rPh sb="11" eb="12">
      <t>スウ</t>
    </rPh>
    <phoneticPr fontId="4"/>
  </si>
  <si>
    <t>病気
の
有無</t>
    <rPh sb="0" eb="2">
      <t>ビョウキ</t>
    </rPh>
    <rPh sb="5" eb="7">
      <t>ウム</t>
    </rPh>
    <phoneticPr fontId="4"/>
  </si>
  <si>
    <t>被度10％換算</t>
    <rPh sb="0" eb="2">
      <t>ヒド</t>
    </rPh>
    <rPh sb="5" eb="7">
      <t>カンサン</t>
    </rPh>
    <phoneticPr fontId="3"/>
  </si>
  <si>
    <t>白化率</t>
    <rPh sb="0" eb="2">
      <t>ハッカ</t>
    </rPh>
    <rPh sb="2" eb="3">
      <t>リツ</t>
    </rPh>
    <phoneticPr fontId="4"/>
  </si>
  <si>
    <t>生育型</t>
    <rPh sb="0" eb="3">
      <t>セイイクガタ</t>
    </rPh>
    <phoneticPr fontId="4"/>
  </si>
  <si>
    <t>加入数
（）内は最大値</t>
    <rPh sb="0" eb="3">
      <t>カニュウスウ</t>
    </rPh>
    <rPh sb="6" eb="7">
      <t>ナイ</t>
    </rPh>
    <rPh sb="8" eb="11">
      <t>サイダイチ</t>
    </rPh>
    <phoneticPr fontId="4"/>
  </si>
  <si>
    <t>卓ﾐﾄﾞ</t>
    <phoneticPr fontId="4"/>
  </si>
  <si>
    <t>優占
ｻｲｽﾞ
(cm)</t>
    <rPh sb="0" eb="2">
      <t>ユウセン</t>
    </rPh>
    <phoneticPr fontId="4"/>
  </si>
  <si>
    <t>範囲
(cm)</t>
    <rPh sb="0" eb="2">
      <t>ハンイ</t>
    </rPh>
    <phoneticPr fontId="4"/>
  </si>
  <si>
    <t>被食率
（％）</t>
    <rPh sb="0" eb="2">
      <t>ヒショク</t>
    </rPh>
    <rPh sb="2" eb="3">
      <t>リツ</t>
    </rPh>
    <phoneticPr fontId="3"/>
  </si>
  <si>
    <t>発生
階級
（注1）</t>
    <rPh sb="0" eb="2">
      <t>ハッセイ</t>
    </rPh>
    <rPh sb="3" eb="5">
      <t>カイキュウ</t>
    </rPh>
    <rPh sb="7" eb="8">
      <t>チュウ</t>
    </rPh>
    <phoneticPr fontId="3"/>
  </si>
  <si>
    <t>測定
値</t>
    <rPh sb="0" eb="2">
      <t>ソクテイ</t>
    </rPh>
    <rPh sb="3" eb="4">
      <t>アタイ</t>
    </rPh>
    <phoneticPr fontId="4"/>
  </si>
  <si>
    <t>階級
（注2）</t>
    <rPh sb="0" eb="2">
      <t>カイキュウ</t>
    </rPh>
    <rPh sb="4" eb="5">
      <t>チュウ</t>
    </rPh>
    <phoneticPr fontId="4"/>
  </si>
  <si>
    <t>ハタ類</t>
    <rPh sb="2" eb="3">
      <t>ルイ</t>
    </rPh>
    <phoneticPr fontId="3"/>
  </si>
  <si>
    <t>ベラ
類</t>
    <rPh sb="3" eb="4">
      <t>ルイ</t>
    </rPh>
    <phoneticPr fontId="3"/>
  </si>
  <si>
    <t>ブダイ
類</t>
    <rPh sb="4" eb="5">
      <t>ルイ</t>
    </rPh>
    <phoneticPr fontId="3"/>
  </si>
  <si>
    <t>全体</t>
    <rPh sb="0" eb="2">
      <t>ゼンタイ</t>
    </rPh>
    <phoneticPr fontId="4"/>
  </si>
  <si>
    <t>ﾐﾄﾞﾘｲｼ</t>
    <phoneticPr fontId="4"/>
  </si>
  <si>
    <t>全体
死滅</t>
    <rPh sb="0" eb="2">
      <t>ゼンタイ</t>
    </rPh>
    <rPh sb="3" eb="5">
      <t>シメツ</t>
    </rPh>
    <phoneticPr fontId="3"/>
  </si>
  <si>
    <t>ﾐﾄﾞﾘ
死滅</t>
    <rPh sb="5" eb="7">
      <t>シメツ</t>
    </rPh>
    <phoneticPr fontId="4"/>
  </si>
  <si>
    <t>大5群体平均サイズ（cm）</t>
    <rPh sb="0" eb="1">
      <t>ダイ</t>
    </rPh>
    <rPh sb="2" eb="4">
      <t>グンタイ</t>
    </rPh>
    <rPh sb="4" eb="6">
      <t>ヘイキン</t>
    </rPh>
    <phoneticPr fontId="4"/>
  </si>
  <si>
    <t>屋久島・種子島周辺</t>
    <rPh sb="0" eb="3">
      <t>ヤクシマ</t>
    </rPh>
    <rPh sb="4" eb="7">
      <t>タネガシマ</t>
    </rPh>
    <rPh sb="7" eb="9">
      <t>シュウヘン</t>
    </rPh>
    <phoneticPr fontId="4"/>
  </si>
  <si>
    <t>枝状ミドリイシ優占型</t>
  </si>
  <si>
    <t>多種混成型</t>
  </si>
  <si>
    <t>特定類優占型</t>
  </si>
  <si>
    <t>屋久島　七瀬</t>
  </si>
  <si>
    <t>興克樹</t>
  </si>
  <si>
    <t>&lt;5</t>
  </si>
  <si>
    <t>&lt;20</t>
  </si>
  <si>
    <t>scuba</t>
  </si>
  <si>
    <t>安波南</t>
  </si>
  <si>
    <t>カツセノ崎南</t>
  </si>
  <si>
    <t>イシキナ崎南</t>
  </si>
  <si>
    <t>安田ヶ島南</t>
  </si>
  <si>
    <t>20-30</t>
  </si>
  <si>
    <t>ジャナセ</t>
  </si>
  <si>
    <t>久良波</t>
    <rPh sb="0" eb="2">
      <t>ヒサヨシ</t>
    </rPh>
    <rPh sb="2" eb="3">
      <t>ナミ</t>
    </rPh>
    <phoneticPr fontId="3"/>
  </si>
  <si>
    <t>ウカハ岩西</t>
  </si>
  <si>
    <t>安室南</t>
  </si>
  <si>
    <t>豊島正彦</t>
  </si>
  <si>
    <t>座間味アゴノウラ</t>
  </si>
  <si>
    <t>座間味ニタ</t>
  </si>
  <si>
    <t>嘉比南</t>
  </si>
  <si>
    <t>阿嘉ニシハマ</t>
  </si>
  <si>
    <t>阿嘉クシバル</t>
  </si>
  <si>
    <t>阿嘉アグ</t>
  </si>
  <si>
    <t>阿嘉マエノハマ</t>
  </si>
  <si>
    <t>屋嘉比東</t>
  </si>
  <si>
    <t>池間島北カギンミ</t>
  </si>
  <si>
    <t>池間島東チュラビジ</t>
  </si>
  <si>
    <t>平良狩俣西</t>
  </si>
  <si>
    <t>伊良部下地島カヤッファ</t>
  </si>
  <si>
    <t>5a</t>
  </si>
  <si>
    <t>伊良部下地島渡口沖離礁</t>
  </si>
  <si>
    <t>ソフトコーラル優占型</t>
  </si>
  <si>
    <t>来間島東ヨコターラ</t>
  </si>
  <si>
    <t>上野博愛沖友利大ビセ</t>
  </si>
  <si>
    <t>城辺吉野海岸</t>
  </si>
  <si>
    <t>城辺ツフツワ干瀬北</t>
  </si>
  <si>
    <t>平良高野漁港沖二段干瀬</t>
  </si>
  <si>
    <t>八重干瀬ウル西</t>
  </si>
  <si>
    <t>八重干瀬カナマラ中央南</t>
  </si>
  <si>
    <t>八重干瀬クンカディ・ガマ</t>
  </si>
  <si>
    <t>八重干瀬イフ南</t>
  </si>
  <si>
    <t>&lt;1</t>
  </si>
  <si>
    <t>石西礁湖北部</t>
  </si>
  <si>
    <t>小浜島周辺</t>
  </si>
  <si>
    <t>5b</t>
  </si>
  <si>
    <t>石西礁湖東部</t>
  </si>
  <si>
    <t>カタグァー周辺</t>
  </si>
  <si>
    <t>石西礁湖中央部</t>
  </si>
  <si>
    <t>シモビシ～仲間崎沖</t>
  </si>
  <si>
    <t>石西礁湖南部</t>
  </si>
  <si>
    <t>西表島と周辺離島</t>
  </si>
  <si>
    <t>126'</t>
  </si>
  <si>
    <t>崎山湾（西表島西部）周辺</t>
  </si>
  <si>
    <t>清本正人</t>
  </si>
  <si>
    <t>雀島</t>
  </si>
  <si>
    <t>ｸﾞﾗｽﾜｰﾙﾄﾞ①</t>
  </si>
  <si>
    <t>ｸﾞﾗｽﾜｰﾙﾄﾞ②</t>
  </si>
  <si>
    <t>須ノ川</t>
  </si>
  <si>
    <t>天嶬鼻</t>
  </si>
  <si>
    <t>白浜</t>
  </si>
  <si>
    <t>黒崎</t>
  </si>
  <si>
    <t>柏島</t>
  </si>
  <si>
    <t>大村碆</t>
  </si>
  <si>
    <t>モニタリング基盤ＷＢ</t>
  </si>
  <si>
    <t>土佐湾内(協力地点）</t>
    <rPh sb="0" eb="3">
      <t>トサワン</t>
    </rPh>
    <rPh sb="3" eb="4">
      <t>ナイ</t>
    </rPh>
    <rPh sb="5" eb="7">
      <t>キョウリョク</t>
    </rPh>
    <rPh sb="7" eb="9">
      <t>チテン</t>
    </rPh>
    <phoneticPr fontId="4"/>
  </si>
  <si>
    <t>大手の浜・灯台下</t>
  </si>
  <si>
    <t>大手の浜・海風荘下</t>
  </si>
  <si>
    <t>注１：</t>
    <rPh sb="0" eb="1">
      <t>チュウ</t>
    </rPh>
    <phoneticPr fontId="4"/>
  </si>
  <si>
    <t>サンゴ食巻貝の階級凡例</t>
    <rPh sb="3" eb="4">
      <t>ショク</t>
    </rPh>
    <rPh sb="4" eb="6">
      <t>マキガイ</t>
    </rPh>
    <rPh sb="7" eb="9">
      <t>カイキュウ</t>
    </rPh>
    <rPh sb="9" eb="11">
      <t>ハンレイ</t>
    </rPh>
    <phoneticPr fontId="4"/>
  </si>
  <si>
    <t>注２：</t>
    <rPh sb="0" eb="1">
      <t>チュウ</t>
    </rPh>
    <phoneticPr fontId="4"/>
  </si>
  <si>
    <t>SPSSの階級凡例</t>
    <rPh sb="5" eb="7">
      <t>カイキュウ</t>
    </rPh>
    <rPh sb="7" eb="9">
      <t>ハンレイ</t>
    </rPh>
    <phoneticPr fontId="4"/>
  </si>
  <si>
    <t>注３：</t>
    <rPh sb="0" eb="1">
      <t>チュウ</t>
    </rPh>
    <phoneticPr fontId="4"/>
  </si>
  <si>
    <t>は今年度新規設置地点</t>
    <rPh sb="1" eb="4">
      <t>コンネンド</t>
    </rPh>
    <rPh sb="4" eb="6">
      <t>シンキ</t>
    </rPh>
    <rPh sb="6" eb="8">
      <t>セッチ</t>
    </rPh>
    <rPh sb="8" eb="10">
      <t>チテン</t>
    </rPh>
    <phoneticPr fontId="4"/>
  </si>
  <si>
    <t>1：食痕（新しいもの）は目立たない。</t>
    <phoneticPr fontId="4"/>
  </si>
  <si>
    <t>1： ＜0.4 ；　きわめてきれい</t>
    <phoneticPr fontId="4"/>
  </si>
  <si>
    <t>2：小さな食痕や食害部のある群体が散見。</t>
    <phoneticPr fontId="4"/>
  </si>
  <si>
    <t>2：　0.4≦, ＜1；　砂をかき混ぜてもシルトの舞い上がりは確認しづらい</t>
    <phoneticPr fontId="4"/>
  </si>
  <si>
    <t>注４：</t>
    <rPh sb="0" eb="1">
      <t>チュウ</t>
    </rPh>
    <phoneticPr fontId="3"/>
  </si>
  <si>
    <t>3：食痕は大きく、食害部のある群体が目立つが、数百個体</t>
    <rPh sb="23" eb="24">
      <t>スウ</t>
    </rPh>
    <rPh sb="24" eb="25">
      <t>ヒャク</t>
    </rPh>
    <rPh sb="25" eb="27">
      <t>コタイ</t>
    </rPh>
    <phoneticPr fontId="4"/>
  </si>
  <si>
    <t>3： 　1≦, ＜5 ；　砂をかき混ぜるとシルトの舞い上がりは確認できる</t>
    <phoneticPr fontId="4"/>
  </si>
  <si>
    <t>4：　 5≦, ＜10；　見た目では分からないが、砂をかき混ぜるとシルトで水が濁る</t>
    <phoneticPr fontId="4"/>
  </si>
  <si>
    <t>4：斃死群体が目立ち、密集した貝集団が散見される。</t>
    <phoneticPr fontId="4"/>
  </si>
  <si>
    <t>5：　 10≦, ＜50；　注意して見ると、表層にシル トの堆積が確認できる</t>
    <phoneticPr fontId="4"/>
  </si>
  <si>
    <t>　5a： 10≦, ＜30</t>
    <phoneticPr fontId="4"/>
  </si>
  <si>
    <t>　5b：　30≦, ＜50</t>
    <phoneticPr fontId="4"/>
  </si>
  <si>
    <t>6：　 50≦, ＜200；　一見してシルトの堆積を確認</t>
    <phoneticPr fontId="4"/>
  </si>
  <si>
    <t>7：　200≦, ＜400；　シルトが堆積するが、まだ砂も確認することができる</t>
    <phoneticPr fontId="4"/>
  </si>
  <si>
    <t>8：　≧400；　底質の見た目は泥そのもの</t>
    <phoneticPr fontId="4"/>
  </si>
  <si>
    <t>1～13</t>
    <phoneticPr fontId="3"/>
  </si>
  <si>
    <t>水納島西</t>
  </si>
  <si>
    <t>0～8</t>
    <phoneticPr fontId="3"/>
  </si>
  <si>
    <t>0～13</t>
    <phoneticPr fontId="3"/>
  </si>
  <si>
    <t>無</t>
  </si>
  <si>
    <t>多良間島周辺</t>
    <rPh sb="0" eb="3">
      <t>タラマ</t>
    </rPh>
    <rPh sb="3" eb="4">
      <t>ジマ</t>
    </rPh>
    <rPh sb="4" eb="6">
      <t>シュウヘン</t>
    </rPh>
    <phoneticPr fontId="3"/>
  </si>
  <si>
    <t>多良間島周辺</t>
    <rPh sb="0" eb="6">
      <t>タラマジマシュウヘン</t>
    </rPh>
    <phoneticPr fontId="3"/>
  </si>
  <si>
    <t>ウエダマーリ°礁縁</t>
    <phoneticPr fontId="4"/>
  </si>
  <si>
    <t>ウエダマーリ°礁池</t>
    <phoneticPr fontId="3"/>
  </si>
  <si>
    <t>タカアナ礁縁</t>
    <phoneticPr fontId="4"/>
  </si>
  <si>
    <t>マガリ°礁縁</t>
    <phoneticPr fontId="3"/>
  </si>
  <si>
    <t>ナカシャラ礁池</t>
    <phoneticPr fontId="3"/>
  </si>
  <si>
    <t>アカダン礁縁</t>
    <phoneticPr fontId="3"/>
  </si>
  <si>
    <t>タカシバマ礁縁</t>
    <phoneticPr fontId="3"/>
  </si>
  <si>
    <t>アウル礁縁</t>
    <phoneticPr fontId="3"/>
  </si>
  <si>
    <t>ナガシャキｨ°礁縁</t>
    <phoneticPr fontId="3"/>
  </si>
  <si>
    <t>裾礁・礁縁</t>
    <rPh sb="0" eb="2">
      <t>キョショウ</t>
    </rPh>
    <rPh sb="3" eb="4">
      <t>ショウ</t>
    </rPh>
    <rPh sb="4" eb="5">
      <t>エン</t>
    </rPh>
    <phoneticPr fontId="2"/>
  </si>
  <si>
    <t>裾礁・礁池</t>
    <rPh sb="0" eb="2">
      <t>キョショウ</t>
    </rPh>
    <rPh sb="3" eb="5">
      <t>ショウチ</t>
    </rPh>
    <phoneticPr fontId="2"/>
  </si>
  <si>
    <t>岩・砂礫</t>
    <rPh sb="0" eb="1">
      <t>イワ</t>
    </rPh>
    <rPh sb="2" eb="4">
      <t>サレキ</t>
    </rPh>
    <phoneticPr fontId="2"/>
  </si>
  <si>
    <t>特定類優占型（オオハナガタサンゴ）</t>
  </si>
  <si>
    <t>離礁/礁斜面</t>
    <rPh sb="0" eb="2">
      <t>リショウ</t>
    </rPh>
    <rPh sb="3" eb="6">
      <t>ショウシャメン</t>
    </rPh>
    <phoneticPr fontId="3"/>
  </si>
  <si>
    <t>礁池</t>
    <rPh sb="0" eb="2">
      <t>ショウチ</t>
    </rPh>
    <phoneticPr fontId="3"/>
  </si>
  <si>
    <t>砂・礫</t>
    <rPh sb="0" eb="1">
      <t>スナ</t>
    </rPh>
    <rPh sb="2" eb="3">
      <t>ツブテ</t>
    </rPh>
    <phoneticPr fontId="3"/>
  </si>
  <si>
    <t>2～17</t>
    <phoneticPr fontId="3"/>
  </si>
  <si>
    <t>0～2</t>
    <phoneticPr fontId="3"/>
  </si>
  <si>
    <t>中崎</t>
    <rPh sb="0" eb="2">
      <t>ナカサキ</t>
    </rPh>
    <phoneticPr fontId="2"/>
  </si>
  <si>
    <t>中磯</t>
    <rPh sb="0" eb="2">
      <t>ナカイソ</t>
    </rPh>
    <phoneticPr fontId="2"/>
  </si>
  <si>
    <t>葛島</t>
    <rPh sb="0" eb="1">
      <t>クズ</t>
    </rPh>
    <rPh sb="1" eb="2">
      <t>シマ</t>
    </rPh>
    <phoneticPr fontId="2"/>
  </si>
  <si>
    <t>葛島東</t>
    <rPh sb="0" eb="1">
      <t>クズ</t>
    </rPh>
    <rPh sb="1" eb="2">
      <t>シマ</t>
    </rPh>
    <rPh sb="2" eb="3">
      <t>ヒガシ</t>
    </rPh>
    <phoneticPr fontId="2"/>
  </si>
  <si>
    <t>四国東岸(協力地点）</t>
    <rPh sb="0" eb="2">
      <t>シコク</t>
    </rPh>
    <rPh sb="2" eb="4">
      <t>トウガン</t>
    </rPh>
    <rPh sb="5" eb="7">
      <t>キョウリョク</t>
    </rPh>
    <rPh sb="7" eb="9">
      <t>チテン</t>
    </rPh>
    <phoneticPr fontId="4"/>
  </si>
  <si>
    <t>塩屋海岸</t>
    <rPh sb="0" eb="2">
      <t>シオヤ</t>
    </rPh>
    <rPh sb="2" eb="4">
      <t>カイガン</t>
    </rPh>
    <phoneticPr fontId="2"/>
  </si>
  <si>
    <t>内湾</t>
    <rPh sb="0" eb="2">
      <t>ナイワン</t>
    </rPh>
    <phoneticPr fontId="2"/>
  </si>
  <si>
    <t>湾口</t>
  </si>
  <si>
    <t>岩・礫</t>
    <rPh sb="0" eb="1">
      <t>イワ</t>
    </rPh>
    <rPh sb="2" eb="3">
      <t>レキ</t>
    </rPh>
    <phoneticPr fontId="2"/>
  </si>
  <si>
    <t>岩</t>
    <rPh sb="0" eb="1">
      <t>イワ</t>
    </rPh>
    <phoneticPr fontId="2"/>
  </si>
  <si>
    <t>岩・砂</t>
    <rPh sb="0" eb="1">
      <t>イワ</t>
    </rPh>
    <rPh sb="2" eb="3">
      <t>スナ</t>
    </rPh>
    <phoneticPr fontId="2"/>
  </si>
  <si>
    <t>岩・砂・ブロック</t>
    <rPh sb="0" eb="1">
      <t>イワ</t>
    </rPh>
    <rPh sb="2" eb="3">
      <t>スナ</t>
    </rPh>
    <phoneticPr fontId="2"/>
  </si>
  <si>
    <t>6～18</t>
  </si>
  <si>
    <t>１～3</t>
  </si>
  <si>
    <t>渡具知西</t>
    <rPh sb="0" eb="1">
      <t>ワタ</t>
    </rPh>
    <rPh sb="1" eb="2">
      <t>グ</t>
    </rPh>
    <rPh sb="2" eb="3">
      <t>チ</t>
    </rPh>
    <rPh sb="3" eb="4">
      <t>ニシ</t>
    </rPh>
    <phoneticPr fontId="3"/>
  </si>
  <si>
    <t>恩納村恩納礁斜面</t>
    <rPh sb="1" eb="2">
      <t>ナ</t>
    </rPh>
    <rPh sb="3" eb="5">
      <t>オンナ</t>
    </rPh>
    <rPh sb="5" eb="6">
      <t>ショウ</t>
    </rPh>
    <rPh sb="6" eb="8">
      <t>シャメン</t>
    </rPh>
    <phoneticPr fontId="2"/>
  </si>
  <si>
    <t>伊江島フナズ原南</t>
    <rPh sb="0" eb="1">
      <t>イ</t>
    </rPh>
    <rPh sb="1" eb="2">
      <t>エ</t>
    </rPh>
    <rPh sb="2" eb="3">
      <t>シマ</t>
    </rPh>
    <rPh sb="6" eb="7">
      <t>ハラ</t>
    </rPh>
    <rPh sb="7" eb="8">
      <t>ミナミ</t>
    </rPh>
    <phoneticPr fontId="2"/>
  </si>
  <si>
    <t>伊是名島第一号立標</t>
    <rPh sb="0" eb="4">
      <t>イゼナシマ</t>
    </rPh>
    <rPh sb="4" eb="6">
      <t>ダイイチ</t>
    </rPh>
    <rPh sb="6" eb="7">
      <t>ゴウ</t>
    </rPh>
    <rPh sb="7" eb="8">
      <t>リツ</t>
    </rPh>
    <rPh sb="8" eb="9">
      <t>シルベ</t>
    </rPh>
    <phoneticPr fontId="2"/>
  </si>
  <si>
    <t>天神崎ビーチ</t>
    <rPh sb="0" eb="3">
      <t>テンジンザキ</t>
    </rPh>
    <phoneticPr fontId="5"/>
  </si>
  <si>
    <t>沖島サンマリンコーラルガーデン</t>
    <rPh sb="0" eb="1">
      <t>オキ</t>
    </rPh>
    <rPh sb="1" eb="2">
      <t>シマ</t>
    </rPh>
    <phoneticPr fontId="6"/>
  </si>
  <si>
    <t>沖島エトセトラコーラルガーデン</t>
    <rPh sb="0" eb="1">
      <t>オキ</t>
    </rPh>
    <rPh sb="1" eb="2">
      <t>シマ</t>
    </rPh>
    <phoneticPr fontId="5"/>
  </si>
  <si>
    <t>ニシザキサンゴ真ん中</t>
    <rPh sb="7" eb="8">
      <t>マ</t>
    </rPh>
    <rPh sb="9" eb="10">
      <t>ナカ</t>
    </rPh>
    <phoneticPr fontId="5"/>
  </si>
  <si>
    <t>四双島南</t>
    <rPh sb="0" eb="2">
      <t>シソウ</t>
    </rPh>
    <rPh sb="2" eb="3">
      <t>ジマ</t>
    </rPh>
    <rPh sb="3" eb="4">
      <t>ミナミ</t>
    </rPh>
    <phoneticPr fontId="5"/>
  </si>
  <si>
    <t>権現崎</t>
    <rPh sb="0" eb="2">
      <t>ゴンゲン</t>
    </rPh>
    <rPh sb="2" eb="3">
      <t>ザキ</t>
    </rPh>
    <phoneticPr fontId="5"/>
  </si>
  <si>
    <t>すさみビーチ</t>
  </si>
  <si>
    <t>特定類優占型（リュウモンサンゴ）</t>
  </si>
  <si>
    <t>特定類優占型（コモンサンゴ類優占）</t>
  </si>
  <si>
    <t>特定類優占型（ハマサンゴ）</t>
  </si>
  <si>
    <t>特定類優占型（塊状ハマサンゴ優占）</t>
  </si>
  <si>
    <t>0 (0)</t>
  </si>
  <si>
    <t>特定類優占型（塊・枝ハマサンゴ）</t>
  </si>
  <si>
    <t>特定類優占型（アオサンゴ）</t>
  </si>
  <si>
    <t>特定類優占型（ユビエダハマサンゴ）</t>
  </si>
  <si>
    <t>特定類優占型（塊状ハマサンゴ）</t>
  </si>
  <si>
    <t>特定類優占型（エダハナガササンゴ）</t>
  </si>
  <si>
    <t>特定類優占型（枝状コモンサンゴ）</t>
  </si>
  <si>
    <t>特定類優占型（パラオハマサンゴ）</t>
  </si>
  <si>
    <t>特定類優占型（枝状アナサンゴモドキ）</t>
  </si>
  <si>
    <t>特定類優占型（ハマサンゴ・キクメイシ）</t>
  </si>
  <si>
    <t>特定類優占型（ハナヤサイサンゴ）</t>
  </si>
  <si>
    <t>特定類優占型（アザミサンゴ）</t>
  </si>
  <si>
    <t>特定類優占型（シコロサンゴ・ハマサンゴ）</t>
  </si>
  <si>
    <t>特定類優占型（オガサワラアザミサンゴ優占）</t>
  </si>
  <si>
    <t>特定類優占型（アワサンゴ）</t>
  </si>
  <si>
    <t>特定類優占型（シコロサンゴ優占型）</t>
  </si>
  <si>
    <t>特定類優占型（ハマサンゴ類優占型）</t>
  </si>
  <si>
    <t>田辺周辺</t>
    <rPh sb="0" eb="2">
      <t>タナベ</t>
    </rPh>
    <rPh sb="2" eb="4">
      <t>シュウヘン</t>
    </rPh>
    <phoneticPr fontId="3"/>
  </si>
  <si>
    <t>15分換算観察数（注5）</t>
    <rPh sb="2" eb="3">
      <t>プン</t>
    </rPh>
    <rPh sb="3" eb="5">
      <t>カンサン</t>
    </rPh>
    <rPh sb="5" eb="7">
      <t>カンサツ</t>
    </rPh>
    <rPh sb="7" eb="8">
      <t>スウ</t>
    </rPh>
    <rPh sb="9" eb="10">
      <t>チュウ</t>
    </rPh>
    <phoneticPr fontId="4"/>
  </si>
  <si>
    <t>注５：</t>
    <rPh sb="0" eb="1">
      <t>チュウ</t>
    </rPh>
    <phoneticPr fontId="3"/>
  </si>
  <si>
    <t xml:space="preserve">サイト13～17では地点の正確な個体数を調べるために2人の調査者が別の範囲を
観察しているため、2人の調査者の合計値を示した。
</t>
    <phoneticPr fontId="3"/>
  </si>
  <si>
    <t>注2：</t>
    <rPh sb="0" eb="1">
      <t>チュウ</t>
    </rPh>
    <phoneticPr fontId="3"/>
  </si>
  <si>
    <t>オニヒトデ（注4）</t>
    <rPh sb="6" eb="7">
      <t>チュウ</t>
    </rPh>
    <phoneticPr fontId="4"/>
  </si>
  <si>
    <t>未調査の項目は空欄で示し、該当するデータが無いもの（例：オニヒトデ観察数が0の場合のオニヒトデのサイズ）は「-」で示した。</t>
    <rPh sb="0" eb="3">
      <t>ミチョウサ</t>
    </rPh>
    <rPh sb="4" eb="6">
      <t>コウモク</t>
    </rPh>
    <rPh sb="7" eb="9">
      <t>クウラン</t>
    </rPh>
    <rPh sb="10" eb="11">
      <t>シメ</t>
    </rPh>
    <rPh sb="13" eb="15">
      <t>ガイトウ</t>
    </rPh>
    <rPh sb="21" eb="22">
      <t>ナ</t>
    </rPh>
    <rPh sb="26" eb="27">
      <t>レイ</t>
    </rPh>
    <rPh sb="33" eb="35">
      <t>カンサツ</t>
    </rPh>
    <rPh sb="35" eb="36">
      <t>スウ</t>
    </rPh>
    <rPh sb="39" eb="41">
      <t>バアイ</t>
    </rPh>
    <rPh sb="57" eb="58">
      <t>シメ</t>
    </rPh>
    <phoneticPr fontId="9"/>
  </si>
  <si>
    <t>特定類優占型（ユビエダハマサンゴ</t>
  </si>
  <si>
    <t>skin</t>
  </si>
  <si>
    <t>中之島七ツ山</t>
    <rPh sb="0" eb="1">
      <t>ナカ</t>
    </rPh>
    <rPh sb="1" eb="2">
      <t>ノ</t>
    </rPh>
    <rPh sb="2" eb="3">
      <t>シマ</t>
    </rPh>
    <rPh sb="3" eb="4">
      <t>ナナ</t>
    </rPh>
    <rPh sb="5" eb="6">
      <t>ヤマ</t>
    </rPh>
    <phoneticPr fontId="3"/>
  </si>
  <si>
    <t>口之島エボシのハナレ</t>
    <rPh sb="0" eb="1">
      <t xml:space="preserve">クチノシマ </t>
    </rPh>
    <phoneticPr fontId="15"/>
  </si>
  <si>
    <t>口之島オランナダ</t>
    <rPh sb="0" eb="3">
      <t xml:space="preserve">クチノシマ </t>
    </rPh>
    <phoneticPr fontId="15"/>
  </si>
  <si>
    <t>口之島前之浜</t>
    <rPh sb="0" eb="3">
      <t xml:space="preserve">クチノシマ </t>
    </rPh>
    <rPh sb="3" eb="6">
      <t xml:space="preserve">マエノハマ </t>
    </rPh>
    <phoneticPr fontId="15"/>
  </si>
  <si>
    <t>口之島平瀬海水浴場前</t>
    <rPh sb="0" eb="3">
      <t xml:space="preserve">クチノシマ </t>
    </rPh>
    <rPh sb="3" eb="5">
      <t xml:space="preserve">ヒラセ </t>
    </rPh>
    <rPh sb="5" eb="9">
      <t xml:space="preserve">カイスイヨクジョウ </t>
    </rPh>
    <rPh sb="9" eb="10">
      <t xml:space="preserve">マエ </t>
    </rPh>
    <phoneticPr fontId="15"/>
  </si>
  <si>
    <t>有</t>
  </si>
  <si>
    <t>3.3 (5)</t>
  </si>
  <si>
    <t>2.3 (3)</t>
  </si>
  <si>
    <t>卓状ミドリイシ優占型</t>
  </si>
  <si>
    <t>6.5(10)</t>
  </si>
  <si>
    <t>2.5(4)</t>
  </si>
  <si>
    <t>1(2)</t>
  </si>
  <si>
    <t>1.5(3)</t>
  </si>
  <si>
    <t>0.5(1)</t>
  </si>
  <si>
    <t>1(1)</t>
  </si>
  <si>
    <t>2.5(3)</t>
  </si>
  <si>
    <t>2(4)</t>
  </si>
  <si>
    <t>1.5(2)</t>
  </si>
  <si>
    <t>4.5(6)</t>
  </si>
  <si>
    <t>7(11)</t>
  </si>
  <si>
    <t>3.5(6)</t>
  </si>
  <si>
    <t>11.5(16)</t>
  </si>
  <si>
    <t>3.5(4)</t>
  </si>
  <si>
    <t>7(10)</t>
  </si>
  <si>
    <t>5(8)</t>
  </si>
  <si>
    <t>2(3)</t>
  </si>
  <si>
    <t>3(4)</t>
  </si>
  <si>
    <t>10.5(13)</t>
  </si>
  <si>
    <t>2.5(5)</t>
  </si>
  <si>
    <t>4(7)</t>
  </si>
  <si>
    <t>2(2)</t>
  </si>
  <si>
    <t>5(9)</t>
  </si>
  <si>
    <t>220(n=3)</t>
  </si>
  <si>
    <t>192(n=5)</t>
  </si>
  <si>
    <t>0(n=0)</t>
  </si>
  <si>
    <t>　</t>
  </si>
  <si>
    <t>北野・下池</t>
    <rPh sb="0" eb="2">
      <t xml:space="preserve">キタノ </t>
    </rPh>
    <rPh sb="3" eb="5">
      <t xml:space="preserve">シモイケ </t>
    </rPh>
    <phoneticPr fontId="3"/>
  </si>
  <si>
    <t>福江　屋根尾島</t>
  </si>
  <si>
    <t>中通島　青木浦</t>
    <rPh sb="0" eb="2">
      <t>アオキ</t>
    </rPh>
    <rPh sb="2" eb="3">
      <t>ウラ</t>
    </rPh>
    <phoneticPr fontId="3"/>
  </si>
  <si>
    <t>中通島　ダイビングショップ前</t>
    <rPh sb="0" eb="1">
      <t>アル</t>
    </rPh>
    <phoneticPr fontId="3"/>
  </si>
  <si>
    <t>多種混成型</t>
    <rPh sb="0" eb="2">
      <t>タシュ</t>
    </rPh>
    <rPh sb="2" eb="4">
      <t>コンセイ</t>
    </rPh>
    <rPh sb="4" eb="5">
      <t>カタ</t>
    </rPh>
    <phoneticPr fontId="2"/>
  </si>
  <si>
    <t>20-30&lt;</t>
  </si>
  <si>
    <t>&lt;5</t>
    <phoneticPr fontId="3"/>
  </si>
  <si>
    <t>&lt;10</t>
  </si>
  <si>
    <t>浜比嘉島西</t>
  </si>
  <si>
    <t>チービシナガンヌ南2022</t>
    <rPh sb="8" eb="9">
      <t>ミナミ</t>
    </rPh>
    <phoneticPr fontId="2"/>
  </si>
  <si>
    <t>宜野湾漁港西</t>
    <rPh sb="0" eb="3">
      <t>ギノワン</t>
    </rPh>
    <rPh sb="3" eb="5">
      <t>ギョコウ</t>
    </rPh>
    <rPh sb="5" eb="6">
      <t>ニシ</t>
    </rPh>
    <phoneticPr fontId="2"/>
  </si>
  <si>
    <t>冨着チンバマグムイ</t>
    <rPh sb="0" eb="2">
      <t>フチャク</t>
    </rPh>
    <phoneticPr fontId="2"/>
  </si>
  <si>
    <t>恩納村万座毛西</t>
    <rPh sb="0" eb="3">
      <t>オンナソン</t>
    </rPh>
    <rPh sb="3" eb="5">
      <t>マンザ</t>
    </rPh>
    <rPh sb="5" eb="6">
      <t>モウ</t>
    </rPh>
    <rPh sb="6" eb="7">
      <t>ニシ</t>
    </rPh>
    <phoneticPr fontId="2"/>
  </si>
  <si>
    <t>恩納村万座毛</t>
    <rPh sb="0" eb="3">
      <t>オンナソン</t>
    </rPh>
    <rPh sb="3" eb="5">
      <t>マンザ</t>
    </rPh>
    <rPh sb="5" eb="6">
      <t>モウ</t>
    </rPh>
    <phoneticPr fontId="2"/>
  </si>
  <si>
    <t>屋部</t>
    <rPh sb="0" eb="2">
      <t>ヤブ</t>
    </rPh>
    <phoneticPr fontId="2"/>
  </si>
  <si>
    <t>瀬底島北</t>
    <rPh sb="0" eb="1">
      <t>セ</t>
    </rPh>
    <rPh sb="1" eb="2">
      <t>ソコ</t>
    </rPh>
    <rPh sb="2" eb="3">
      <t>シマ</t>
    </rPh>
    <rPh sb="3" eb="4">
      <t>キタ</t>
    </rPh>
    <phoneticPr fontId="2"/>
  </si>
  <si>
    <t>伊江島西旧</t>
    <rPh sb="0" eb="1">
      <t>イ</t>
    </rPh>
    <rPh sb="1" eb="2">
      <t>エ</t>
    </rPh>
    <rPh sb="2" eb="3">
      <t>シマ</t>
    </rPh>
    <rPh sb="3" eb="4">
      <t>ニシ</t>
    </rPh>
    <rPh sb="4" eb="5">
      <t>キュウ</t>
    </rPh>
    <phoneticPr fontId="2"/>
  </si>
  <si>
    <t>枝状・卓状ミドリイシ混成型</t>
  </si>
  <si>
    <t>入り江</t>
    <rPh sb="0" eb="1">
      <t>イ</t>
    </rPh>
    <rPh sb="2" eb="3">
      <t>エ</t>
    </rPh>
    <phoneticPr fontId="3"/>
  </si>
  <si>
    <t>内湾（斜面）</t>
    <rPh sb="0" eb="2">
      <t xml:space="preserve">ナイワン </t>
    </rPh>
    <rPh sb="3" eb="5">
      <t xml:space="preserve">シャメン </t>
    </rPh>
    <phoneticPr fontId="3"/>
  </si>
  <si>
    <t>3–10</t>
  </si>
  <si>
    <t>砂70, ガレ30</t>
    <rPh sb="0" eb="1">
      <t xml:space="preserve">スナ </t>
    </rPh>
    <phoneticPr fontId="2"/>
  </si>
  <si>
    <t>1–8</t>
  </si>
  <si>
    <t>砂50, 石50</t>
    <rPh sb="0" eb="1">
      <t xml:space="preserve">スナ </t>
    </rPh>
    <rPh sb="5" eb="6">
      <t xml:space="preserve">イシ </t>
    </rPh>
    <phoneticPr fontId="2"/>
  </si>
  <si>
    <t>10–19</t>
  </si>
  <si>
    <t>岩石50, 砂30, ミル30</t>
    <rPh sb="0" eb="2">
      <t xml:space="preserve">ガンセキ </t>
    </rPh>
    <rPh sb="6" eb="7">
      <t xml:space="preserve">スナ </t>
    </rPh>
    <phoneticPr fontId="2"/>
  </si>
  <si>
    <t>5–15</t>
  </si>
  <si>
    <t>砂95, 石5</t>
    <rPh sb="0" eb="1">
      <t xml:space="preserve">スナ </t>
    </rPh>
    <rPh sb="5" eb="6">
      <t xml:space="preserve">イシ </t>
    </rPh>
    <phoneticPr fontId="2"/>
  </si>
  <si>
    <t>7×100</t>
    <phoneticPr fontId="3"/>
  </si>
  <si>
    <t>縁脚</t>
    <rPh sb="0" eb="1">
      <t>エン</t>
    </rPh>
    <rPh sb="1" eb="2">
      <t>キャク</t>
    </rPh>
    <phoneticPr fontId="2"/>
  </si>
  <si>
    <t>礁斜面</t>
    <rPh sb="0" eb="1">
      <t>ショウ</t>
    </rPh>
    <rPh sb="1" eb="3">
      <t>シャメン</t>
    </rPh>
    <phoneticPr fontId="2"/>
  </si>
  <si>
    <t>離れの周囲、礁斜面</t>
    <rPh sb="0" eb="1">
      <t>ハナ</t>
    </rPh>
    <rPh sb="3" eb="5">
      <t>シュウイ</t>
    </rPh>
    <rPh sb="6" eb="7">
      <t>ショウ</t>
    </rPh>
    <rPh sb="7" eb="9">
      <t>シャメン</t>
    </rPh>
    <phoneticPr fontId="2"/>
  </si>
  <si>
    <t>1-10</t>
  </si>
  <si>
    <t>5-18</t>
  </si>
  <si>
    <t>3-10</t>
  </si>
  <si>
    <t>1-8</t>
  </si>
  <si>
    <t>1-12</t>
  </si>
  <si>
    <t>2-10</t>
  </si>
  <si>
    <t>礁池</t>
    <rPh sb="0" eb="1">
      <t>ショウ</t>
    </rPh>
    <rPh sb="1" eb="2">
      <t>チ</t>
    </rPh>
    <phoneticPr fontId="2"/>
  </si>
  <si>
    <t>0-2</t>
  </si>
  <si>
    <t>1-5</t>
  </si>
  <si>
    <t>1-7</t>
  </si>
  <si>
    <t>0-1</t>
  </si>
  <si>
    <t>口之島赤立</t>
    <rPh sb="0" eb="3">
      <t xml:space="preserve">クチノシマ </t>
    </rPh>
    <rPh sb="3" eb="5">
      <t xml:space="preserve">アカタチガミ </t>
    </rPh>
    <phoneticPr fontId="15"/>
  </si>
  <si>
    <t>増減</t>
    <rPh sb="0" eb="2">
      <t>ゾウゲン</t>
    </rPh>
    <phoneticPr fontId="3"/>
  </si>
  <si>
    <t>　　　以上からなる密集した貝集団は見られない。</t>
    <phoneticPr fontId="3"/>
  </si>
  <si>
    <t>袴腰海中公園</t>
    <rPh sb="1" eb="2">
      <t>コシ</t>
    </rPh>
    <rPh sb="2" eb="6">
      <t>カイチュウコウエン</t>
    </rPh>
    <phoneticPr fontId="19"/>
  </si>
  <si>
    <t>岩・砂</t>
    <rPh sb="0" eb="1">
      <t>イワ</t>
    </rPh>
    <rPh sb="2" eb="3">
      <t>サ</t>
    </rPh>
    <phoneticPr fontId="2"/>
  </si>
  <si>
    <t>内海</t>
    <rPh sb="0" eb="2">
      <t>ウチウミ</t>
    </rPh>
    <phoneticPr fontId="2"/>
  </si>
  <si>
    <t>外洋</t>
    <rPh sb="0" eb="2">
      <t>ガイヨウ</t>
    </rPh>
    <phoneticPr fontId="3"/>
  </si>
  <si>
    <t>25×25</t>
  </si>
  <si>
    <t>15×35</t>
  </si>
  <si>
    <t>25×30</t>
  </si>
  <si>
    <t>和歌山県</t>
  </si>
  <si>
    <t>大隅諸島</t>
    <rPh sb="0" eb="2">
      <t>オオスミ</t>
    </rPh>
    <rPh sb="2" eb="4">
      <t>ショトウ</t>
    </rPh>
    <phoneticPr fontId="5"/>
  </si>
  <si>
    <t>屋久島・種子島周辺</t>
    <rPh sb="0" eb="3">
      <t>ヤクシマ</t>
    </rPh>
    <rPh sb="4" eb="7">
      <t>タネガシマ</t>
    </rPh>
    <rPh sb="7" eb="9">
      <t>シュウヘン</t>
    </rPh>
    <phoneticPr fontId="5"/>
  </si>
  <si>
    <t>屋久島　志戸子</t>
    <rPh sb="0" eb="3">
      <t>ヤクシマ</t>
    </rPh>
    <rPh sb="4" eb="7">
      <t>シトゴ</t>
    </rPh>
    <phoneticPr fontId="9"/>
  </si>
  <si>
    <t>松本</t>
    <rPh sb="0" eb="2">
      <t>マツモト</t>
    </rPh>
    <phoneticPr fontId="4"/>
  </si>
  <si>
    <t>屋久島　元浦　</t>
    <rPh sb="0" eb="3">
      <t>ヤクシマ</t>
    </rPh>
    <rPh sb="4" eb="6">
      <t>モトウラ</t>
    </rPh>
    <phoneticPr fontId="9"/>
  </si>
  <si>
    <t xml:space="preserve">屋久島 管理棟下　 </t>
    <rPh sb="0" eb="3">
      <t>ヤクシマ</t>
    </rPh>
    <rPh sb="4" eb="6">
      <t>カンリ</t>
    </rPh>
    <rPh sb="6" eb="7">
      <t>トウ</t>
    </rPh>
    <rPh sb="7" eb="8">
      <t>シタ</t>
    </rPh>
    <phoneticPr fontId="9"/>
  </si>
  <si>
    <t>卓状ミドリイシ優占型</t>
    <rPh sb="0" eb="2">
      <t>タクジョウ</t>
    </rPh>
    <rPh sb="7" eb="8">
      <t>ユウ</t>
    </rPh>
    <rPh sb="8" eb="9">
      <t>ウラナイ</t>
    </rPh>
    <rPh sb="9" eb="10">
      <t>カタ</t>
    </rPh>
    <phoneticPr fontId="4"/>
  </si>
  <si>
    <t>屋久島　お宮下　</t>
    <rPh sb="0" eb="3">
      <t>ヤクシマ</t>
    </rPh>
    <rPh sb="5" eb="7">
      <t>ミヤシタ</t>
    </rPh>
    <phoneticPr fontId="9"/>
  </si>
  <si>
    <t>屋久島タンク下　</t>
    <rPh sb="0" eb="3">
      <t>ヤクシマ</t>
    </rPh>
    <rPh sb="6" eb="7">
      <t>シタ</t>
    </rPh>
    <phoneticPr fontId="9"/>
  </si>
  <si>
    <t>屋久島センロク　</t>
    <rPh sb="0" eb="3">
      <t>ヤクシマ</t>
    </rPh>
    <phoneticPr fontId="9"/>
  </si>
  <si>
    <t>屋久島　塚崎　</t>
    <rPh sb="4" eb="6">
      <t>ツカザキ</t>
    </rPh>
    <phoneticPr fontId="9"/>
  </si>
  <si>
    <t>屋久島　中間　</t>
    <rPh sb="0" eb="3">
      <t>ヤクシマ</t>
    </rPh>
    <rPh sb="4" eb="6">
      <t>ナカマ</t>
    </rPh>
    <phoneticPr fontId="9"/>
  </si>
  <si>
    <t>屋久島　湯泊　</t>
    <rPh sb="0" eb="3">
      <t>ヤクシマ</t>
    </rPh>
    <rPh sb="4" eb="6">
      <t>ユドマリ</t>
    </rPh>
    <phoneticPr fontId="9"/>
  </si>
  <si>
    <t>屋久島　麦生　</t>
    <rPh sb="0" eb="3">
      <t>ヤクシマ</t>
    </rPh>
    <rPh sb="4" eb="6">
      <t>ムギオ</t>
    </rPh>
    <phoneticPr fontId="9"/>
  </si>
  <si>
    <t>口永良部　寝待　</t>
    <rPh sb="0" eb="4">
      <t>クチエラブ</t>
    </rPh>
    <rPh sb="5" eb="7">
      <t>ネマチ</t>
    </rPh>
    <phoneticPr fontId="9"/>
  </si>
  <si>
    <t>口永良部岩屋泊</t>
    <rPh sb="0" eb="4">
      <t>クチエラブ</t>
    </rPh>
    <rPh sb="4" eb="6">
      <t>イワヤ</t>
    </rPh>
    <rPh sb="6" eb="7">
      <t>トマリ</t>
    </rPh>
    <phoneticPr fontId="9"/>
  </si>
  <si>
    <t>馬毛島　</t>
    <rPh sb="0" eb="3">
      <t>マゲシマ</t>
    </rPh>
    <phoneticPr fontId="9"/>
  </si>
  <si>
    <t>種子島　大瀬</t>
    <rPh sb="0" eb="3">
      <t>タネガシマ</t>
    </rPh>
    <rPh sb="4" eb="6">
      <t>オオセ</t>
    </rPh>
    <phoneticPr fontId="9"/>
  </si>
  <si>
    <t>種子島　住吉　　</t>
    <rPh sb="0" eb="3">
      <t>タネガシマ</t>
    </rPh>
    <rPh sb="4" eb="6">
      <t>スミヨシ</t>
    </rPh>
    <phoneticPr fontId="9"/>
  </si>
  <si>
    <t xml:space="preserve">竹島　コモリ港 </t>
    <rPh sb="0" eb="2">
      <t>タケシマ</t>
    </rPh>
    <rPh sb="6" eb="7">
      <t>コウ</t>
    </rPh>
    <phoneticPr fontId="9"/>
  </si>
  <si>
    <t>硫黄島 永良部崎　</t>
    <rPh sb="0" eb="3">
      <t>イオウジマ</t>
    </rPh>
    <rPh sb="4" eb="7">
      <t>エラブ</t>
    </rPh>
    <rPh sb="7" eb="8">
      <t>サキ</t>
    </rPh>
    <phoneticPr fontId="9"/>
  </si>
  <si>
    <t>黒島　夫婦瀬</t>
    <rPh sb="0" eb="2">
      <t>クロシマ</t>
    </rPh>
    <rPh sb="3" eb="5">
      <t>フウフ</t>
    </rPh>
    <rPh sb="5" eb="6">
      <t>セ</t>
    </rPh>
    <phoneticPr fontId="4"/>
  </si>
  <si>
    <t>大隅諸島</t>
  </si>
  <si>
    <t>種子島　浦田ビーチ　</t>
    <rPh sb="0" eb="3">
      <t>タネガシマ</t>
    </rPh>
    <rPh sb="4" eb="6">
      <t>ウラタ</t>
    </rPh>
    <phoneticPr fontId="9"/>
  </si>
  <si>
    <t>奄美群島</t>
    <rPh sb="0" eb="2">
      <t>アマミ</t>
    </rPh>
    <rPh sb="2" eb="4">
      <t>グントウ</t>
    </rPh>
    <phoneticPr fontId="5"/>
  </si>
  <si>
    <t>瀬戸内周辺（大島）</t>
    <rPh sb="0" eb="1">
      <t>セ</t>
    </rPh>
    <rPh sb="1" eb="3">
      <t>トウチ</t>
    </rPh>
    <rPh sb="3" eb="5">
      <t>シュウヘン</t>
    </rPh>
    <rPh sb="6" eb="8">
      <t>オオシマ</t>
    </rPh>
    <phoneticPr fontId="5"/>
  </si>
  <si>
    <t>赤木名立神</t>
    <rPh sb="0" eb="1">
      <t>アカ</t>
    </rPh>
    <rPh sb="1" eb="2">
      <t>キ</t>
    </rPh>
    <rPh sb="2" eb="3">
      <t>ナ</t>
    </rPh>
    <rPh sb="3" eb="4">
      <t>タ</t>
    </rPh>
    <rPh sb="4" eb="5">
      <t>カミ</t>
    </rPh>
    <phoneticPr fontId="4"/>
  </si>
  <si>
    <t>興克樹</t>
    <rPh sb="0" eb="1">
      <t>オキ</t>
    </rPh>
    <rPh sb="1" eb="3">
      <t>カツキ</t>
    </rPh>
    <phoneticPr fontId="4"/>
  </si>
  <si>
    <t>枝状・卓状ミドリイシ混成型</t>
    <rPh sb="10" eb="12">
      <t>コンセイ</t>
    </rPh>
    <phoneticPr fontId="14"/>
  </si>
  <si>
    <t>神の子</t>
    <rPh sb="0" eb="1">
      <t>カミ</t>
    </rPh>
    <rPh sb="2" eb="3">
      <t>コ</t>
    </rPh>
    <phoneticPr fontId="4"/>
  </si>
  <si>
    <t>久場</t>
    <rPh sb="0" eb="1">
      <t>ヒサ</t>
    </rPh>
    <rPh sb="1" eb="2">
      <t>バ</t>
    </rPh>
    <phoneticPr fontId="4"/>
  </si>
  <si>
    <t>安木屋場</t>
    <rPh sb="0" eb="1">
      <t>アン</t>
    </rPh>
    <rPh sb="1" eb="2">
      <t>キ</t>
    </rPh>
    <rPh sb="2" eb="3">
      <t>ヤ</t>
    </rPh>
    <rPh sb="3" eb="4">
      <t>バ</t>
    </rPh>
    <phoneticPr fontId="4"/>
  </si>
  <si>
    <t>崎原東</t>
    <rPh sb="0" eb="2">
      <t>サキバル</t>
    </rPh>
    <rPh sb="2" eb="3">
      <t>ヒガシ</t>
    </rPh>
    <phoneticPr fontId="4"/>
  </si>
  <si>
    <t>卓状ミドリイシ優占型</t>
    <rPh sb="0" eb="2">
      <t>タクジョウ</t>
    </rPh>
    <rPh sb="7" eb="8">
      <t>ユウ</t>
    </rPh>
    <rPh sb="8" eb="9">
      <t>ウラナイ</t>
    </rPh>
    <rPh sb="9" eb="10">
      <t>カタ</t>
    </rPh>
    <phoneticPr fontId="15"/>
  </si>
  <si>
    <t>崎原南</t>
    <rPh sb="0" eb="2">
      <t>サキバル</t>
    </rPh>
    <rPh sb="2" eb="3">
      <t>ミナミ</t>
    </rPh>
    <phoneticPr fontId="4"/>
  </si>
  <si>
    <t>摺子崎</t>
    <rPh sb="0" eb="3">
      <t>スリコザキ</t>
    </rPh>
    <phoneticPr fontId="4"/>
  </si>
  <si>
    <t>大浜</t>
    <rPh sb="0" eb="2">
      <t>オオハマ</t>
    </rPh>
    <phoneticPr fontId="4"/>
  </si>
  <si>
    <t>徳浜</t>
    <rPh sb="0" eb="2">
      <t>トクハマ</t>
    </rPh>
    <phoneticPr fontId="4"/>
  </si>
  <si>
    <t>和瀬</t>
    <rPh sb="0" eb="1">
      <t>ワ</t>
    </rPh>
    <rPh sb="1" eb="2">
      <t>セ</t>
    </rPh>
    <phoneticPr fontId="4"/>
  </si>
  <si>
    <t>実久</t>
    <rPh sb="0" eb="1">
      <t>サネ</t>
    </rPh>
    <rPh sb="1" eb="2">
      <t>ヒサ</t>
    </rPh>
    <phoneticPr fontId="4"/>
  </si>
  <si>
    <t>デリキョンマ崎</t>
    <rPh sb="6" eb="7">
      <t>サキ</t>
    </rPh>
    <phoneticPr fontId="4"/>
  </si>
  <si>
    <t>手安</t>
    <rPh sb="0" eb="1">
      <t>テ</t>
    </rPh>
    <rPh sb="1" eb="2">
      <t>アン</t>
    </rPh>
    <phoneticPr fontId="4"/>
  </si>
  <si>
    <t>安脚場</t>
    <rPh sb="0" eb="1">
      <t>アン</t>
    </rPh>
    <rPh sb="1" eb="2">
      <t>キャク</t>
    </rPh>
    <rPh sb="2" eb="3">
      <t>バ</t>
    </rPh>
    <phoneticPr fontId="4"/>
  </si>
  <si>
    <t>沖縄島東岸</t>
    <rPh sb="0" eb="3">
      <t>オキナワジマ</t>
    </rPh>
    <rPh sb="3" eb="5">
      <t>ヒガシガン</t>
    </rPh>
    <phoneticPr fontId="4"/>
  </si>
  <si>
    <t>沖縄島東岸</t>
    <rPh sb="0" eb="3">
      <t>オキナワジマ</t>
    </rPh>
    <rPh sb="3" eb="5">
      <t>ヒガシガン</t>
    </rPh>
    <phoneticPr fontId="17"/>
  </si>
  <si>
    <t>東村～奥</t>
    <rPh sb="0" eb="2">
      <t>ヒガシソン</t>
    </rPh>
    <rPh sb="3" eb="4">
      <t>オク</t>
    </rPh>
    <phoneticPr fontId="9"/>
  </si>
  <si>
    <t>大泊橋北東浜</t>
  </si>
  <si>
    <t>東村伊是名北</t>
  </si>
  <si>
    <t>沖縄島西岸</t>
    <rPh sb="0" eb="2">
      <t>オキナワ</t>
    </rPh>
    <rPh sb="2" eb="3">
      <t>ジマ</t>
    </rPh>
    <rPh sb="3" eb="5">
      <t>セイガン</t>
    </rPh>
    <phoneticPr fontId="4"/>
  </si>
  <si>
    <t>ヒキイシ南</t>
  </si>
  <si>
    <t>沖縄島周辺離島</t>
    <rPh sb="0" eb="2">
      <t>オキナワ</t>
    </rPh>
    <rPh sb="2" eb="3">
      <t>トウ</t>
    </rPh>
    <rPh sb="3" eb="5">
      <t>シュウヘン</t>
    </rPh>
    <rPh sb="5" eb="7">
      <t>リトウ</t>
    </rPh>
    <phoneticPr fontId="4"/>
  </si>
  <si>
    <t>慶良間諸島</t>
    <rPh sb="0" eb="3">
      <t>ケラマ</t>
    </rPh>
    <rPh sb="3" eb="5">
      <t>ショトウ</t>
    </rPh>
    <phoneticPr fontId="5"/>
  </si>
  <si>
    <t>慶良間諸島中心海域（阿嘉島、座間味、渡嘉敷周辺）</t>
    <rPh sb="0" eb="3">
      <t>ケラマ</t>
    </rPh>
    <rPh sb="3" eb="5">
      <t>ショトウ</t>
    </rPh>
    <rPh sb="5" eb="7">
      <t>チュウシン</t>
    </rPh>
    <rPh sb="7" eb="9">
      <t>カイイキ</t>
    </rPh>
    <rPh sb="10" eb="11">
      <t>ア</t>
    </rPh>
    <rPh sb="11" eb="12">
      <t>カ</t>
    </rPh>
    <rPh sb="12" eb="13">
      <t>シマ</t>
    </rPh>
    <rPh sb="14" eb="17">
      <t>ザマミ</t>
    </rPh>
    <rPh sb="18" eb="21">
      <t>トカシキ</t>
    </rPh>
    <rPh sb="21" eb="23">
      <t>シュウヘン</t>
    </rPh>
    <phoneticPr fontId="5"/>
  </si>
  <si>
    <t>久場北西</t>
    <rPh sb="2" eb="3">
      <t>キタ</t>
    </rPh>
    <rPh sb="3" eb="4">
      <t>セイ</t>
    </rPh>
    <phoneticPr fontId="18"/>
  </si>
  <si>
    <t>渡嘉敷アリガー</t>
    <rPh sb="0" eb="3">
      <t>トカシキ</t>
    </rPh>
    <phoneticPr fontId="19"/>
  </si>
  <si>
    <t>渡嘉敷アハレン</t>
    <rPh sb="0" eb="3">
      <t>トカシキ</t>
    </rPh>
    <phoneticPr fontId="19"/>
  </si>
  <si>
    <t>無</t>
    <rPh sb="0" eb="1">
      <t xml:space="preserve">ナシ </t>
    </rPh>
    <phoneticPr fontId="14"/>
  </si>
  <si>
    <t>宮古島周辺</t>
    <rPh sb="0" eb="3">
      <t>ミヤコジマ</t>
    </rPh>
    <rPh sb="3" eb="5">
      <t>シュウヘン</t>
    </rPh>
    <phoneticPr fontId="5"/>
  </si>
  <si>
    <t>梶原健次</t>
    <rPh sb="0" eb="2">
      <t>カジワラ</t>
    </rPh>
    <rPh sb="2" eb="4">
      <t>ケンジ</t>
    </rPh>
    <phoneticPr fontId="4"/>
  </si>
  <si>
    <t>有</t>
    <rPh sb="0" eb="1">
      <t>ユウ</t>
    </rPh>
    <phoneticPr fontId="5"/>
  </si>
  <si>
    <t>宮古島離礁</t>
    <rPh sb="0" eb="3">
      <t>ミヤコジマ</t>
    </rPh>
    <rPh sb="3" eb="4">
      <t>リ</t>
    </rPh>
    <rPh sb="4" eb="5">
      <t>ショウ</t>
    </rPh>
    <phoneticPr fontId="5"/>
  </si>
  <si>
    <t>八重干瀬</t>
    <rPh sb="0" eb="2">
      <t>ヤエ</t>
    </rPh>
    <rPh sb="2" eb="3">
      <t>ヒ</t>
    </rPh>
    <rPh sb="3" eb="4">
      <t>セ</t>
    </rPh>
    <phoneticPr fontId="5"/>
  </si>
  <si>
    <t>石垣島東岸</t>
    <rPh sb="0" eb="3">
      <t>イシガキジマ</t>
    </rPh>
    <rPh sb="3" eb="4">
      <t>ヒガシ</t>
    </rPh>
    <rPh sb="4" eb="5">
      <t>キシ</t>
    </rPh>
    <phoneticPr fontId="5"/>
  </si>
  <si>
    <t>平久保～宮良湾</t>
    <rPh sb="0" eb="3">
      <t>ヒラクボ</t>
    </rPh>
    <rPh sb="4" eb="5">
      <t>ミヤ</t>
    </rPh>
    <rPh sb="5" eb="6">
      <t>ヨ</t>
    </rPh>
    <rPh sb="6" eb="7">
      <t>ワン</t>
    </rPh>
    <phoneticPr fontId="5"/>
  </si>
  <si>
    <t>吉田</t>
    <rPh sb="0" eb="2">
      <t>ヨシダ</t>
    </rPh>
    <phoneticPr fontId="4"/>
  </si>
  <si>
    <t>石垣島西岸</t>
    <rPh sb="0" eb="3">
      <t>イシガキジマ</t>
    </rPh>
    <rPh sb="3" eb="5">
      <t>セイガン</t>
    </rPh>
    <phoneticPr fontId="5"/>
  </si>
  <si>
    <t>川平～大崎</t>
    <rPh sb="0" eb="2">
      <t>カビラ</t>
    </rPh>
    <rPh sb="3" eb="5">
      <t>オオサキ</t>
    </rPh>
    <phoneticPr fontId="5"/>
  </si>
  <si>
    <t>枝状ミドリイシ優占型</t>
    <rPh sb="7" eb="9">
      <t>ユウセン</t>
    </rPh>
    <phoneticPr fontId="14"/>
  </si>
  <si>
    <t>明石西</t>
    <rPh sb="0" eb="2">
      <t>アカイシ</t>
    </rPh>
    <rPh sb="2" eb="3">
      <t>ニシ</t>
    </rPh>
    <phoneticPr fontId="4"/>
  </si>
  <si>
    <t>伊原間湾口</t>
    <rPh sb="0" eb="3">
      <t>イバルマ</t>
    </rPh>
    <rPh sb="3" eb="4">
      <t>ワン</t>
    </rPh>
    <rPh sb="4" eb="5">
      <t>コウ</t>
    </rPh>
    <phoneticPr fontId="4"/>
  </si>
  <si>
    <t>上野・川崎</t>
    <rPh sb="0" eb="2">
      <t>ウエノ</t>
    </rPh>
    <rPh sb="3" eb="5">
      <t>カワサキ</t>
    </rPh>
    <phoneticPr fontId="14"/>
  </si>
  <si>
    <t>黒島～新城島</t>
    <rPh sb="0" eb="2">
      <t>クロジマ</t>
    </rPh>
    <rPh sb="3" eb="5">
      <t>シンジョウ</t>
    </rPh>
    <rPh sb="5" eb="6">
      <t>ジマ</t>
    </rPh>
    <phoneticPr fontId="4"/>
  </si>
  <si>
    <t>特定類優占型（被覆状コモンサンゴ）</t>
    <rPh sb="7" eb="10">
      <t>ヒフクジョウ</t>
    </rPh>
    <phoneticPr fontId="9"/>
  </si>
  <si>
    <t>崎山湾（西表島西部）周辺</t>
    <rPh sb="10" eb="12">
      <t>シュウヘン</t>
    </rPh>
    <phoneticPr fontId="4"/>
  </si>
  <si>
    <t>鳩間島東礁縁</t>
    <rPh sb="0" eb="1">
      <t>ハト</t>
    </rPh>
    <rPh sb="1" eb="3">
      <t>マジマ</t>
    </rPh>
    <rPh sb="3" eb="4">
      <t>ヒガシ</t>
    </rPh>
    <rPh sb="4" eb="5">
      <t>ショウ</t>
    </rPh>
    <rPh sb="5" eb="6">
      <t>エン</t>
    </rPh>
    <phoneticPr fontId="17"/>
  </si>
  <si>
    <t>鳩間島北礁縁</t>
    <rPh sb="0" eb="1">
      <t>ハト</t>
    </rPh>
    <rPh sb="1" eb="3">
      <t>マジマ</t>
    </rPh>
    <rPh sb="3" eb="4">
      <t>キタ</t>
    </rPh>
    <rPh sb="4" eb="5">
      <t>ショウ</t>
    </rPh>
    <rPh sb="5" eb="6">
      <t>エン</t>
    </rPh>
    <phoneticPr fontId="17"/>
  </si>
  <si>
    <t>小笠原諸島</t>
    <rPh sb="0" eb="3">
      <t>オガサワラ</t>
    </rPh>
    <rPh sb="3" eb="5">
      <t>ショトウ</t>
    </rPh>
    <phoneticPr fontId="5"/>
  </si>
  <si>
    <t>父島周辺</t>
    <rPh sb="0" eb="1">
      <t>チチ</t>
    </rPh>
    <rPh sb="1" eb="2">
      <t>ジマ</t>
    </rPh>
    <rPh sb="2" eb="4">
      <t>シュウヘン</t>
    </rPh>
    <phoneticPr fontId="5"/>
  </si>
  <si>
    <t>兄島・滝之浦</t>
    <rPh sb="0" eb="2">
      <t>アニジマ</t>
    </rPh>
    <rPh sb="3" eb="6">
      <t>タキノウラ</t>
    </rPh>
    <phoneticPr fontId="4"/>
  </si>
  <si>
    <t>佐々木哲朗</t>
    <rPh sb="0" eb="5">
      <t>ササキテツロウ</t>
    </rPh>
    <phoneticPr fontId="4"/>
  </si>
  <si>
    <t>兄島・キャベツビーチ</t>
    <rPh sb="0" eb="2">
      <t>アニジマ</t>
    </rPh>
    <phoneticPr fontId="4"/>
  </si>
  <si>
    <t>兄島・水玉湾西側</t>
    <rPh sb="0" eb="2">
      <t>アニジマ</t>
    </rPh>
    <rPh sb="3" eb="6">
      <t>ミズタマワン</t>
    </rPh>
    <rPh sb="6" eb="8">
      <t>ニシガワ</t>
    </rPh>
    <phoneticPr fontId="4"/>
  </si>
  <si>
    <t>父島・宮之浜</t>
    <rPh sb="0" eb="2">
      <t>チチジマ</t>
    </rPh>
    <rPh sb="3" eb="6">
      <t>ミヤノハマ</t>
    </rPh>
    <phoneticPr fontId="4"/>
  </si>
  <si>
    <t>父島・釣浜</t>
    <rPh sb="0" eb="2">
      <t>チチジマ</t>
    </rPh>
    <rPh sb="3" eb="4">
      <t>ツ</t>
    </rPh>
    <rPh sb="4" eb="5">
      <t>ハマ</t>
    </rPh>
    <phoneticPr fontId="4"/>
  </si>
  <si>
    <t>父島・初寝浦</t>
    <rPh sb="0" eb="2">
      <t>チチジマ</t>
    </rPh>
    <rPh sb="3" eb="6">
      <t>ハツネウラ</t>
    </rPh>
    <phoneticPr fontId="4"/>
  </si>
  <si>
    <t>父島・巽東海岸</t>
    <rPh sb="0" eb="2">
      <t>チチジマ</t>
    </rPh>
    <rPh sb="3" eb="7">
      <t>タツミヒガシカイガン</t>
    </rPh>
    <phoneticPr fontId="4"/>
  </si>
  <si>
    <t>父島・巽中海岸</t>
    <rPh sb="0" eb="2">
      <t>チチジマ</t>
    </rPh>
    <rPh sb="3" eb="7">
      <t>タツミナ</t>
    </rPh>
    <phoneticPr fontId="4"/>
  </si>
  <si>
    <t>父島（属）・南島サンゴ池</t>
    <rPh sb="0" eb="2">
      <t>チチジマ</t>
    </rPh>
    <rPh sb="3" eb="4">
      <t>ゾクトウ</t>
    </rPh>
    <rPh sb="6" eb="8">
      <t>ミナミジマ</t>
    </rPh>
    <rPh sb="11" eb="12">
      <t>イケ</t>
    </rPh>
    <phoneticPr fontId="4"/>
  </si>
  <si>
    <t>父島・コペペ海岸</t>
    <rPh sb="0" eb="2">
      <t>チチジマ</t>
    </rPh>
    <rPh sb="6" eb="8">
      <t>カイガン</t>
    </rPh>
    <phoneticPr fontId="4"/>
  </si>
  <si>
    <t>父島・野羊山内側</t>
    <rPh sb="0" eb="2">
      <t>チチジマ</t>
    </rPh>
    <rPh sb="3" eb="6">
      <t>ヤギュウサン</t>
    </rPh>
    <rPh sb="6" eb="8">
      <t>ウチガワ</t>
    </rPh>
    <phoneticPr fontId="4"/>
  </si>
  <si>
    <t>無</t>
    <rPh sb="0" eb="1">
      <t>ナ</t>
    </rPh>
    <phoneticPr fontId="5"/>
  </si>
  <si>
    <t>父島・二見湾奥</t>
    <rPh sb="0" eb="2">
      <t>チチジマ</t>
    </rPh>
    <rPh sb="3" eb="6">
      <t>フタミワン</t>
    </rPh>
    <rPh sb="6" eb="7">
      <t>オク</t>
    </rPh>
    <phoneticPr fontId="4"/>
  </si>
  <si>
    <t>房総・伊豆・伊豆諸島（黒潮影響域）</t>
    <rPh sb="0" eb="2">
      <t>ボウソウ</t>
    </rPh>
    <rPh sb="3" eb="5">
      <t>イズ</t>
    </rPh>
    <rPh sb="6" eb="8">
      <t>イズ</t>
    </rPh>
    <rPh sb="8" eb="10">
      <t>ショトウ</t>
    </rPh>
    <rPh sb="11" eb="13">
      <t>クロシオ</t>
    </rPh>
    <rPh sb="13" eb="15">
      <t>エイキョウ</t>
    </rPh>
    <rPh sb="15" eb="16">
      <t>イキ</t>
    </rPh>
    <phoneticPr fontId="5"/>
  </si>
  <si>
    <t>館山（房総）</t>
    <rPh sb="0" eb="2">
      <t>タテヤマ</t>
    </rPh>
    <rPh sb="3" eb="5">
      <t>ボウソウ</t>
    </rPh>
    <phoneticPr fontId="5"/>
  </si>
  <si>
    <t>沖の島①</t>
  </si>
  <si>
    <t>沖の島②</t>
  </si>
  <si>
    <t>坂田①</t>
  </si>
  <si>
    <t>坂田②</t>
  </si>
  <si>
    <t>坂田③</t>
  </si>
  <si>
    <t>日本海（対馬暖流影響域）</t>
    <rPh sb="0" eb="2">
      <t>ニホン</t>
    </rPh>
    <rPh sb="2" eb="3">
      <t>カイ</t>
    </rPh>
    <rPh sb="4" eb="6">
      <t>ツシマ</t>
    </rPh>
    <rPh sb="6" eb="8">
      <t>ダンリュウ</t>
    </rPh>
    <rPh sb="8" eb="10">
      <t>エイキョウ</t>
    </rPh>
    <rPh sb="10" eb="11">
      <t>イキ</t>
    </rPh>
    <phoneticPr fontId="5"/>
  </si>
  <si>
    <t>壱岐周辺</t>
    <rPh sb="0" eb="2">
      <t>イキ</t>
    </rPh>
    <rPh sb="2" eb="4">
      <t>シュウヘン</t>
    </rPh>
    <phoneticPr fontId="5"/>
  </si>
  <si>
    <t>福江・布浦（１）</t>
    <rPh sb="0" eb="2">
      <t>フクエ</t>
    </rPh>
    <rPh sb="3" eb="4">
      <t>ヌノ</t>
    </rPh>
    <rPh sb="4" eb="5">
      <t>ウラ</t>
    </rPh>
    <phoneticPr fontId="4"/>
  </si>
  <si>
    <t>多種混成型</t>
    <rPh sb="0" eb="2">
      <t>タシュ</t>
    </rPh>
    <rPh sb="2" eb="4">
      <t>コンセイ</t>
    </rPh>
    <rPh sb="4" eb="5">
      <t>ガタ</t>
    </rPh>
    <phoneticPr fontId="4"/>
  </si>
  <si>
    <t>福江・布浦（２）</t>
    <rPh sb="0" eb="2">
      <t>フクエ</t>
    </rPh>
    <rPh sb="3" eb="4">
      <t>ヌノ</t>
    </rPh>
    <rPh sb="4" eb="5">
      <t>ウラ</t>
    </rPh>
    <phoneticPr fontId="4"/>
  </si>
  <si>
    <t>福江・津多羅島（１）</t>
    <rPh sb="0" eb="2">
      <t>フクエ</t>
    </rPh>
    <rPh sb="3" eb="4">
      <t>ツ</t>
    </rPh>
    <rPh sb="4" eb="6">
      <t>タラ</t>
    </rPh>
    <rPh sb="6" eb="7">
      <t>ジマ</t>
    </rPh>
    <phoneticPr fontId="4"/>
  </si>
  <si>
    <t>福江・津多羅島（２）</t>
    <rPh sb="0" eb="2">
      <t>フクエ</t>
    </rPh>
    <rPh sb="3" eb="4">
      <t>ツ</t>
    </rPh>
    <rPh sb="4" eb="6">
      <t>タラ</t>
    </rPh>
    <rPh sb="6" eb="7">
      <t>ジマ</t>
    </rPh>
    <phoneticPr fontId="4"/>
  </si>
  <si>
    <t>福江・津多羅島（３）</t>
    <rPh sb="0" eb="2">
      <t>フクエ</t>
    </rPh>
    <rPh sb="3" eb="4">
      <t>ツ</t>
    </rPh>
    <rPh sb="4" eb="6">
      <t>タラ</t>
    </rPh>
    <rPh sb="6" eb="7">
      <t>ジマ</t>
    </rPh>
    <phoneticPr fontId="4"/>
  </si>
  <si>
    <t>壱岐・黒崎</t>
    <rPh sb="0" eb="2">
      <t>イキ</t>
    </rPh>
    <rPh sb="3" eb="5">
      <t>クロサキ</t>
    </rPh>
    <phoneticPr fontId="4"/>
  </si>
  <si>
    <t>壱岐・板浦</t>
    <rPh sb="0" eb="2">
      <t>イキ</t>
    </rPh>
    <rPh sb="3" eb="4">
      <t>イタ</t>
    </rPh>
    <rPh sb="4" eb="5">
      <t>ウラ</t>
    </rPh>
    <phoneticPr fontId="4"/>
  </si>
  <si>
    <t>壱岐・神瀬</t>
    <rPh sb="0" eb="2">
      <t>イキ</t>
    </rPh>
    <rPh sb="3" eb="4">
      <t>カミ</t>
    </rPh>
    <rPh sb="4" eb="5">
      <t>セ</t>
    </rPh>
    <phoneticPr fontId="4"/>
  </si>
  <si>
    <t>対馬・瀬ノ浦</t>
    <rPh sb="0" eb="2">
      <t>ツシマ</t>
    </rPh>
    <rPh sb="3" eb="4">
      <t>セ</t>
    </rPh>
    <rPh sb="5" eb="6">
      <t>ウラ</t>
    </rPh>
    <phoneticPr fontId="4"/>
  </si>
  <si>
    <t>対馬・太田浦</t>
    <rPh sb="0" eb="2">
      <t>ツシマ</t>
    </rPh>
    <rPh sb="3" eb="5">
      <t>オオタ</t>
    </rPh>
    <rPh sb="5" eb="6">
      <t>ウラ</t>
    </rPh>
    <phoneticPr fontId="4"/>
  </si>
  <si>
    <t>中通島・三ツ瀬（1)</t>
    <rPh sb="0" eb="1">
      <t>ナカ</t>
    </rPh>
    <rPh sb="1" eb="2">
      <t>トオ</t>
    </rPh>
    <rPh sb="2" eb="3">
      <t>シマ</t>
    </rPh>
    <rPh sb="4" eb="5">
      <t>ミ</t>
    </rPh>
    <rPh sb="6" eb="7">
      <t>セ</t>
    </rPh>
    <phoneticPr fontId="4"/>
  </si>
  <si>
    <t>中通島・三ツ瀬（2)</t>
    <rPh sb="0" eb="1">
      <t>ナカ</t>
    </rPh>
    <rPh sb="1" eb="2">
      <t>トオ</t>
    </rPh>
    <rPh sb="2" eb="3">
      <t>シマ</t>
    </rPh>
    <rPh sb="4" eb="5">
      <t>ミ</t>
    </rPh>
    <rPh sb="6" eb="7">
      <t>セ</t>
    </rPh>
    <phoneticPr fontId="4"/>
  </si>
  <si>
    <t>中通島・三ツ瀬（3)</t>
    <rPh sb="0" eb="1">
      <t>ナカ</t>
    </rPh>
    <rPh sb="1" eb="2">
      <t>トオ</t>
    </rPh>
    <rPh sb="2" eb="3">
      <t>シマ</t>
    </rPh>
    <rPh sb="4" eb="5">
      <t>ミ</t>
    </rPh>
    <rPh sb="6" eb="7">
      <t>セ</t>
    </rPh>
    <phoneticPr fontId="4"/>
  </si>
  <si>
    <t>若松島・滝ヶ原</t>
    <rPh sb="0" eb="2">
      <t>ワカマツ</t>
    </rPh>
    <rPh sb="2" eb="3">
      <t>ジマ</t>
    </rPh>
    <rPh sb="4" eb="7">
      <t>タキガハラ</t>
    </rPh>
    <phoneticPr fontId="4"/>
  </si>
  <si>
    <t>福江・多々良島</t>
    <rPh sb="0" eb="2">
      <t>フクエ</t>
    </rPh>
    <rPh sb="3" eb="6">
      <t>タタラ</t>
    </rPh>
    <rPh sb="6" eb="7">
      <t>ジマ</t>
    </rPh>
    <phoneticPr fontId="4"/>
  </si>
  <si>
    <t>対馬・太田浦沖</t>
    <rPh sb="0" eb="2">
      <t>ツシマ</t>
    </rPh>
    <rPh sb="3" eb="5">
      <t>オオタ</t>
    </rPh>
    <rPh sb="5" eb="6">
      <t>ウラ</t>
    </rPh>
    <rPh sb="6" eb="7">
      <t>オキ</t>
    </rPh>
    <phoneticPr fontId="4"/>
  </si>
  <si>
    <t>多々良島(2)</t>
    <rPh sb="0" eb="3">
      <t>タタラ</t>
    </rPh>
    <rPh sb="3" eb="4">
      <t>ジマ</t>
    </rPh>
    <phoneticPr fontId="5"/>
  </si>
  <si>
    <t>中通島　青木浦</t>
    <rPh sb="0" eb="2">
      <t>アオキ</t>
    </rPh>
    <rPh sb="2" eb="3">
      <t>ウラ</t>
    </rPh>
    <phoneticPr fontId="4"/>
  </si>
  <si>
    <t>中通島　ダイビングショップ前</t>
    <rPh sb="0" eb="1">
      <t>アル</t>
    </rPh>
    <phoneticPr fontId="4"/>
  </si>
  <si>
    <t>紀伊半島（黒潮影響域）</t>
    <rPh sb="0" eb="2">
      <t>キイ</t>
    </rPh>
    <rPh sb="2" eb="4">
      <t>ハントウ</t>
    </rPh>
    <rPh sb="5" eb="7">
      <t>クロシオ</t>
    </rPh>
    <rPh sb="7" eb="9">
      <t>エイキョウ</t>
    </rPh>
    <rPh sb="9" eb="10">
      <t>イキ</t>
    </rPh>
    <phoneticPr fontId="5"/>
  </si>
  <si>
    <t>串本周辺</t>
    <rPh sb="0" eb="2">
      <t>クシモト</t>
    </rPh>
    <rPh sb="2" eb="4">
      <t>シュウヘン</t>
    </rPh>
    <phoneticPr fontId="5"/>
  </si>
  <si>
    <t>通夜島</t>
    <rPh sb="0" eb="3">
      <t>ツヤジマ</t>
    </rPh>
    <phoneticPr fontId="5"/>
  </si>
  <si>
    <t>住崎</t>
    <rPh sb="0" eb="2">
      <t>スミサキ</t>
    </rPh>
    <phoneticPr fontId="5"/>
  </si>
  <si>
    <t>砥崎</t>
    <rPh sb="0" eb="2">
      <t>トサキ</t>
    </rPh>
    <phoneticPr fontId="5"/>
  </si>
  <si>
    <t>高富湾奥</t>
    <rPh sb="0" eb="2">
      <t>タカトミ</t>
    </rPh>
    <rPh sb="2" eb="3">
      <t>ワン</t>
    </rPh>
    <rPh sb="3" eb="4">
      <t>オク</t>
    </rPh>
    <phoneticPr fontId="5"/>
  </si>
  <si>
    <t>1号地</t>
    <rPh sb="1" eb="3">
      <t>ゴウチ</t>
    </rPh>
    <phoneticPr fontId="5"/>
  </si>
  <si>
    <t>2号地</t>
    <rPh sb="1" eb="3">
      <t>ゴウチ</t>
    </rPh>
    <phoneticPr fontId="5"/>
  </si>
  <si>
    <t>3号地</t>
    <rPh sb="1" eb="3">
      <t>ゴウチ</t>
    </rPh>
    <phoneticPr fontId="5"/>
  </si>
  <si>
    <t>4号地</t>
    <rPh sb="1" eb="3">
      <t>ゴウチ</t>
    </rPh>
    <phoneticPr fontId="5"/>
  </si>
  <si>
    <t>展望塔前</t>
    <rPh sb="0" eb="3">
      <t>テンボウトウ</t>
    </rPh>
    <rPh sb="3" eb="4">
      <t>マエ</t>
    </rPh>
    <phoneticPr fontId="5"/>
  </si>
  <si>
    <t>有田湾奥</t>
    <rPh sb="0" eb="2">
      <t>アリタ</t>
    </rPh>
    <rPh sb="2" eb="3">
      <t>ワン</t>
    </rPh>
    <rPh sb="3" eb="4">
      <t>オク</t>
    </rPh>
    <phoneticPr fontId="5"/>
  </si>
  <si>
    <t>双島①</t>
    <rPh sb="0" eb="2">
      <t>ソウシマ</t>
    </rPh>
    <phoneticPr fontId="5"/>
  </si>
  <si>
    <t>双島②</t>
    <rPh sb="0" eb="2">
      <t>ソウシマ</t>
    </rPh>
    <phoneticPr fontId="5"/>
  </si>
  <si>
    <t>下浅地</t>
    <rPh sb="0" eb="1">
      <t>シモ</t>
    </rPh>
    <rPh sb="1" eb="3">
      <t>アサジ</t>
    </rPh>
    <phoneticPr fontId="5"/>
  </si>
  <si>
    <t>笹野島(二木島海中公園1号地区)</t>
  </si>
  <si>
    <t>望月島(二木島海中公園2号地区)</t>
  </si>
  <si>
    <t>紀伊大島
ゾウバナ</t>
    <rPh sb="0" eb="2">
      <t>キイ</t>
    </rPh>
    <rPh sb="2" eb="4">
      <t>オオシマ</t>
    </rPh>
    <phoneticPr fontId="4"/>
  </si>
  <si>
    <t>四国（黒潮影響域)</t>
    <rPh sb="0" eb="2">
      <t>シコク</t>
    </rPh>
    <rPh sb="3" eb="5">
      <t>クロシオ</t>
    </rPh>
    <rPh sb="5" eb="7">
      <t>エイキョウ</t>
    </rPh>
    <rPh sb="7" eb="8">
      <t>イキ</t>
    </rPh>
    <phoneticPr fontId="5"/>
  </si>
  <si>
    <t>四国南西岸(宇和海～足摺岬)</t>
    <rPh sb="0" eb="2">
      <t>シコク</t>
    </rPh>
    <rPh sb="2" eb="5">
      <t>ナンセイガン</t>
    </rPh>
    <rPh sb="6" eb="9">
      <t>ウワカイ</t>
    </rPh>
    <rPh sb="10" eb="13">
      <t>アシズリミサキ</t>
    </rPh>
    <phoneticPr fontId="5"/>
  </si>
  <si>
    <t>目﨑拓真</t>
    <rPh sb="0" eb="2">
      <t>メザキ</t>
    </rPh>
    <rPh sb="2" eb="4">
      <t>タクマ</t>
    </rPh>
    <phoneticPr fontId="4"/>
  </si>
  <si>
    <t>宇和海7号地・鹿島</t>
    <rPh sb="0" eb="3">
      <t>ウワカイ</t>
    </rPh>
    <rPh sb="4" eb="6">
      <t>ゴウチ</t>
    </rPh>
    <phoneticPr fontId="5"/>
  </si>
  <si>
    <t>網代</t>
    <rPh sb="0" eb="2">
      <t>アジロ</t>
    </rPh>
    <phoneticPr fontId="7"/>
  </si>
  <si>
    <t>枝状・卓状ミドリイシ混成型</t>
    <rPh sb="10" eb="12">
      <t>コンセイ</t>
    </rPh>
    <phoneticPr fontId="5"/>
  </si>
  <si>
    <t>沖ノ島・トリノクビ</t>
    <rPh sb="0" eb="1">
      <t>オキ</t>
    </rPh>
    <rPh sb="2" eb="3">
      <t>シマ</t>
    </rPh>
    <phoneticPr fontId="5"/>
  </si>
  <si>
    <t>沖ノ島・三ツ碆</t>
    <rPh sb="0" eb="1">
      <t>オキ</t>
    </rPh>
    <rPh sb="2" eb="3">
      <t>シマ</t>
    </rPh>
    <rPh sb="4" eb="5">
      <t>ミツ</t>
    </rPh>
    <rPh sb="6" eb="7">
      <t>ハエ</t>
    </rPh>
    <phoneticPr fontId="5"/>
  </si>
  <si>
    <t>尻貝海中公園</t>
    <rPh sb="2" eb="4">
      <t>カイチュウ</t>
    </rPh>
    <rPh sb="4" eb="6">
      <t>コウエン</t>
    </rPh>
    <phoneticPr fontId="5"/>
  </si>
  <si>
    <t>樫西1号地・西泊</t>
    <rPh sb="0" eb="2">
      <t>カシニシ</t>
    </rPh>
    <rPh sb="3" eb="5">
      <t>ゴウチ</t>
    </rPh>
    <phoneticPr fontId="5"/>
  </si>
  <si>
    <t>竜串1号地･爪白</t>
    <rPh sb="0" eb="2">
      <t>タツクシ</t>
    </rPh>
    <rPh sb="3" eb="5">
      <t>ゴウチ</t>
    </rPh>
    <phoneticPr fontId="5"/>
  </si>
  <si>
    <t>竜串2号地・竜串西</t>
    <rPh sb="0" eb="2">
      <t>タツクシ</t>
    </rPh>
    <rPh sb="3" eb="5">
      <t>ゴウチ</t>
    </rPh>
    <rPh sb="8" eb="9">
      <t>ニシ</t>
    </rPh>
    <phoneticPr fontId="5"/>
  </si>
  <si>
    <t>竜串2号地・竜串</t>
    <rPh sb="0" eb="2">
      <t>タツクシ</t>
    </rPh>
    <rPh sb="3" eb="5">
      <t>ゴウチ</t>
    </rPh>
    <phoneticPr fontId="5"/>
  </si>
  <si>
    <t>竜串3号地・大碆</t>
    <rPh sb="0" eb="2">
      <t>タツクシ</t>
    </rPh>
    <rPh sb="3" eb="5">
      <t>ゴウチ</t>
    </rPh>
    <phoneticPr fontId="5"/>
  </si>
  <si>
    <t>四国南東岸(協力地点）</t>
    <rPh sb="0" eb="2">
      <t>シコク</t>
    </rPh>
    <rPh sb="2" eb="4">
      <t>ナントウ</t>
    </rPh>
    <rPh sb="4" eb="5">
      <t>ガン</t>
    </rPh>
    <rPh sb="6" eb="8">
      <t>キョウリョク</t>
    </rPh>
    <rPh sb="8" eb="10">
      <t>チテン</t>
    </rPh>
    <phoneticPr fontId="5"/>
  </si>
  <si>
    <t>奈半利10号堤　内側</t>
    <rPh sb="0" eb="3">
      <t>ナハリ</t>
    </rPh>
    <rPh sb="5" eb="6">
      <t>ゴウ</t>
    </rPh>
    <rPh sb="6" eb="7">
      <t>ツツミ</t>
    </rPh>
    <rPh sb="8" eb="10">
      <t>ウチガワ</t>
    </rPh>
    <phoneticPr fontId="5"/>
  </si>
  <si>
    <t>奈半利7号堤　外側</t>
    <rPh sb="0" eb="3">
      <t>ナハリ</t>
    </rPh>
    <rPh sb="4" eb="5">
      <t>ゴウ</t>
    </rPh>
    <rPh sb="5" eb="6">
      <t>ツツミ</t>
    </rPh>
    <rPh sb="7" eb="9">
      <t>ソトガワ</t>
    </rPh>
    <phoneticPr fontId="5"/>
  </si>
  <si>
    <t>奈半利5号堤　内側</t>
    <rPh sb="0" eb="3">
      <t>ナハリ</t>
    </rPh>
    <rPh sb="4" eb="5">
      <t>ゴウ</t>
    </rPh>
    <rPh sb="5" eb="6">
      <t>ツツミ</t>
    </rPh>
    <rPh sb="7" eb="9">
      <t>ウチガワ</t>
    </rPh>
    <phoneticPr fontId="5"/>
  </si>
  <si>
    <t>田野2号堤　内側</t>
    <rPh sb="0" eb="2">
      <t>タノ</t>
    </rPh>
    <rPh sb="3" eb="5">
      <t>ゴウテイ</t>
    </rPh>
    <rPh sb="6" eb="8">
      <t>ウチガワ</t>
    </rPh>
    <phoneticPr fontId="5"/>
  </si>
  <si>
    <t>金目</t>
    <rPh sb="0" eb="2">
      <t>カナメ</t>
    </rPh>
    <phoneticPr fontId="5"/>
  </si>
  <si>
    <t>竹ヶ島1号地東側</t>
    <rPh sb="0" eb="3">
      <t>タケガシマ</t>
    </rPh>
    <rPh sb="4" eb="6">
      <t>ゴウチ</t>
    </rPh>
    <rPh sb="6" eb="8">
      <t>ヒガシガワ</t>
    </rPh>
    <phoneticPr fontId="5"/>
  </si>
  <si>
    <t>竹ヶ島1号地西側（ＷB）</t>
    <rPh sb="0" eb="3">
      <t>タケガシマ</t>
    </rPh>
    <rPh sb="4" eb="6">
      <t>ゴウチ</t>
    </rPh>
    <rPh sb="6" eb="8">
      <t>ニシガワ</t>
    </rPh>
    <phoneticPr fontId="5"/>
  </si>
  <si>
    <t>竹ヶ島2号地竹ヶ島</t>
    <rPh sb="0" eb="3">
      <t>タケガシマ</t>
    </rPh>
    <rPh sb="4" eb="6">
      <t>ゴウチ</t>
    </rPh>
    <rPh sb="6" eb="9">
      <t>タケガシマ</t>
    </rPh>
    <phoneticPr fontId="5"/>
  </si>
  <si>
    <t>竹ヶ島2号地二子島（ｂ）</t>
    <rPh sb="0" eb="3">
      <t>タケガシマ</t>
    </rPh>
    <rPh sb="4" eb="6">
      <t>ゴウチ</t>
    </rPh>
    <rPh sb="6" eb="9">
      <t>フタゴジマ</t>
    </rPh>
    <phoneticPr fontId="5"/>
  </si>
  <si>
    <t>四国東岸(協力地点）</t>
    <rPh sb="0" eb="2">
      <t>シコク</t>
    </rPh>
    <rPh sb="2" eb="3">
      <t>ヒガシ</t>
    </rPh>
    <rPh sb="3" eb="4">
      <t>ガン</t>
    </rPh>
    <rPh sb="5" eb="7">
      <t>キョウリョク</t>
    </rPh>
    <rPh sb="7" eb="9">
      <t>チテン</t>
    </rPh>
    <phoneticPr fontId="5"/>
  </si>
  <si>
    <t>牟岐大島・1号地</t>
    <rPh sb="0" eb="2">
      <t>ムギ</t>
    </rPh>
    <rPh sb="2" eb="4">
      <t>オオシマ</t>
    </rPh>
    <rPh sb="6" eb="8">
      <t>ゴウチ</t>
    </rPh>
    <phoneticPr fontId="5"/>
  </si>
  <si>
    <t>牟岐大島・2号地</t>
    <rPh sb="0" eb="2">
      <t>ムギ</t>
    </rPh>
    <rPh sb="2" eb="4">
      <t>オオシマ</t>
    </rPh>
    <rPh sb="6" eb="8">
      <t>ゴウチ</t>
    </rPh>
    <phoneticPr fontId="5"/>
  </si>
  <si>
    <t>牟岐大島・ビシャゴ</t>
    <rPh sb="0" eb="2">
      <t>ムギ</t>
    </rPh>
    <rPh sb="2" eb="4">
      <t>オオシマ</t>
    </rPh>
    <phoneticPr fontId="5"/>
  </si>
  <si>
    <t>牟岐大島・内湾</t>
    <rPh sb="0" eb="2">
      <t>ムギ</t>
    </rPh>
    <rPh sb="2" eb="4">
      <t>オオシマ</t>
    </rPh>
    <rPh sb="5" eb="6">
      <t>ナイ</t>
    </rPh>
    <rPh sb="6" eb="7">
      <t>ワン</t>
    </rPh>
    <phoneticPr fontId="5"/>
  </si>
  <si>
    <t>牟岐大島・チエバの下</t>
    <rPh sb="0" eb="2">
      <t>ムギ</t>
    </rPh>
    <rPh sb="2" eb="4">
      <t>オオシマ</t>
    </rPh>
    <rPh sb="9" eb="10">
      <t>シタ</t>
    </rPh>
    <phoneticPr fontId="5"/>
  </si>
  <si>
    <t>土佐湾内(協力地点）</t>
    <rPh sb="0" eb="3">
      <t>トサワン</t>
    </rPh>
    <rPh sb="3" eb="4">
      <t>ナイ</t>
    </rPh>
    <rPh sb="5" eb="7">
      <t>キョウリョク</t>
    </rPh>
    <rPh sb="7" eb="9">
      <t>チテン</t>
    </rPh>
    <phoneticPr fontId="5"/>
  </si>
  <si>
    <t>塩屋海岸</t>
    <rPh sb="0" eb="2">
      <t>シオヤ</t>
    </rPh>
    <rPh sb="2" eb="4">
      <t>カイガン</t>
    </rPh>
    <phoneticPr fontId="4"/>
  </si>
  <si>
    <t>四国東岸(協力地点）</t>
    <rPh sb="0" eb="2">
      <t>シコク</t>
    </rPh>
    <rPh sb="2" eb="4">
      <t>トウガン</t>
    </rPh>
    <rPh sb="5" eb="7">
      <t>キョウリョク</t>
    </rPh>
    <rPh sb="7" eb="9">
      <t>チテン</t>
    </rPh>
    <phoneticPr fontId="5"/>
  </si>
  <si>
    <t>九州南東部（黒潮影響域）</t>
    <rPh sb="0" eb="2">
      <t>キュウシュウ</t>
    </rPh>
    <rPh sb="2" eb="5">
      <t>ナントウブ</t>
    </rPh>
    <rPh sb="6" eb="8">
      <t>クロシオ</t>
    </rPh>
    <rPh sb="8" eb="10">
      <t>エイキョウ</t>
    </rPh>
    <rPh sb="10" eb="11">
      <t>イキ</t>
    </rPh>
    <phoneticPr fontId="5"/>
  </si>
  <si>
    <t>鹿児島県南部沿岸</t>
    <rPh sb="0" eb="4">
      <t>カゴシマケン</t>
    </rPh>
    <rPh sb="4" eb="6">
      <t>ナンブ</t>
    </rPh>
    <rPh sb="6" eb="8">
      <t>エンガン</t>
    </rPh>
    <phoneticPr fontId="5"/>
  </si>
  <si>
    <t>身代湾入口</t>
    <rPh sb="0" eb="2">
      <t>ミノシロ</t>
    </rPh>
    <rPh sb="2" eb="3">
      <t>ワン</t>
    </rPh>
    <rPh sb="3" eb="4">
      <t>イ</t>
    </rPh>
    <rPh sb="4" eb="5">
      <t>グチ</t>
    </rPh>
    <phoneticPr fontId="5"/>
  </si>
  <si>
    <t>出羽慎一</t>
    <rPh sb="0" eb="2">
      <t>デワ</t>
    </rPh>
    <rPh sb="2" eb="4">
      <t>シンイチ</t>
    </rPh>
    <phoneticPr fontId="4"/>
  </si>
  <si>
    <t>観音崎東</t>
    <rPh sb="0" eb="3">
      <t>カンノンザキ</t>
    </rPh>
    <rPh sb="3" eb="4">
      <t>ヒガシ</t>
    </rPh>
    <phoneticPr fontId="5"/>
  </si>
  <si>
    <t>沖小島（立神）</t>
    <rPh sb="0" eb="1">
      <t>オキ</t>
    </rPh>
    <rPh sb="1" eb="3">
      <t>コジマ</t>
    </rPh>
    <rPh sb="4" eb="5">
      <t>タ</t>
    </rPh>
    <rPh sb="5" eb="6">
      <t>カミ</t>
    </rPh>
    <phoneticPr fontId="5"/>
  </si>
  <si>
    <t>神瀬</t>
    <rPh sb="0" eb="1">
      <t>カミ</t>
    </rPh>
    <rPh sb="1" eb="2">
      <t>セ</t>
    </rPh>
    <phoneticPr fontId="5"/>
  </si>
  <si>
    <t>袴腰海中公園</t>
    <rPh sb="0" eb="1">
      <t>ハカマ</t>
    </rPh>
    <rPh sb="1" eb="2">
      <t>コシ</t>
    </rPh>
    <rPh sb="2" eb="4">
      <t>カイチュウ</t>
    </rPh>
    <rPh sb="4" eb="6">
      <t>コウエン</t>
    </rPh>
    <phoneticPr fontId="5"/>
  </si>
  <si>
    <t>佐多岬海中公園・岬側</t>
    <rPh sb="0" eb="3">
      <t>サタミサキ</t>
    </rPh>
    <rPh sb="3" eb="5">
      <t>カイチュウ</t>
    </rPh>
    <rPh sb="5" eb="7">
      <t>コウエン</t>
    </rPh>
    <rPh sb="8" eb="9">
      <t>ミサキ</t>
    </rPh>
    <rPh sb="9" eb="10">
      <t>ガワ</t>
    </rPh>
    <phoneticPr fontId="5"/>
  </si>
  <si>
    <t>佐多岬海中公園・ビロウ島</t>
    <rPh sb="0" eb="3">
      <t>サタミサキ</t>
    </rPh>
    <rPh sb="3" eb="5">
      <t>カイチュウ</t>
    </rPh>
    <rPh sb="5" eb="7">
      <t>コウエン</t>
    </rPh>
    <rPh sb="11" eb="12">
      <t>シマ</t>
    </rPh>
    <phoneticPr fontId="5"/>
  </si>
  <si>
    <t>白木</t>
    <rPh sb="0" eb="2">
      <t>シラキ</t>
    </rPh>
    <phoneticPr fontId="5"/>
  </si>
  <si>
    <t>赤水大龍 権現</t>
    <rPh sb="0" eb="1">
      <t>アカ</t>
    </rPh>
    <rPh sb="1" eb="2">
      <t>ミズ</t>
    </rPh>
    <rPh sb="2" eb="3">
      <t>ダイ</t>
    </rPh>
    <rPh sb="3" eb="4">
      <t>リュウ</t>
    </rPh>
    <rPh sb="5" eb="7">
      <t>ゴンゲン</t>
    </rPh>
    <phoneticPr fontId="5"/>
  </si>
  <si>
    <t>坊津・塩ケ浦</t>
    <rPh sb="0" eb="1">
      <t>ボウ</t>
    </rPh>
    <rPh sb="1" eb="2">
      <t>ツ</t>
    </rPh>
    <rPh sb="3" eb="4">
      <t>シオ</t>
    </rPh>
    <rPh sb="5" eb="6">
      <t>ウラ</t>
    </rPh>
    <phoneticPr fontId="5"/>
  </si>
  <si>
    <t>坊津・馬込浜その1</t>
    <rPh sb="0" eb="1">
      <t>ボウ</t>
    </rPh>
    <rPh sb="1" eb="2">
      <t>ツ</t>
    </rPh>
    <rPh sb="3" eb="5">
      <t>マゴメ</t>
    </rPh>
    <rPh sb="5" eb="6">
      <t>ハマ</t>
    </rPh>
    <phoneticPr fontId="5"/>
  </si>
  <si>
    <t>坊津・馬込浜その2</t>
    <rPh sb="0" eb="1">
      <t>ボウ</t>
    </rPh>
    <rPh sb="1" eb="2">
      <t>ツ</t>
    </rPh>
    <rPh sb="3" eb="5">
      <t>マゴメ</t>
    </rPh>
    <rPh sb="5" eb="6">
      <t>ハマ</t>
    </rPh>
    <phoneticPr fontId="5"/>
  </si>
  <si>
    <t>坊津・平崎集会場下</t>
    <rPh sb="0" eb="1">
      <t>ボウ</t>
    </rPh>
    <rPh sb="1" eb="2">
      <t>ツ</t>
    </rPh>
    <rPh sb="3" eb="5">
      <t>ヒラサキ</t>
    </rPh>
    <rPh sb="5" eb="8">
      <t>シュウカイジョウ</t>
    </rPh>
    <rPh sb="8" eb="9">
      <t>シタ</t>
    </rPh>
    <phoneticPr fontId="5"/>
  </si>
  <si>
    <t>坊津・田平</t>
    <rPh sb="0" eb="1">
      <t>ボウ</t>
    </rPh>
    <rPh sb="1" eb="2">
      <t>ツ</t>
    </rPh>
    <rPh sb="3" eb="5">
      <t>タヒラ</t>
    </rPh>
    <phoneticPr fontId="5"/>
  </si>
  <si>
    <t>笠沙町・大当</t>
    <rPh sb="0" eb="1">
      <t>カサ</t>
    </rPh>
    <rPh sb="1" eb="2">
      <t>サ</t>
    </rPh>
    <rPh sb="2" eb="3">
      <t>マチ</t>
    </rPh>
    <rPh sb="4" eb="5">
      <t>ダイ</t>
    </rPh>
    <rPh sb="5" eb="6">
      <t>ア</t>
    </rPh>
    <phoneticPr fontId="5"/>
  </si>
  <si>
    <t>阿久根・桑島</t>
    <rPh sb="0" eb="3">
      <t>アクネ</t>
    </rPh>
    <rPh sb="4" eb="6">
      <t>クワジマ</t>
    </rPh>
    <phoneticPr fontId="5"/>
  </si>
  <si>
    <t>長島・多々羅島</t>
    <rPh sb="0" eb="2">
      <t>ナガシマ</t>
    </rPh>
    <rPh sb="3" eb="5">
      <t>タタ</t>
    </rPh>
    <rPh sb="5" eb="6">
      <t>ラ</t>
    </rPh>
    <rPh sb="6" eb="7">
      <t>ジマ</t>
    </rPh>
    <phoneticPr fontId="5"/>
  </si>
  <si>
    <t>東町・加世堂湾</t>
    <rPh sb="0" eb="2">
      <t>ヒガシマチ</t>
    </rPh>
    <rPh sb="3" eb="4">
      <t>カ</t>
    </rPh>
    <rPh sb="4" eb="5">
      <t>セ</t>
    </rPh>
    <rPh sb="5" eb="6">
      <t>ドウ</t>
    </rPh>
    <rPh sb="6" eb="7">
      <t>ワン</t>
    </rPh>
    <phoneticPr fontId="5"/>
  </si>
  <si>
    <t>九州西部（対馬暖流影響域）</t>
    <rPh sb="0" eb="2">
      <t>キュウシュウ</t>
    </rPh>
    <rPh sb="2" eb="4">
      <t>セイブ</t>
    </rPh>
    <rPh sb="5" eb="7">
      <t>ツシマ</t>
    </rPh>
    <rPh sb="7" eb="9">
      <t>ダンリュウ</t>
    </rPh>
    <rPh sb="9" eb="11">
      <t>エイキョウ</t>
    </rPh>
    <rPh sb="11" eb="12">
      <t>イキ</t>
    </rPh>
    <phoneticPr fontId="5"/>
  </si>
  <si>
    <t>天草周辺</t>
    <rPh sb="0" eb="2">
      <t>アマクサ</t>
    </rPh>
    <rPh sb="2" eb="4">
      <t>シュウヘン</t>
    </rPh>
    <phoneticPr fontId="4"/>
  </si>
  <si>
    <t>富岡海中公園１号、つつま瀬</t>
    <rPh sb="0" eb="6">
      <t>トミオカカイチュウコウエン</t>
    </rPh>
    <rPh sb="7" eb="8">
      <t>ゴウ</t>
    </rPh>
    <rPh sb="12" eb="13">
      <t>セ</t>
    </rPh>
    <phoneticPr fontId="5"/>
  </si>
  <si>
    <t>新垣</t>
    <rPh sb="0" eb="2">
      <t>アラカキ</t>
    </rPh>
    <phoneticPr fontId="4"/>
  </si>
  <si>
    <t>富岡海中公園２号、白岩崎</t>
    <rPh sb="0" eb="6">
      <t>トミオカカイチュウコウエン</t>
    </rPh>
    <rPh sb="7" eb="8">
      <t>ゴウ</t>
    </rPh>
    <rPh sb="9" eb="12">
      <t>シライワザキ</t>
    </rPh>
    <phoneticPr fontId="5"/>
  </si>
  <si>
    <t>天草海中公園、大ガ瀬</t>
    <rPh sb="0" eb="6">
      <t>アマクサカイチュウコウエン</t>
    </rPh>
    <rPh sb="7" eb="8">
      <t>オオ</t>
    </rPh>
    <rPh sb="9" eb="10">
      <t>セ</t>
    </rPh>
    <phoneticPr fontId="5"/>
  </si>
  <si>
    <t>天草海中公園、大ガ瀬対岸</t>
    <rPh sb="0" eb="6">
      <t>アマクサカイチュウコウエン</t>
    </rPh>
    <rPh sb="7" eb="8">
      <t>オオ</t>
    </rPh>
    <rPh sb="9" eb="10">
      <t>セ</t>
    </rPh>
    <rPh sb="10" eb="12">
      <t>タイガン</t>
    </rPh>
    <phoneticPr fontId="5"/>
  </si>
  <si>
    <t>天草海中公園、桑島</t>
    <rPh sb="0" eb="2">
      <t>アマクサ</t>
    </rPh>
    <rPh sb="2" eb="4">
      <t>カイチュウ</t>
    </rPh>
    <rPh sb="4" eb="6">
      <t>コウエン</t>
    </rPh>
    <rPh sb="7" eb="9">
      <t>クワシマ</t>
    </rPh>
    <phoneticPr fontId="5"/>
  </si>
  <si>
    <t>茂串（白浜）</t>
    <rPh sb="0" eb="1">
      <t>シゲル</t>
    </rPh>
    <rPh sb="1" eb="2">
      <t>クシ</t>
    </rPh>
    <rPh sb="3" eb="5">
      <t>シラハマ</t>
    </rPh>
    <phoneticPr fontId="5"/>
  </si>
  <si>
    <t>大島北</t>
    <rPh sb="0" eb="2">
      <t>オオシマ</t>
    </rPh>
    <rPh sb="2" eb="3">
      <t>キタ</t>
    </rPh>
    <phoneticPr fontId="5"/>
  </si>
  <si>
    <t>牛深海中公園１号、鶴崎</t>
    <rPh sb="0" eb="2">
      <t>ウシブカ</t>
    </rPh>
    <rPh sb="2" eb="6">
      <t>カイチュウコウエン</t>
    </rPh>
    <rPh sb="7" eb="8">
      <t>ゴウ</t>
    </rPh>
    <rPh sb="9" eb="11">
      <t>ツルサキ</t>
    </rPh>
    <phoneticPr fontId="5"/>
  </si>
  <si>
    <t>大島港西</t>
    <rPh sb="0" eb="3">
      <t>オオシマコウ</t>
    </rPh>
    <rPh sb="3" eb="4">
      <t>ニシ</t>
    </rPh>
    <phoneticPr fontId="5"/>
  </si>
  <si>
    <t>片島</t>
    <rPh sb="0" eb="2">
      <t>カタシマ</t>
    </rPh>
    <phoneticPr fontId="5"/>
  </si>
  <si>
    <t>春這</t>
    <rPh sb="0" eb="1">
      <t>ハル</t>
    </rPh>
    <rPh sb="1" eb="2">
      <t>ハ</t>
    </rPh>
    <phoneticPr fontId="5"/>
  </si>
  <si>
    <t>平瀬</t>
    <rPh sb="0" eb="2">
      <t>ヒラセ</t>
    </rPh>
    <phoneticPr fontId="5"/>
  </si>
  <si>
    <t>牛深海中公園３号、築ノ島</t>
    <rPh sb="0" eb="6">
      <t>ウシブカカイチュウコウエン</t>
    </rPh>
    <rPh sb="7" eb="8">
      <t>ゴウ</t>
    </rPh>
    <rPh sb="9" eb="10">
      <t>ケンチク</t>
    </rPh>
    <rPh sb="11" eb="12">
      <t>シマ</t>
    </rPh>
    <phoneticPr fontId="5"/>
  </si>
  <si>
    <t>牛深海中公園４号、法ヶ島南側</t>
    <rPh sb="0" eb="6">
      <t>ウシブカカイチュウコウエン</t>
    </rPh>
    <rPh sb="7" eb="8">
      <t>ゴウ</t>
    </rPh>
    <rPh sb="9" eb="10">
      <t>ホウ</t>
    </rPh>
    <rPh sb="11" eb="12">
      <t>シマ</t>
    </rPh>
    <rPh sb="12" eb="13">
      <t>ミナミ</t>
    </rPh>
    <rPh sb="13" eb="14">
      <t>ガワ</t>
    </rPh>
    <phoneticPr fontId="5"/>
  </si>
  <si>
    <t>片島南</t>
    <rPh sb="0" eb="2">
      <t>カタシマ</t>
    </rPh>
    <rPh sb="2" eb="3">
      <t>ミナミ</t>
    </rPh>
    <phoneticPr fontId="5"/>
  </si>
  <si>
    <t>砂月</t>
    <rPh sb="0" eb="1">
      <t>スナ</t>
    </rPh>
    <rPh sb="1" eb="2">
      <t>ツキ</t>
    </rPh>
    <phoneticPr fontId="5"/>
  </si>
  <si>
    <t>R4</t>
    <phoneticPr fontId="3"/>
  </si>
  <si>
    <t>多種混成型</t>
    <phoneticPr fontId="4"/>
  </si>
  <si>
    <t>&lt;1</t>
    <phoneticPr fontId="3"/>
  </si>
  <si>
    <t>2.7 (4)</t>
  </si>
  <si>
    <t>3.5 (5)</t>
  </si>
  <si>
    <t>2.6 (3)</t>
  </si>
  <si>
    <t>1.4 (2)</t>
  </si>
  <si>
    <t>4 (6)</t>
  </si>
  <si>
    <t>2.6(5)</t>
  </si>
  <si>
    <t>3.3(6)</t>
  </si>
  <si>
    <t>1.3(3)</t>
  </si>
  <si>
    <t>枝状ミドリイシ優占型</t>
    <rPh sb="0" eb="2">
      <t>エダジョウ</t>
    </rPh>
    <rPh sb="7" eb="9">
      <t>ユウセン</t>
    </rPh>
    <rPh sb="9" eb="10">
      <t>ガタ</t>
    </rPh>
    <phoneticPr fontId="3"/>
  </si>
  <si>
    <t>特定類優占型（塊状ハマサンゴ）</t>
    <rPh sb="7" eb="8">
      <t>カタマリ</t>
    </rPh>
    <rPh sb="8" eb="9">
      <t>ジョウ</t>
    </rPh>
    <phoneticPr fontId="3"/>
  </si>
  <si>
    <t>24.5(26)</t>
  </si>
  <si>
    <t>11(16)</t>
  </si>
  <si>
    <t>43.5(65)</t>
  </si>
  <si>
    <t>11.5(20)</t>
  </si>
  <si>
    <t>5(7)</t>
  </si>
  <si>
    <t>3(6)</t>
  </si>
  <si>
    <t>4(6)</t>
  </si>
  <si>
    <t>20(33)</t>
  </si>
  <si>
    <t>31(40)</t>
  </si>
  <si>
    <t>11(17)</t>
  </si>
  <si>
    <t>29(50)</t>
  </si>
  <si>
    <t>30(44)</t>
  </si>
  <si>
    <t>12.5(19)</t>
  </si>
  <si>
    <t>43.5(69)</t>
  </si>
  <si>
    <t>32(36)</t>
  </si>
  <si>
    <t>69(90)</t>
  </si>
  <si>
    <t>76.5(100)</t>
  </si>
  <si>
    <t>47(70)</t>
  </si>
  <si>
    <t>6(12)</t>
  </si>
  <si>
    <t>25(42)</t>
  </si>
  <si>
    <t>7.5(13)</t>
  </si>
  <si>
    <t>45.5(77)</t>
  </si>
  <si>
    <t>37(54)</t>
  </si>
  <si>
    <t>10.5(11)</t>
  </si>
  <si>
    <t>30.5(40)</t>
  </si>
  <si>
    <t>37.5(57)</t>
  </si>
  <si>
    <t>26.5(36)</t>
  </si>
  <si>
    <t>24.5(35)</t>
  </si>
  <si>
    <t>30.5(43)</t>
  </si>
  <si>
    <t>3.5(7)</t>
  </si>
  <si>
    <t>10(20)</t>
  </si>
  <si>
    <t>29(40)</t>
  </si>
  <si>
    <t>7.5(15)</t>
  </si>
  <si>
    <t>14(20)</t>
  </si>
  <si>
    <t>14.5(21)</t>
  </si>
  <si>
    <t>4(5)</t>
  </si>
  <si>
    <t>13(24)</t>
  </si>
  <si>
    <t>4.5(8)</t>
  </si>
  <si>
    <t>6.5(12)</t>
  </si>
  <si>
    <t>6(11)</t>
  </si>
  <si>
    <t>6.5(9)</t>
  </si>
  <si>
    <t>5.5(8)</t>
  </si>
  <si>
    <t>15.5(16)</t>
  </si>
  <si>
    <t>11.5(13)</t>
  </si>
  <si>
    <t>15(17)</t>
  </si>
  <si>
    <t>7(14)</t>
  </si>
  <si>
    <t>22.5(34)</t>
  </si>
  <si>
    <t>7(12)</t>
  </si>
  <si>
    <t>7(7)</t>
  </si>
  <si>
    <t>16.5(21)</t>
  </si>
  <si>
    <t>9.5(18)</t>
  </si>
  <si>
    <t>17(32)</t>
  </si>
  <si>
    <t>12(14)</t>
  </si>
  <si>
    <t>14(22)</t>
  </si>
  <si>
    <t>15(26)</t>
  </si>
  <si>
    <t>有</t>
    <rPh sb="0" eb="1">
      <t>ア</t>
    </rPh>
    <phoneticPr fontId="1"/>
  </si>
  <si>
    <t>212(n=5)</t>
  </si>
  <si>
    <t>156(n=5)</t>
  </si>
  <si>
    <t>244(n=5)</t>
  </si>
  <si>
    <t>120(n=3)</t>
  </si>
  <si>
    <t>120(n=5)</t>
  </si>
  <si>
    <t>2023/10/24, 12/14</t>
    <phoneticPr fontId="3"/>
  </si>
  <si>
    <t>松本有記雄</t>
    <rPh sb="0" eb="2">
      <t>マツモト</t>
    </rPh>
    <rPh sb="2" eb="3">
      <t>タモツ</t>
    </rPh>
    <rPh sb="3" eb="4">
      <t>キ</t>
    </rPh>
    <rPh sb="4" eb="5">
      <t>オス</t>
    </rPh>
    <phoneticPr fontId="4"/>
  </si>
  <si>
    <t>森・大西・松永</t>
    <rPh sb="0" eb="1">
      <t>モリ</t>
    </rPh>
    <rPh sb="2" eb="4">
      <t>オオニシ</t>
    </rPh>
    <rPh sb="5" eb="7">
      <t>マツナガ</t>
    </rPh>
    <phoneticPr fontId="2"/>
  </si>
  <si>
    <t>森・佐久間・松永</t>
    <rPh sb="0" eb="1">
      <t>モリ</t>
    </rPh>
    <rPh sb="2" eb="5">
      <t>サクマ</t>
    </rPh>
    <rPh sb="6" eb="8">
      <t>マツナガ</t>
    </rPh>
    <phoneticPr fontId="2"/>
  </si>
  <si>
    <t>森</t>
    <rPh sb="0" eb="1">
      <t>モリ</t>
    </rPh>
    <phoneticPr fontId="2"/>
  </si>
  <si>
    <t>森・松永</t>
    <rPh sb="0" eb="1">
      <t>モリ</t>
    </rPh>
    <rPh sb="2" eb="4">
      <t>マツナガ</t>
    </rPh>
    <phoneticPr fontId="2"/>
  </si>
  <si>
    <t>吉田・大西・松永</t>
    <rPh sb="0" eb="2">
      <t>ヨシダ</t>
    </rPh>
    <rPh sb="3" eb="5">
      <t>オオニシ</t>
    </rPh>
    <rPh sb="6" eb="8">
      <t>マツナガ</t>
    </rPh>
    <phoneticPr fontId="2"/>
  </si>
  <si>
    <t>有</t>
    <phoneticPr fontId="3"/>
  </si>
  <si>
    <t>卓状ミドリイシ優占型</t>
    <phoneticPr fontId="3"/>
  </si>
  <si>
    <t>Skin</t>
  </si>
  <si>
    <t>SCUBA</t>
  </si>
  <si>
    <t>多種混成型</t>
    <rPh sb="0" eb="2">
      <t>タシュ</t>
    </rPh>
    <rPh sb="2" eb="4">
      <t>コンセイ</t>
    </rPh>
    <rPh sb="4" eb="5">
      <t>ガタ</t>
    </rPh>
    <phoneticPr fontId="2"/>
  </si>
  <si>
    <t>多種混成型</t>
    <rPh sb="0" eb="2">
      <t>タシュ</t>
    </rPh>
    <rPh sb="2" eb="4">
      <t>コンセイ</t>
    </rPh>
    <rPh sb="4" eb="5">
      <t>カタ</t>
    </rPh>
    <phoneticPr fontId="1"/>
  </si>
  <si>
    <t>枝状ミドリイシ優占型</t>
    <rPh sb="7" eb="9">
      <t>ユウセン</t>
    </rPh>
    <rPh sb="9" eb="10">
      <t>ガタ</t>
    </rPh>
    <phoneticPr fontId="14"/>
  </si>
  <si>
    <t>枝状ミドリイシ優占型</t>
    <rPh sb="0" eb="1">
      <t>エダ</t>
    </rPh>
    <rPh sb="1" eb="2">
      <t>ジョウ</t>
    </rPh>
    <rPh sb="7" eb="9">
      <t>ユウセン</t>
    </rPh>
    <rPh sb="9" eb="10">
      <t>カタ</t>
    </rPh>
    <phoneticPr fontId="2"/>
  </si>
  <si>
    <t>特定類優占型
（オオハナガササンゴ）</t>
    <phoneticPr fontId="3"/>
  </si>
  <si>
    <t>特定類優占型
（オオナガレハナサンゴ）</t>
    <phoneticPr fontId="3"/>
  </si>
  <si>
    <t>無</t>
    <rPh sb="0" eb="1">
      <t>ナシ</t>
    </rPh>
    <phoneticPr fontId="3"/>
  </si>
  <si>
    <t>有</t>
    <rPh sb="0" eb="1">
      <t>アリ</t>
    </rPh>
    <phoneticPr fontId="3"/>
  </si>
  <si>
    <t>R5
計算用</t>
    <rPh sb="3" eb="5">
      <t>ケイサン</t>
    </rPh>
    <rPh sb="5" eb="6">
      <t>ヨウ</t>
    </rPh>
    <phoneticPr fontId="3"/>
  </si>
  <si>
    <t>荒崎西**</t>
    <rPh sb="0" eb="2">
      <t>アラサキ</t>
    </rPh>
    <rPh sb="2" eb="3">
      <t>ニシ</t>
    </rPh>
    <phoneticPr fontId="3"/>
  </si>
  <si>
    <t>大度海岸礁池***</t>
    <rPh sb="0" eb="1">
      <t>オオド</t>
    </rPh>
    <rPh sb="1" eb="2">
      <t>ド</t>
    </rPh>
    <rPh sb="2" eb="4">
      <t>カイガン</t>
    </rPh>
    <rPh sb="4" eb="6">
      <t>ショウチ</t>
    </rPh>
    <phoneticPr fontId="3"/>
  </si>
  <si>
    <t>大度海岸礁斜面***</t>
    <rPh sb="0" eb="1">
      <t>オオド</t>
    </rPh>
    <rPh sb="1" eb="2">
      <t>ド</t>
    </rPh>
    <rPh sb="2" eb="4">
      <t>カイガン</t>
    </rPh>
    <rPh sb="4" eb="7">
      <t>ショウシャメン</t>
    </rPh>
    <phoneticPr fontId="3"/>
  </si>
  <si>
    <t>摩文仁南礁斜面***</t>
    <rPh sb="0" eb="3">
      <t>マブニ</t>
    </rPh>
    <rPh sb="3" eb="4">
      <t>ミナミ</t>
    </rPh>
    <rPh sb="4" eb="5">
      <t>ショウ</t>
    </rPh>
    <rPh sb="5" eb="7">
      <t>シャメン</t>
    </rPh>
    <phoneticPr fontId="3"/>
  </si>
  <si>
    <t>奥武島南礁池***</t>
    <rPh sb="0" eb="1">
      <t>オク</t>
    </rPh>
    <rPh sb="1" eb="2">
      <t>タケ</t>
    </rPh>
    <rPh sb="2" eb="3">
      <t>シマ</t>
    </rPh>
    <rPh sb="3" eb="4">
      <t>ミナミ</t>
    </rPh>
    <rPh sb="4" eb="5">
      <t>ショウ</t>
    </rPh>
    <rPh sb="5" eb="6">
      <t>イケ</t>
    </rPh>
    <phoneticPr fontId="3"/>
  </si>
  <si>
    <t>奥武島南礁斜面***</t>
    <rPh sb="0" eb="1">
      <t>オク</t>
    </rPh>
    <rPh sb="1" eb="2">
      <t>タケ</t>
    </rPh>
    <rPh sb="2" eb="3">
      <t>シマ</t>
    </rPh>
    <rPh sb="3" eb="4">
      <t>ミナミ</t>
    </rPh>
    <rPh sb="4" eb="5">
      <t>ショウ</t>
    </rPh>
    <rPh sb="5" eb="7">
      <t>シャメン</t>
    </rPh>
    <phoneticPr fontId="3"/>
  </si>
  <si>
    <t>クマカ島南***</t>
    <rPh sb="3" eb="4">
      <t>ジマ</t>
    </rPh>
    <rPh sb="4" eb="5">
      <t>ミナミ</t>
    </rPh>
    <phoneticPr fontId="3"/>
  </si>
  <si>
    <t>久高島エラブ岩東***</t>
    <rPh sb="0" eb="1">
      <t>ク</t>
    </rPh>
    <rPh sb="1" eb="2">
      <t>ダカ</t>
    </rPh>
    <rPh sb="2" eb="3">
      <t>ジマ</t>
    </rPh>
    <rPh sb="6" eb="7">
      <t>イワ</t>
    </rPh>
    <rPh sb="7" eb="8">
      <t>ヒガシ</t>
    </rPh>
    <phoneticPr fontId="3"/>
  </si>
  <si>
    <t>ウガン岩南***</t>
    <rPh sb="3" eb="4">
      <t>イワ</t>
    </rPh>
    <rPh sb="4" eb="5">
      <t>ミナミ</t>
    </rPh>
    <phoneticPr fontId="3"/>
  </si>
  <si>
    <t>津堅島アギハマ東***</t>
    <rPh sb="0" eb="1">
      <t>ツ</t>
    </rPh>
    <rPh sb="1" eb="2">
      <t>ケン</t>
    </rPh>
    <rPh sb="2" eb="3">
      <t>ジマ</t>
    </rPh>
    <rPh sb="7" eb="8">
      <t>ヒガシ</t>
    </rPh>
    <phoneticPr fontId="3"/>
  </si>
  <si>
    <t>南浮原南東***</t>
    <rPh sb="0" eb="1">
      <t>ミナミ</t>
    </rPh>
    <rPh sb="1" eb="2">
      <t>ウキ</t>
    </rPh>
    <rPh sb="2" eb="3">
      <t>ハラ</t>
    </rPh>
    <rPh sb="3" eb="5">
      <t>ナントウ</t>
    </rPh>
    <phoneticPr fontId="3"/>
  </si>
  <si>
    <t>浮原北東ヨコビシ</t>
    <rPh sb="0" eb="1">
      <t>ウキ</t>
    </rPh>
    <rPh sb="1" eb="2">
      <t>ハラ</t>
    </rPh>
    <rPh sb="2" eb="4">
      <t>ホクトウ</t>
    </rPh>
    <phoneticPr fontId="3"/>
  </si>
  <si>
    <t>伊計島東礁池***</t>
    <rPh sb="0" eb="2">
      <t>イケイ</t>
    </rPh>
    <rPh sb="2" eb="3">
      <t>ジマ</t>
    </rPh>
    <rPh sb="3" eb="4">
      <t>ヒガシ</t>
    </rPh>
    <rPh sb="4" eb="6">
      <t>ショウチ</t>
    </rPh>
    <phoneticPr fontId="3"/>
  </si>
  <si>
    <t>伊計島東礁斜面***</t>
    <rPh sb="0" eb="2">
      <t>イケイ</t>
    </rPh>
    <rPh sb="2" eb="3">
      <t>ジマ</t>
    </rPh>
    <rPh sb="3" eb="4">
      <t>ヒガシ</t>
    </rPh>
    <rPh sb="4" eb="7">
      <t>ショウシャメン</t>
    </rPh>
    <phoneticPr fontId="3"/>
  </si>
  <si>
    <t>慶佐次ウッパマ東礁池***</t>
    <phoneticPr fontId="3"/>
  </si>
  <si>
    <t>揚水発電所南東***</t>
    <rPh sb="0" eb="1">
      <t>アゲ</t>
    </rPh>
    <phoneticPr fontId="3"/>
  </si>
  <si>
    <t>安波南***</t>
    <phoneticPr fontId="3"/>
  </si>
  <si>
    <t>カツセノ崎南***</t>
    <phoneticPr fontId="3"/>
  </si>
  <si>
    <t>イシキナ崎南***</t>
    <phoneticPr fontId="3"/>
  </si>
  <si>
    <t>安田ヶ島南***</t>
    <phoneticPr fontId="3"/>
  </si>
  <si>
    <t>国頭村赤崎北礁池***</t>
    <rPh sb="0" eb="3">
      <t>クニガミソン</t>
    </rPh>
    <rPh sb="3" eb="5">
      <t>アカサキ</t>
    </rPh>
    <rPh sb="5" eb="6">
      <t>キタ</t>
    </rPh>
    <rPh sb="6" eb="7">
      <t>ショウ</t>
    </rPh>
    <rPh sb="7" eb="8">
      <t>イケ</t>
    </rPh>
    <phoneticPr fontId="3"/>
  </si>
  <si>
    <t>国頭村赤崎北礁斜面***</t>
    <rPh sb="0" eb="3">
      <t>クニガミソン</t>
    </rPh>
    <rPh sb="3" eb="5">
      <t>アカサキ</t>
    </rPh>
    <rPh sb="5" eb="6">
      <t>キタ</t>
    </rPh>
    <rPh sb="6" eb="7">
      <t>ショウ</t>
    </rPh>
    <rPh sb="7" eb="9">
      <t>シャメン</t>
    </rPh>
    <phoneticPr fontId="3"/>
  </si>
  <si>
    <t>奥漁港北***</t>
    <rPh sb="0" eb="1">
      <t>オク</t>
    </rPh>
    <rPh sb="1" eb="3">
      <t>ギョコウ</t>
    </rPh>
    <rPh sb="3" eb="4">
      <t>キタ</t>
    </rPh>
    <phoneticPr fontId="3"/>
  </si>
  <si>
    <t>宇佐浜東***</t>
    <phoneticPr fontId="3"/>
  </si>
  <si>
    <t>安田ヶ島北***</t>
    <rPh sb="4" eb="5">
      <t>キタ</t>
    </rPh>
    <phoneticPr fontId="13"/>
  </si>
  <si>
    <t>慶佐次ウッパマ東礁斜面***</t>
    <rPh sb="8" eb="9">
      <t>ショウ</t>
    </rPh>
    <rPh sb="9" eb="11">
      <t>シャメン</t>
    </rPh>
    <phoneticPr fontId="3"/>
  </si>
  <si>
    <t>大浦ﾁﾘﾋﾞｼ***</t>
    <rPh sb="0" eb="2">
      <t>オオウラ</t>
    </rPh>
    <phoneticPr fontId="13"/>
  </si>
  <si>
    <t>浮原北東ヨコビシ東***</t>
    <rPh sb="0" eb="1">
      <t>ウキ</t>
    </rPh>
    <rPh sb="1" eb="2">
      <t>ハラ</t>
    </rPh>
    <rPh sb="2" eb="4">
      <t>ホクトウ</t>
    </rPh>
    <rPh sb="8" eb="9">
      <t>ヒガシ</t>
    </rPh>
    <phoneticPr fontId="3"/>
  </si>
  <si>
    <t>中城湾チグニガ***</t>
    <phoneticPr fontId="3"/>
  </si>
  <si>
    <t>南浮原南</t>
    <rPh sb="0" eb="1">
      <t>ミナミ</t>
    </rPh>
    <rPh sb="1" eb="2">
      <t>ウキ</t>
    </rPh>
    <rPh sb="2" eb="3">
      <t>ハラ</t>
    </rPh>
    <rPh sb="3" eb="4">
      <t>ミナミ</t>
    </rPh>
    <phoneticPr fontId="5"/>
  </si>
  <si>
    <t>慶佐次北</t>
    <rPh sb="0" eb="3">
      <t>ケサジ</t>
    </rPh>
    <rPh sb="3" eb="4">
      <t>キタ</t>
    </rPh>
    <phoneticPr fontId="5"/>
  </si>
  <si>
    <t>那覇空港北儀間の瀬礁池***</t>
    <rPh sb="0" eb="2">
      <t>ナハ</t>
    </rPh>
    <rPh sb="2" eb="4">
      <t>クウコウ</t>
    </rPh>
    <rPh sb="4" eb="5">
      <t>キタ</t>
    </rPh>
    <rPh sb="5" eb="7">
      <t>ギマ</t>
    </rPh>
    <rPh sb="8" eb="9">
      <t>セ</t>
    </rPh>
    <rPh sb="9" eb="11">
      <t>ショウチ</t>
    </rPh>
    <phoneticPr fontId="3"/>
  </si>
  <si>
    <t>那覇空港北儀間の瀬北礁斜面***</t>
    <rPh sb="0" eb="2">
      <t>ナハ</t>
    </rPh>
    <rPh sb="2" eb="4">
      <t>クウコウ</t>
    </rPh>
    <rPh sb="4" eb="5">
      <t>キタ</t>
    </rPh>
    <rPh sb="5" eb="7">
      <t>ギマ</t>
    </rPh>
    <rPh sb="8" eb="9">
      <t>セ</t>
    </rPh>
    <rPh sb="9" eb="10">
      <t>キタ</t>
    </rPh>
    <rPh sb="10" eb="13">
      <t>ショウシャメン</t>
    </rPh>
    <phoneticPr fontId="3"/>
  </si>
  <si>
    <t>チービシ神山南***</t>
    <rPh sb="4" eb="6">
      <t>カミヤマ</t>
    </rPh>
    <rPh sb="6" eb="7">
      <t>ミナミ</t>
    </rPh>
    <phoneticPr fontId="3"/>
  </si>
  <si>
    <t>チービシナガンヌ南***</t>
    <rPh sb="8" eb="9">
      <t>ミナミ</t>
    </rPh>
    <phoneticPr fontId="3"/>
  </si>
  <si>
    <t>チービシナガンヌ北***</t>
    <rPh sb="8" eb="9">
      <t>キタ</t>
    </rPh>
    <phoneticPr fontId="3"/>
  </si>
  <si>
    <t>空寿崎西座礁船***</t>
    <rPh sb="0" eb="1">
      <t>ソラ</t>
    </rPh>
    <rPh sb="1" eb="3">
      <t>スザキ</t>
    </rPh>
    <rPh sb="3" eb="4">
      <t>ニシ</t>
    </rPh>
    <rPh sb="4" eb="6">
      <t>ザショウ</t>
    </rPh>
    <rPh sb="6" eb="7">
      <t>セン</t>
    </rPh>
    <phoneticPr fontId="3"/>
  </si>
  <si>
    <t>伊佐西***</t>
    <rPh sb="0" eb="2">
      <t>イサ</t>
    </rPh>
    <rPh sb="2" eb="3">
      <t>ニシ</t>
    </rPh>
    <phoneticPr fontId="3"/>
  </si>
  <si>
    <t>北谷町宮城海岸***</t>
    <rPh sb="0" eb="1">
      <t>キタ</t>
    </rPh>
    <rPh sb="1" eb="3">
      <t>タニマチ</t>
    </rPh>
    <rPh sb="3" eb="5">
      <t>ミヤギ</t>
    </rPh>
    <rPh sb="5" eb="7">
      <t>カイガン</t>
    </rPh>
    <phoneticPr fontId="3"/>
  </si>
  <si>
    <t>渡具知西***</t>
    <rPh sb="0" eb="1">
      <t>ワタ</t>
    </rPh>
    <rPh sb="1" eb="2">
      <t>グ</t>
    </rPh>
    <rPh sb="2" eb="3">
      <t>チ</t>
    </rPh>
    <rPh sb="3" eb="4">
      <t>ニシ</t>
    </rPh>
    <phoneticPr fontId="3"/>
  </si>
  <si>
    <t>残波岬西礁池***</t>
    <rPh sb="0" eb="1">
      <t>ザン</t>
    </rPh>
    <rPh sb="1" eb="2">
      <t>ナミ</t>
    </rPh>
    <rPh sb="2" eb="3">
      <t>ミサキ</t>
    </rPh>
    <rPh sb="3" eb="4">
      <t>ニシ</t>
    </rPh>
    <rPh sb="4" eb="5">
      <t>ショウ</t>
    </rPh>
    <rPh sb="5" eb="6">
      <t>チ</t>
    </rPh>
    <phoneticPr fontId="3"/>
  </si>
  <si>
    <t>残波岬西礁斜面***</t>
    <rPh sb="0" eb="1">
      <t>ザン</t>
    </rPh>
    <rPh sb="1" eb="2">
      <t>ナミ</t>
    </rPh>
    <rPh sb="2" eb="3">
      <t>ミサキ</t>
    </rPh>
    <rPh sb="3" eb="4">
      <t>ニシ</t>
    </rPh>
    <rPh sb="4" eb="5">
      <t>ショウ</t>
    </rPh>
    <rPh sb="5" eb="7">
      <t>シャメン</t>
    </rPh>
    <phoneticPr fontId="3"/>
  </si>
  <si>
    <t>真栄田岬西礁池小***</t>
    <rPh sb="0" eb="3">
      <t>マエダ</t>
    </rPh>
    <rPh sb="3" eb="4">
      <t>ミサキ</t>
    </rPh>
    <rPh sb="4" eb="5">
      <t>ニシ</t>
    </rPh>
    <rPh sb="5" eb="6">
      <t>ショウ</t>
    </rPh>
    <rPh sb="6" eb="7">
      <t>チ</t>
    </rPh>
    <rPh sb="7" eb="8">
      <t>コ</t>
    </rPh>
    <phoneticPr fontId="3"/>
  </si>
  <si>
    <t>真栄田岬西礁斜面***</t>
    <rPh sb="0" eb="3">
      <t>マエダ</t>
    </rPh>
    <rPh sb="3" eb="4">
      <t>ミサキ</t>
    </rPh>
    <rPh sb="4" eb="5">
      <t>ニシ</t>
    </rPh>
    <rPh sb="5" eb="6">
      <t>ショウ</t>
    </rPh>
    <rPh sb="6" eb="8">
      <t>シャメン</t>
    </rPh>
    <phoneticPr fontId="3"/>
  </si>
  <si>
    <t>恩納村赤崎西礁池***</t>
    <rPh sb="0" eb="3">
      <t>オンナソン</t>
    </rPh>
    <rPh sb="3" eb="5">
      <t>アカサキ</t>
    </rPh>
    <rPh sb="5" eb="6">
      <t>ニシ</t>
    </rPh>
    <rPh sb="6" eb="7">
      <t>ショウ</t>
    </rPh>
    <rPh sb="7" eb="8">
      <t>チ</t>
    </rPh>
    <phoneticPr fontId="3"/>
  </si>
  <si>
    <t>恩納村赤崎西礁斜面***</t>
    <rPh sb="0" eb="3">
      <t>オンナソン</t>
    </rPh>
    <rPh sb="3" eb="5">
      <t>アカサキ</t>
    </rPh>
    <rPh sb="5" eb="6">
      <t>ニシ</t>
    </rPh>
    <rPh sb="6" eb="7">
      <t>ショウ</t>
    </rPh>
    <rPh sb="7" eb="9">
      <t>シャメン</t>
    </rPh>
    <phoneticPr fontId="3"/>
  </si>
  <si>
    <t>安富祖北礁池***</t>
    <rPh sb="0" eb="1">
      <t>ヤス</t>
    </rPh>
    <rPh sb="1" eb="2">
      <t>トミ</t>
    </rPh>
    <rPh sb="2" eb="3">
      <t>ソ</t>
    </rPh>
    <rPh sb="3" eb="4">
      <t>キタ</t>
    </rPh>
    <rPh sb="4" eb="5">
      <t>ショウ</t>
    </rPh>
    <rPh sb="5" eb="6">
      <t>チ</t>
    </rPh>
    <phoneticPr fontId="3"/>
  </si>
  <si>
    <t>部瀬名岬西***</t>
    <rPh sb="0" eb="1">
      <t>ブ</t>
    </rPh>
    <rPh sb="1" eb="2">
      <t>セ</t>
    </rPh>
    <rPh sb="2" eb="3">
      <t>ナ</t>
    </rPh>
    <rPh sb="3" eb="4">
      <t>ミサキ</t>
    </rPh>
    <rPh sb="4" eb="5">
      <t>ニシ</t>
    </rPh>
    <phoneticPr fontId="3"/>
  </si>
  <si>
    <t>瀬底島南***</t>
    <rPh sb="0" eb="1">
      <t>セ</t>
    </rPh>
    <rPh sb="1" eb="2">
      <t>ソコ</t>
    </rPh>
    <rPh sb="2" eb="3">
      <t>ジマ</t>
    </rPh>
    <rPh sb="3" eb="4">
      <t>ミナミ</t>
    </rPh>
    <phoneticPr fontId="3"/>
  </si>
  <si>
    <t>22'</t>
    <phoneticPr fontId="3"/>
  </si>
  <si>
    <t>港原ヤッカイビシ</t>
  </si>
  <si>
    <t>水族館西***</t>
    <rPh sb="0" eb="3">
      <t>スイゾクカン</t>
    </rPh>
    <rPh sb="3" eb="4">
      <t>ニシ</t>
    </rPh>
    <phoneticPr fontId="3"/>
  </si>
  <si>
    <t>備瀬崎東礁池***</t>
    <rPh sb="0" eb="1">
      <t>ビ</t>
    </rPh>
    <rPh sb="1" eb="2">
      <t>セ</t>
    </rPh>
    <rPh sb="2" eb="3">
      <t>ザキ</t>
    </rPh>
    <rPh sb="3" eb="4">
      <t>ヒガシ</t>
    </rPh>
    <rPh sb="4" eb="5">
      <t>ショウ</t>
    </rPh>
    <rPh sb="5" eb="6">
      <t>チ</t>
    </rPh>
    <phoneticPr fontId="3"/>
  </si>
  <si>
    <t>備瀬崎東礁斜面***</t>
    <rPh sb="0" eb="1">
      <t>ビ</t>
    </rPh>
    <rPh sb="1" eb="2">
      <t>セ</t>
    </rPh>
    <rPh sb="2" eb="3">
      <t>ザキ</t>
    </rPh>
    <rPh sb="3" eb="4">
      <t>ヒガシ</t>
    </rPh>
    <rPh sb="4" eb="5">
      <t>ショウ</t>
    </rPh>
    <rPh sb="5" eb="7">
      <t>シャメン</t>
    </rPh>
    <phoneticPr fontId="3"/>
  </si>
  <si>
    <t>今帰仁村長浜北礁池***</t>
    <rPh sb="0" eb="1">
      <t>イマ</t>
    </rPh>
    <rPh sb="1" eb="2">
      <t>キ</t>
    </rPh>
    <rPh sb="2" eb="4">
      <t>ニムラ</t>
    </rPh>
    <rPh sb="4" eb="6">
      <t>ナガハマ</t>
    </rPh>
    <rPh sb="6" eb="7">
      <t>キタ</t>
    </rPh>
    <rPh sb="7" eb="9">
      <t>ショウチ</t>
    </rPh>
    <phoneticPr fontId="3"/>
  </si>
  <si>
    <t>今帰仁村長浜北礁斜面***</t>
    <rPh sb="4" eb="6">
      <t>ナガハマ</t>
    </rPh>
    <rPh sb="6" eb="7">
      <t>キタ</t>
    </rPh>
    <rPh sb="7" eb="10">
      <t>ショウシャメン</t>
    </rPh>
    <phoneticPr fontId="3"/>
  </si>
  <si>
    <t>古宇利島北礁池***</t>
    <rPh sb="0" eb="1">
      <t>コ</t>
    </rPh>
    <rPh sb="1" eb="2">
      <t>ウ</t>
    </rPh>
    <rPh sb="2" eb="3">
      <t>リ</t>
    </rPh>
    <rPh sb="3" eb="4">
      <t>ジマ</t>
    </rPh>
    <rPh sb="4" eb="5">
      <t>キタ</t>
    </rPh>
    <rPh sb="5" eb="6">
      <t>ショウ</t>
    </rPh>
    <rPh sb="6" eb="7">
      <t>イケ</t>
    </rPh>
    <phoneticPr fontId="3"/>
  </si>
  <si>
    <t>古宇利島北礁斜面***</t>
    <rPh sb="0" eb="1">
      <t>コ</t>
    </rPh>
    <rPh sb="1" eb="2">
      <t>ウ</t>
    </rPh>
    <rPh sb="2" eb="3">
      <t>リ</t>
    </rPh>
    <rPh sb="3" eb="4">
      <t>ジマ</t>
    </rPh>
    <rPh sb="4" eb="5">
      <t>キタ</t>
    </rPh>
    <rPh sb="5" eb="6">
      <t>ショウ</t>
    </rPh>
    <rPh sb="6" eb="8">
      <t>シャメン</t>
    </rPh>
    <phoneticPr fontId="3"/>
  </si>
  <si>
    <t>水釜***</t>
    <rPh sb="0" eb="1">
      <t>ミズ</t>
    </rPh>
    <rPh sb="1" eb="2">
      <t>ガマ</t>
    </rPh>
    <phoneticPr fontId="13"/>
  </si>
  <si>
    <t>水釜礁斜面***</t>
    <rPh sb="0" eb="1">
      <t>ミズ</t>
    </rPh>
    <rPh sb="1" eb="2">
      <t>ガマ</t>
    </rPh>
    <rPh sb="2" eb="3">
      <t>ショウ</t>
    </rPh>
    <rPh sb="3" eb="5">
      <t>シャメン</t>
    </rPh>
    <phoneticPr fontId="13"/>
  </si>
  <si>
    <t>西洲礁池***</t>
    <rPh sb="0" eb="1">
      <t>ニシ</t>
    </rPh>
    <rPh sb="1" eb="2">
      <t>ス</t>
    </rPh>
    <rPh sb="2" eb="3">
      <t>ショウ</t>
    </rPh>
    <rPh sb="3" eb="4">
      <t>チ</t>
    </rPh>
    <phoneticPr fontId="13"/>
  </si>
  <si>
    <t>泊大橋西***</t>
    <phoneticPr fontId="15"/>
  </si>
  <si>
    <t>干ノ瀬***</t>
    <rPh sb="0" eb="1">
      <t>ホ</t>
    </rPh>
    <rPh sb="2" eb="3">
      <t>セ</t>
    </rPh>
    <phoneticPr fontId="13"/>
  </si>
  <si>
    <t>浅ノ瀬防波堤***</t>
    <rPh sb="0" eb="1">
      <t>アサ</t>
    </rPh>
    <rPh sb="2" eb="3">
      <t>セ</t>
    </rPh>
    <rPh sb="3" eb="6">
      <t>ボウハテイ</t>
    </rPh>
    <phoneticPr fontId="13"/>
  </si>
  <si>
    <t>ジャナセ***</t>
    <phoneticPr fontId="3"/>
  </si>
  <si>
    <t>喜屋武岬西礁斜面***</t>
    <rPh sb="0" eb="3">
      <t>キャン</t>
    </rPh>
    <rPh sb="3" eb="4">
      <t>ミサキ</t>
    </rPh>
    <rPh sb="4" eb="5">
      <t>ニシ</t>
    </rPh>
    <rPh sb="5" eb="8">
      <t>ショウシャメン</t>
    </rPh>
    <phoneticPr fontId="13"/>
  </si>
  <si>
    <t>真栄田岬西礁池大</t>
    <phoneticPr fontId="3"/>
  </si>
  <si>
    <t>塩川港南</t>
    <rPh sb="0" eb="2">
      <t>シオカワ</t>
    </rPh>
    <rPh sb="2" eb="3">
      <t>コウ</t>
    </rPh>
    <rPh sb="3" eb="4">
      <t>ミナミ</t>
    </rPh>
    <phoneticPr fontId="2"/>
  </si>
  <si>
    <t>チービシナガンヌ南2022***</t>
    <rPh sb="8" eb="9">
      <t>ミナミ</t>
    </rPh>
    <phoneticPr fontId="2"/>
  </si>
  <si>
    <t>宜野湾漁港西***</t>
    <rPh sb="0" eb="3">
      <t>ギノワン</t>
    </rPh>
    <rPh sb="3" eb="5">
      <t>ギョコウ</t>
    </rPh>
    <rPh sb="5" eb="6">
      <t>ニシ</t>
    </rPh>
    <phoneticPr fontId="2"/>
  </si>
  <si>
    <t>イナンビシ南***</t>
    <phoneticPr fontId="2"/>
  </si>
  <si>
    <t>冨着チンバマグムイ***</t>
    <rPh sb="0" eb="2">
      <t>フチャク</t>
    </rPh>
    <phoneticPr fontId="2"/>
  </si>
  <si>
    <t>恩納村万座毛西***</t>
    <rPh sb="0" eb="3">
      <t>オンナソン</t>
    </rPh>
    <rPh sb="3" eb="5">
      <t>マンザ</t>
    </rPh>
    <rPh sb="5" eb="6">
      <t>モウ</t>
    </rPh>
    <rPh sb="6" eb="7">
      <t>ニシ</t>
    </rPh>
    <phoneticPr fontId="2"/>
  </si>
  <si>
    <t>恩納村万座毛***</t>
    <rPh sb="0" eb="3">
      <t>オンナソン</t>
    </rPh>
    <rPh sb="3" eb="5">
      <t>マンザ</t>
    </rPh>
    <rPh sb="5" eb="6">
      <t>モウ</t>
    </rPh>
    <phoneticPr fontId="2"/>
  </si>
  <si>
    <t>屋部***</t>
    <rPh sb="0" eb="2">
      <t>ヤブ</t>
    </rPh>
    <phoneticPr fontId="2"/>
  </si>
  <si>
    <t>瀬底島北***</t>
    <rPh sb="0" eb="1">
      <t>セ</t>
    </rPh>
    <rPh sb="1" eb="2">
      <t>ソコ</t>
    </rPh>
    <rPh sb="2" eb="3">
      <t>シマ</t>
    </rPh>
    <rPh sb="3" eb="4">
      <t>キタ</t>
    </rPh>
    <phoneticPr fontId="2"/>
  </si>
  <si>
    <t>水納島東***</t>
    <rPh sb="0" eb="1">
      <t>ミズ</t>
    </rPh>
    <rPh sb="1" eb="2">
      <t>ナ</t>
    </rPh>
    <rPh sb="2" eb="3">
      <t>シマ</t>
    </rPh>
    <rPh sb="3" eb="4">
      <t>ヒガシ</t>
    </rPh>
    <phoneticPr fontId="3"/>
  </si>
  <si>
    <t>伊江島イシャラ原東***</t>
    <rPh sb="0" eb="3">
      <t>イエジマ</t>
    </rPh>
    <rPh sb="7" eb="8">
      <t>ハラ</t>
    </rPh>
    <rPh sb="8" eb="9">
      <t>ヒガシ</t>
    </rPh>
    <phoneticPr fontId="3"/>
  </si>
  <si>
    <t>海軍棒プール***</t>
    <phoneticPr fontId="3"/>
  </si>
  <si>
    <t>塩屋プール***</t>
    <rPh sb="0" eb="2">
      <t>シオヤ</t>
    </rPh>
    <phoneticPr fontId="3"/>
  </si>
  <si>
    <t>ウ離島前離礁</t>
    <rPh sb="1" eb="2">
      <t>リ</t>
    </rPh>
    <rPh sb="2" eb="3">
      <t>シマ</t>
    </rPh>
    <rPh sb="3" eb="4">
      <t>マエ</t>
    </rPh>
    <rPh sb="4" eb="6">
      <t>リショウ</t>
    </rPh>
    <phoneticPr fontId="1"/>
  </si>
  <si>
    <t>福江　多々良島(2)</t>
    <rPh sb="3" eb="6">
      <t>タタラ</t>
    </rPh>
    <rPh sb="6" eb="7">
      <t>ジマ</t>
    </rPh>
    <phoneticPr fontId="4"/>
  </si>
  <si>
    <t>通夜島***</t>
    <rPh sb="0" eb="3">
      <t>ツヤジマ</t>
    </rPh>
    <phoneticPr fontId="4"/>
  </si>
  <si>
    <t>住崎***</t>
    <rPh sb="0" eb="2">
      <t>スミサキ</t>
    </rPh>
    <phoneticPr fontId="4"/>
  </si>
  <si>
    <t>ｸﾞﾗｽﾜｰﾙﾄﾞ①***</t>
    <phoneticPr fontId="4"/>
  </si>
  <si>
    <t>ｸﾞﾗｽﾜｰﾙﾄﾞ②***</t>
    <phoneticPr fontId="4"/>
  </si>
  <si>
    <t>砥崎***</t>
    <rPh sb="0" eb="2">
      <t>トサキ</t>
    </rPh>
    <phoneticPr fontId="4"/>
  </si>
  <si>
    <t>高富湾奥***</t>
    <rPh sb="0" eb="2">
      <t>タカトミ</t>
    </rPh>
    <rPh sb="2" eb="3">
      <t>ワン</t>
    </rPh>
    <rPh sb="3" eb="4">
      <t>オク</t>
    </rPh>
    <phoneticPr fontId="4"/>
  </si>
  <si>
    <t>双島①***</t>
    <rPh sb="0" eb="2">
      <t>ソウシマ</t>
    </rPh>
    <phoneticPr fontId="4"/>
  </si>
  <si>
    <t>双島②***</t>
    <rPh sb="0" eb="2">
      <t>ソウシマ</t>
    </rPh>
    <phoneticPr fontId="4"/>
  </si>
  <si>
    <t>二木島海中公園
2号地区***</t>
    <rPh sb="0" eb="3">
      <t>ニギシマ</t>
    </rPh>
    <rPh sb="3" eb="5">
      <t>カイチュウ</t>
    </rPh>
    <rPh sb="5" eb="7">
      <t>コウエン</t>
    </rPh>
    <rPh sb="9" eb="11">
      <t>ゴウチ</t>
    </rPh>
    <rPh sb="11" eb="12">
      <t>ク</t>
    </rPh>
    <phoneticPr fontId="7"/>
  </si>
  <si>
    <t>注3：</t>
    <rPh sb="0" eb="1">
      <t>チュウ</t>
    </rPh>
    <phoneticPr fontId="3"/>
  </si>
  <si>
    <t>地点名＊＊＊は2023年度に位置情報を修正</t>
    <rPh sb="0" eb="2">
      <t>チテン</t>
    </rPh>
    <rPh sb="2" eb="3">
      <t>ナ</t>
    </rPh>
    <rPh sb="11" eb="12">
      <t>ネン</t>
    </rPh>
    <rPh sb="12" eb="13">
      <t>ド</t>
    </rPh>
    <rPh sb="14" eb="18">
      <t>イチジョウホウ</t>
    </rPh>
    <rPh sb="19" eb="21">
      <t>シュウセイ</t>
    </rPh>
    <phoneticPr fontId="4"/>
  </si>
  <si>
    <t>注4：</t>
    <phoneticPr fontId="3"/>
  </si>
  <si>
    <t>真栄田岬西礁池大</t>
  </si>
  <si>
    <t>22'</t>
    <phoneticPr fontId="3"/>
  </si>
  <si>
    <t>崎本部</t>
    <phoneticPr fontId="3"/>
  </si>
  <si>
    <t>荒崎西</t>
    <rPh sb="0" eb="2">
      <t>アラサキ</t>
    </rPh>
    <rPh sb="2" eb="3">
      <t>ニシ</t>
    </rPh>
    <phoneticPr fontId="3"/>
  </si>
  <si>
    <t>大度海岸礁池</t>
    <rPh sb="0" eb="1">
      <t>オオド</t>
    </rPh>
    <rPh sb="1" eb="2">
      <t>ド</t>
    </rPh>
    <rPh sb="2" eb="4">
      <t>カイガン</t>
    </rPh>
    <rPh sb="4" eb="6">
      <t>ショウチ</t>
    </rPh>
    <phoneticPr fontId="3"/>
  </si>
  <si>
    <t>大度海岸礁斜面</t>
    <rPh sb="0" eb="1">
      <t>オオド</t>
    </rPh>
    <rPh sb="1" eb="2">
      <t>ド</t>
    </rPh>
    <rPh sb="2" eb="4">
      <t>カイガン</t>
    </rPh>
    <rPh sb="4" eb="7">
      <t>ショウシャメン</t>
    </rPh>
    <phoneticPr fontId="3"/>
  </si>
  <si>
    <t>摩文仁南礁斜面</t>
    <rPh sb="0" eb="3">
      <t>マブニ</t>
    </rPh>
    <rPh sb="3" eb="4">
      <t>ミナミ</t>
    </rPh>
    <rPh sb="4" eb="5">
      <t>ショウ</t>
    </rPh>
    <rPh sb="5" eb="7">
      <t>シャメン</t>
    </rPh>
    <phoneticPr fontId="3"/>
  </si>
  <si>
    <t>奥武島南礁池</t>
    <rPh sb="0" eb="1">
      <t>オク</t>
    </rPh>
    <rPh sb="1" eb="2">
      <t>タケ</t>
    </rPh>
    <rPh sb="2" eb="3">
      <t>シマ</t>
    </rPh>
    <rPh sb="3" eb="4">
      <t>ミナミ</t>
    </rPh>
    <rPh sb="4" eb="5">
      <t>ショウ</t>
    </rPh>
    <rPh sb="5" eb="6">
      <t>イケ</t>
    </rPh>
    <phoneticPr fontId="3"/>
  </si>
  <si>
    <t>奥武島南礁斜面</t>
    <rPh sb="0" eb="1">
      <t>オク</t>
    </rPh>
    <rPh sb="1" eb="2">
      <t>タケ</t>
    </rPh>
    <rPh sb="2" eb="3">
      <t>シマ</t>
    </rPh>
    <rPh sb="3" eb="4">
      <t>ミナミ</t>
    </rPh>
    <rPh sb="4" eb="5">
      <t>ショウ</t>
    </rPh>
    <rPh sb="5" eb="7">
      <t>シャメン</t>
    </rPh>
    <phoneticPr fontId="3"/>
  </si>
  <si>
    <t>クマカ島南</t>
    <rPh sb="3" eb="4">
      <t>ジマ</t>
    </rPh>
    <rPh sb="4" eb="5">
      <t>ミナミ</t>
    </rPh>
    <phoneticPr fontId="3"/>
  </si>
  <si>
    <t>南浮原南東</t>
    <rPh sb="0" eb="1">
      <t>ミナミ</t>
    </rPh>
    <rPh sb="1" eb="2">
      <t>ウキ</t>
    </rPh>
    <rPh sb="2" eb="3">
      <t>ハラ</t>
    </rPh>
    <rPh sb="3" eb="5">
      <t>ナントウ</t>
    </rPh>
    <phoneticPr fontId="3"/>
  </si>
  <si>
    <t>慶佐次ウッパマ東礁池</t>
  </si>
  <si>
    <t>国頭村赤崎北礁池</t>
    <rPh sb="0" eb="3">
      <t>クニガミソン</t>
    </rPh>
    <rPh sb="3" eb="5">
      <t>アカサキ</t>
    </rPh>
    <rPh sb="5" eb="6">
      <t>キタ</t>
    </rPh>
    <rPh sb="6" eb="7">
      <t>ショウ</t>
    </rPh>
    <rPh sb="7" eb="8">
      <t>イケ</t>
    </rPh>
    <phoneticPr fontId="3"/>
  </si>
  <si>
    <t>国頭村赤崎北礁斜面</t>
    <rPh sb="0" eb="3">
      <t>クニガミソン</t>
    </rPh>
    <rPh sb="3" eb="5">
      <t>アカサキ</t>
    </rPh>
    <rPh sb="5" eb="6">
      <t>キタ</t>
    </rPh>
    <rPh sb="6" eb="7">
      <t>ショウ</t>
    </rPh>
    <rPh sb="7" eb="9">
      <t>シャメン</t>
    </rPh>
    <phoneticPr fontId="3"/>
  </si>
  <si>
    <t>奥漁港北</t>
    <rPh sb="0" eb="1">
      <t>オク</t>
    </rPh>
    <rPh sb="1" eb="3">
      <t>ギョコウ</t>
    </rPh>
    <rPh sb="3" eb="4">
      <t>キタ</t>
    </rPh>
    <phoneticPr fontId="3"/>
  </si>
  <si>
    <t>宇佐浜東</t>
  </si>
  <si>
    <t>安田ヶ島北</t>
    <rPh sb="4" eb="5">
      <t>キタ</t>
    </rPh>
    <phoneticPr fontId="13"/>
  </si>
  <si>
    <t>中城湾チグニガ</t>
  </si>
  <si>
    <t>チービシクエフ南</t>
    <rPh sb="7" eb="8">
      <t>ミナミ</t>
    </rPh>
    <phoneticPr fontId="3"/>
  </si>
  <si>
    <t>真栄田岬西礁池小</t>
    <rPh sb="0" eb="3">
      <t>マエダ</t>
    </rPh>
    <rPh sb="3" eb="4">
      <t>ミサキ</t>
    </rPh>
    <rPh sb="4" eb="5">
      <t>ニシ</t>
    </rPh>
    <rPh sb="5" eb="6">
      <t>ショウ</t>
    </rPh>
    <rPh sb="6" eb="7">
      <t>チ</t>
    </rPh>
    <rPh sb="7" eb="8">
      <t>コ</t>
    </rPh>
    <phoneticPr fontId="3"/>
  </si>
  <si>
    <t>今帰仁村長浜北礁池</t>
    <rPh sb="0" eb="1">
      <t>イマ</t>
    </rPh>
    <rPh sb="1" eb="2">
      <t>キ</t>
    </rPh>
    <rPh sb="2" eb="4">
      <t>ニムラ</t>
    </rPh>
    <rPh sb="4" eb="6">
      <t>ナガハマ</t>
    </rPh>
    <rPh sb="6" eb="7">
      <t>キタ</t>
    </rPh>
    <rPh sb="7" eb="9">
      <t>ショウチ</t>
    </rPh>
    <phoneticPr fontId="3"/>
  </si>
  <si>
    <t>今帰仁村長浜北礁斜面</t>
    <rPh sb="4" eb="6">
      <t>ナガハマ</t>
    </rPh>
    <rPh sb="6" eb="7">
      <t>キタ</t>
    </rPh>
    <rPh sb="7" eb="10">
      <t>ショウシャメン</t>
    </rPh>
    <phoneticPr fontId="3"/>
  </si>
  <si>
    <t>古宇利島北礁池</t>
    <rPh sb="0" eb="1">
      <t>コ</t>
    </rPh>
    <rPh sb="1" eb="2">
      <t>ウ</t>
    </rPh>
    <rPh sb="2" eb="3">
      <t>リ</t>
    </rPh>
    <rPh sb="3" eb="4">
      <t>ジマ</t>
    </rPh>
    <rPh sb="4" eb="5">
      <t>キタ</t>
    </rPh>
    <rPh sb="5" eb="6">
      <t>ショウ</t>
    </rPh>
    <rPh sb="6" eb="7">
      <t>イケ</t>
    </rPh>
    <phoneticPr fontId="3"/>
  </si>
  <si>
    <t>古宇利島北礁斜面</t>
    <rPh sb="0" eb="1">
      <t>コ</t>
    </rPh>
    <rPh sb="1" eb="2">
      <t>ウ</t>
    </rPh>
    <rPh sb="2" eb="3">
      <t>リ</t>
    </rPh>
    <rPh sb="3" eb="4">
      <t>ジマ</t>
    </rPh>
    <rPh sb="4" eb="5">
      <t>キタ</t>
    </rPh>
    <rPh sb="5" eb="6">
      <t>ショウ</t>
    </rPh>
    <rPh sb="6" eb="8">
      <t>シャメン</t>
    </rPh>
    <phoneticPr fontId="3"/>
  </si>
  <si>
    <t>喜屋武漁港西トコマサリ礁</t>
    <rPh sb="11" eb="12">
      <t>ショウ</t>
    </rPh>
    <phoneticPr fontId="13"/>
  </si>
  <si>
    <t>水釜</t>
    <rPh sb="0" eb="1">
      <t>ミズ</t>
    </rPh>
    <rPh sb="1" eb="2">
      <t>ガマ</t>
    </rPh>
    <phoneticPr fontId="13"/>
  </si>
  <si>
    <t>水釜礁斜面</t>
    <rPh sb="0" eb="1">
      <t>ミズ</t>
    </rPh>
    <rPh sb="1" eb="2">
      <t>ガマ</t>
    </rPh>
    <rPh sb="2" eb="3">
      <t>ショウ</t>
    </rPh>
    <rPh sb="3" eb="5">
      <t>シャメン</t>
    </rPh>
    <phoneticPr fontId="13"/>
  </si>
  <si>
    <t>泊大橋西</t>
  </si>
  <si>
    <t>砂辺</t>
    <rPh sb="0" eb="1">
      <t>スナ</t>
    </rPh>
    <rPh sb="1" eb="2">
      <t>ベ</t>
    </rPh>
    <phoneticPr fontId="3"/>
  </si>
  <si>
    <t>イナンビシ南</t>
  </si>
  <si>
    <t>ウカビ南東</t>
    <rPh sb="3" eb="5">
      <t>ナントウ</t>
    </rPh>
    <phoneticPr fontId="2"/>
  </si>
  <si>
    <t>マガヤー北東</t>
    <rPh sb="4" eb="6">
      <t>ホクトウ</t>
    </rPh>
    <phoneticPr fontId="2"/>
  </si>
  <si>
    <t>長田智史</t>
    <rPh sb="0" eb="4">
      <t>ナガタトモフミ</t>
    </rPh>
    <phoneticPr fontId="2"/>
  </si>
  <si>
    <t>Snorkel</t>
  </si>
  <si>
    <t>長田智史</t>
    <rPh sb="0" eb="2">
      <t>ナガタ</t>
    </rPh>
    <rPh sb="2" eb="4">
      <t>トモフミ</t>
    </rPh>
    <phoneticPr fontId="2"/>
  </si>
  <si>
    <t>&lt;10</t>
    <phoneticPr fontId="3"/>
  </si>
  <si>
    <t>特定類優占型</t>
    <phoneticPr fontId="3"/>
  </si>
  <si>
    <t>特定類優占型
（オオスリバチサンゴ）</t>
    <phoneticPr fontId="2"/>
  </si>
  <si>
    <t>-</t>
    <phoneticPr fontId="3"/>
  </si>
  <si>
    <t>有</t>
    <rPh sb="0" eb="1">
      <t>アリ</t>
    </rPh>
    <phoneticPr fontId="3"/>
  </si>
  <si>
    <t>&gt;200</t>
    <phoneticPr fontId="3"/>
  </si>
  <si>
    <t>崎原南***</t>
    <rPh sb="0" eb="2">
      <t>サキバル</t>
    </rPh>
    <rPh sb="2" eb="3">
      <t>ミナミ</t>
    </rPh>
    <phoneticPr fontId="3"/>
  </si>
  <si>
    <t>岩</t>
    <rPh sb="0" eb="1">
      <t>イワ</t>
    </rPh>
    <phoneticPr fontId="4"/>
  </si>
  <si>
    <t>0-7</t>
  </si>
  <si>
    <t>1-17</t>
  </si>
  <si>
    <t>0-9</t>
  </si>
  <si>
    <t>離礁/礁斜面</t>
    <rPh sb="0" eb="1">
      <t>リ</t>
    </rPh>
    <rPh sb="1" eb="2">
      <t>ショウ</t>
    </rPh>
    <phoneticPr fontId="4"/>
  </si>
  <si>
    <t>2-7</t>
  </si>
  <si>
    <t>岩・礫</t>
    <rPh sb="2" eb="3">
      <t>レキ</t>
    </rPh>
    <phoneticPr fontId="4"/>
  </si>
  <si>
    <t>0-8</t>
  </si>
  <si>
    <t>砂</t>
    <phoneticPr fontId="3"/>
  </si>
  <si>
    <t>&lt;10</t>
    <phoneticPr fontId="3"/>
  </si>
  <si>
    <t>&lt;10</t>
    <phoneticPr fontId="3"/>
  </si>
  <si>
    <t>東町・加世堂湾***</t>
    <rPh sb="0" eb="1">
      <t>ヒガシ</t>
    </rPh>
    <rPh sb="1" eb="2">
      <t>マチ</t>
    </rPh>
    <rPh sb="3" eb="6">
      <t>カセドウ</t>
    </rPh>
    <rPh sb="6" eb="7">
      <t>ワン</t>
    </rPh>
    <phoneticPr fontId="19"/>
  </si>
  <si>
    <t>&lt;5</t>
    <phoneticPr fontId="3"/>
  </si>
  <si>
    <t>&gt;30</t>
  </si>
  <si>
    <t>&gt;30</t>
    <phoneticPr fontId="3"/>
  </si>
  <si>
    <t>&lt;20-30</t>
    <phoneticPr fontId="3"/>
  </si>
  <si>
    <t>&lt;20-30&lt;</t>
    <phoneticPr fontId="3"/>
  </si>
  <si>
    <t>20-30</t>
    <phoneticPr fontId="3"/>
  </si>
  <si>
    <t>卓状ミドリイシ優占型</t>
    <rPh sb="7" eb="9">
      <t>ユウセン</t>
    </rPh>
    <rPh sb="9" eb="10">
      <t>ガタ</t>
    </rPh>
    <phoneticPr fontId="14"/>
  </si>
  <si>
    <t>特定類優占型（エダハナガササンゴ）</t>
    <phoneticPr fontId="3"/>
  </si>
  <si>
    <t>&lt;20-30</t>
    <phoneticPr fontId="3"/>
  </si>
  <si>
    <t>&lt;20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</si>
</sst>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¥&quot;#,##0;[Red]&quot;¥&quot;\-#,##0"/>
    <numFmt numFmtId="176" formatCode="0_ "/>
    <numFmt numFmtId="177" formatCode="0_);[Red]\(0\)"/>
    <numFmt numFmtId="178" formatCode="0.0_);[Red]\(0.0\)"/>
    <numFmt numFmtId="179" formatCode="0.0_ "/>
    <numFmt numFmtId="180" formatCode="0.00_ "/>
    <numFmt numFmtId="181" formatCode="yyyy/m/d;@"/>
    <numFmt numFmtId="182" formatCode="0.0"/>
  </numFmts>
  <fonts count="36">
    <font>
      <sz val="12"/>
      <name val="ＭＳ 明朝"/>
      <family val="1"/>
      <charset val="128"/>
    </font>
    <font>
      <sz val="12"/>
      <name val="ＭＳ 明朝"/>
      <family val="1"/>
      <charset val="128"/>
    </font>
    <font>
      <b/>
      <sz val="9"/>
      <name val="ＭＳ Ｐゴシック"/>
      <family val="3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Osaka"/>
      <family val="3"/>
      <charset val="128"/>
    </font>
    <font>
      <sz val="8"/>
      <name val="ＭＳ 明朝"/>
      <family val="1"/>
      <charset val="128"/>
    </font>
    <font>
      <u/>
      <sz val="10"/>
      <color indexed="36"/>
      <name val="ＭＳ 明朝"/>
      <family val="1"/>
      <charset val="128"/>
    </font>
    <font>
      <sz val="6"/>
      <name val="Osaka"/>
      <family val="3"/>
      <charset val="128"/>
    </font>
    <font>
      <sz val="9"/>
      <color indexed="10"/>
      <name val="ＭＳ Ｐゴシック"/>
      <family val="3"/>
      <charset val="128"/>
    </font>
    <font>
      <sz val="6"/>
      <name val="AGENDA人名行書体L1"/>
      <family val="3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ＭＳ ゴシック"/>
      <family val="3"/>
      <charset val="128"/>
    </font>
    <font>
      <sz val="12"/>
      <color indexed="8"/>
      <name val="ＭＳ 明朝"/>
      <family val="1"/>
      <charset val="128"/>
    </font>
    <font>
      <b/>
      <sz val="8"/>
      <name val="ＭＳ Ｐゴシック"/>
      <family val="3"/>
      <charset val="128"/>
    </font>
    <font>
      <sz val="9"/>
      <color indexed="10"/>
      <name val="ＭＳ ゴシック"/>
      <family val="3"/>
      <charset val="128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name val="ＭＳ Ｐゴシック"/>
      <family val="3"/>
      <charset val="128"/>
      <scheme val="minor"/>
    </font>
    <font>
      <strike/>
      <sz val="9"/>
      <name val="ＭＳ Ｐゴシック"/>
      <family val="3"/>
      <charset val="128"/>
    </font>
    <font>
      <strike/>
      <sz val="9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trike/>
      <sz val="9"/>
      <color theme="1"/>
      <name val="ＭＳ Ｐゴシック"/>
      <family val="3"/>
      <charset val="128"/>
    </font>
    <font>
      <strike/>
      <sz val="9"/>
      <color theme="1"/>
      <name val="ＭＳ Ｐゴシック"/>
      <family val="3"/>
      <charset val="128"/>
      <scheme val="minor"/>
    </font>
    <font>
      <b/>
      <sz val="9"/>
      <color rgb="FF0070C0"/>
      <name val="ＭＳ Ｐゴシック"/>
      <family val="3"/>
      <charset val="128"/>
    </font>
    <font>
      <sz val="9"/>
      <color rgb="FF0070C0"/>
      <name val="ＭＳ Ｐゴシック"/>
      <family val="3"/>
      <charset val="128"/>
    </font>
    <font>
      <sz val="9"/>
      <color theme="1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tted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/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 style="dotted">
        <color indexed="64"/>
      </right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uble">
        <color indexed="64"/>
      </bottom>
      <diagonal/>
    </border>
    <border>
      <left/>
      <right style="dotted">
        <color indexed="64"/>
      </right>
      <top/>
      <bottom style="double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6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20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6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7" fillId="0" borderId="0">
      <alignment horizontal="center" vertical="center" shrinkToFit="1"/>
    </xf>
    <xf numFmtId="0" fontId="7" fillId="0" borderId="0">
      <alignment horizontal="center" vertical="center"/>
    </xf>
    <xf numFmtId="0" fontId="20" fillId="0" borderId="0">
      <alignment vertical="center"/>
    </xf>
  </cellStyleXfs>
  <cellXfs count="815">
    <xf numFmtId="0" fontId="0" fillId="0" borderId="0" xfId="0">
      <alignment vertical="center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176" fontId="5" fillId="0" borderId="7" xfId="0" applyNumberFormat="1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left" vertical="center"/>
    </xf>
    <xf numFmtId="176" fontId="5" fillId="0" borderId="6" xfId="0" applyNumberFormat="1" applyFont="1" applyBorder="1" applyAlignment="1">
      <alignment horizontal="left" vertical="center" wrapText="1"/>
    </xf>
    <xf numFmtId="176" fontId="5" fillId="0" borderId="7" xfId="0" applyNumberFormat="1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49" fontId="5" fillId="0" borderId="10" xfId="0" applyNumberFormat="1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49" fontId="5" fillId="0" borderId="11" xfId="13" applyNumberFormat="1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176" fontId="5" fillId="0" borderId="10" xfId="0" applyNumberFormat="1" applyFont="1" applyBorder="1" applyAlignment="1">
      <alignment horizontal="left" vertical="center"/>
    </xf>
    <xf numFmtId="49" fontId="5" fillId="0" borderId="11" xfId="0" applyNumberFormat="1" applyFont="1" applyBorder="1" applyAlignment="1">
      <alignment horizontal="left" vertical="center"/>
    </xf>
    <xf numFmtId="176" fontId="5" fillId="0" borderId="9" xfId="0" applyNumberFormat="1" applyFont="1" applyBorder="1" applyAlignment="1">
      <alignment horizontal="left" vertical="center" wrapText="1"/>
    </xf>
    <xf numFmtId="176" fontId="5" fillId="0" borderId="10" xfId="0" applyNumberFormat="1" applyFont="1" applyBorder="1" applyAlignment="1">
      <alignment horizontal="left" vertical="center" wrapText="1"/>
    </xf>
    <xf numFmtId="0" fontId="5" fillId="0" borderId="9" xfId="13" applyFont="1" applyBorder="1" applyAlignment="1">
      <alignment horizontal="left" vertical="center" wrapText="1"/>
    </xf>
    <xf numFmtId="0" fontId="5" fillId="0" borderId="10" xfId="13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49" fontId="5" fillId="0" borderId="14" xfId="0" applyNumberFormat="1" applyFont="1" applyBorder="1" applyAlignment="1">
      <alignment horizontal="left" vertical="center"/>
    </xf>
    <xf numFmtId="49" fontId="5" fillId="0" borderId="15" xfId="13" applyNumberFormat="1" applyFont="1" applyBorder="1" applyAlignment="1">
      <alignment horizontal="left" vertical="center" wrapText="1"/>
    </xf>
    <xf numFmtId="176" fontId="5" fillId="0" borderId="13" xfId="0" applyNumberFormat="1" applyFont="1" applyBorder="1" applyAlignment="1">
      <alignment horizontal="left" vertical="center" wrapText="1"/>
    </xf>
    <xf numFmtId="176" fontId="5" fillId="0" borderId="14" xfId="0" applyNumberFormat="1" applyFont="1" applyBorder="1" applyAlignment="1">
      <alignment horizontal="left" vertical="center" wrapText="1"/>
    </xf>
    <xf numFmtId="176" fontId="5" fillId="0" borderId="14" xfId="0" applyNumberFormat="1" applyFont="1" applyBorder="1" applyAlignment="1">
      <alignment horizontal="left" vertical="center"/>
    </xf>
    <xf numFmtId="49" fontId="5" fillId="0" borderId="15" xfId="0" applyNumberFormat="1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49" fontId="5" fillId="0" borderId="23" xfId="0" applyNumberFormat="1" applyFont="1" applyBorder="1" applyAlignment="1">
      <alignment horizontal="left" vertical="center"/>
    </xf>
    <xf numFmtId="0" fontId="5" fillId="0" borderId="23" xfId="0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left" vertical="center" wrapText="1"/>
    </xf>
    <xf numFmtId="176" fontId="5" fillId="0" borderId="23" xfId="0" applyNumberFormat="1" applyFont="1" applyBorder="1" applyAlignment="1">
      <alignment horizontal="left" vertical="center"/>
    </xf>
    <xf numFmtId="49" fontId="5" fillId="0" borderId="24" xfId="0" applyNumberFormat="1" applyFont="1" applyBorder="1" applyAlignment="1">
      <alignment horizontal="left" vertical="center"/>
    </xf>
    <xf numFmtId="176" fontId="5" fillId="0" borderId="22" xfId="0" applyNumberFormat="1" applyFont="1" applyBorder="1" applyAlignment="1">
      <alignment horizontal="left" vertical="center" wrapText="1"/>
    </xf>
    <xf numFmtId="176" fontId="5" fillId="0" borderId="23" xfId="0" applyNumberFormat="1" applyFont="1" applyBorder="1" applyAlignment="1">
      <alignment horizontal="left" vertical="center" wrapText="1"/>
    </xf>
    <xf numFmtId="49" fontId="5" fillId="0" borderId="11" xfId="0" applyNumberFormat="1" applyFont="1" applyBorder="1" applyAlignment="1">
      <alignment horizontal="left" vertical="center" wrapText="1"/>
    </xf>
    <xf numFmtId="49" fontId="5" fillId="0" borderId="15" xfId="0" applyNumberFormat="1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/>
    </xf>
    <xf numFmtId="49" fontId="5" fillId="0" borderId="18" xfId="0" applyNumberFormat="1" applyFont="1" applyBorder="1" applyAlignment="1">
      <alignment horizontal="left" vertical="center" wrapText="1"/>
    </xf>
    <xf numFmtId="176" fontId="5" fillId="0" borderId="17" xfId="0" applyNumberFormat="1" applyFont="1" applyBorder="1" applyAlignment="1">
      <alignment horizontal="left" vertical="center"/>
    </xf>
    <xf numFmtId="49" fontId="5" fillId="0" borderId="18" xfId="0" applyNumberFormat="1" applyFont="1" applyBorder="1" applyAlignment="1">
      <alignment horizontal="left" vertical="center"/>
    </xf>
    <xf numFmtId="176" fontId="5" fillId="0" borderId="16" xfId="0" applyNumberFormat="1" applyFont="1" applyBorder="1" applyAlignment="1">
      <alignment horizontal="left" vertical="center" wrapText="1"/>
    </xf>
    <xf numFmtId="176" fontId="5" fillId="0" borderId="17" xfId="0" applyNumberFormat="1" applyFont="1" applyBorder="1" applyAlignment="1">
      <alignment horizontal="left" vertical="center" wrapText="1"/>
    </xf>
    <xf numFmtId="179" fontId="5" fillId="0" borderId="11" xfId="0" applyNumberFormat="1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 wrapText="1"/>
    </xf>
    <xf numFmtId="0" fontId="5" fillId="0" borderId="10" xfId="11" applyFont="1" applyBorder="1" applyAlignment="1">
      <alignment horizontal="center" vertical="center"/>
    </xf>
    <xf numFmtId="0" fontId="5" fillId="0" borderId="10" xfId="11" applyFont="1" applyBorder="1" applyAlignment="1">
      <alignment horizontal="left" vertical="top" wrapText="1"/>
    </xf>
    <xf numFmtId="176" fontId="4" fillId="0" borderId="10" xfId="0" applyNumberFormat="1" applyFont="1" applyBorder="1" applyAlignment="1">
      <alignment horizontal="left" vertical="center" wrapText="1"/>
    </xf>
    <xf numFmtId="0" fontId="5" fillId="0" borderId="17" xfId="0" applyFont="1" applyBorder="1" applyAlignment="1">
      <alignment horizontal="center" vertical="center"/>
    </xf>
    <xf numFmtId="49" fontId="5" fillId="0" borderId="24" xfId="9" applyNumberFormat="1" applyFont="1" applyBorder="1" applyAlignment="1">
      <alignment horizontal="left" vertical="center" wrapText="1"/>
    </xf>
    <xf numFmtId="49" fontId="5" fillId="0" borderId="11" xfId="9" applyNumberFormat="1" applyFont="1" applyBorder="1" applyAlignment="1">
      <alignment horizontal="left" vertical="center" wrapText="1"/>
    </xf>
    <xf numFmtId="0" fontId="5" fillId="0" borderId="10" xfId="9" applyFont="1" applyBorder="1" applyAlignment="1">
      <alignment horizontal="left" vertical="center"/>
    </xf>
    <xf numFmtId="0" fontId="5" fillId="0" borderId="11" xfId="9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left" vertical="center" wrapText="1"/>
    </xf>
    <xf numFmtId="49" fontId="5" fillId="0" borderId="15" xfId="9" applyNumberFormat="1" applyFont="1" applyBorder="1" applyAlignment="1">
      <alignment horizontal="left" vertical="center" wrapText="1"/>
    </xf>
    <xf numFmtId="49" fontId="5" fillId="0" borderId="13" xfId="0" applyNumberFormat="1" applyFont="1" applyBorder="1" applyAlignment="1">
      <alignment horizontal="left" vertical="center" wrapText="1"/>
    </xf>
    <xf numFmtId="49" fontId="5" fillId="0" borderId="16" xfId="0" applyNumberFormat="1" applyFont="1" applyBorder="1" applyAlignment="1">
      <alignment horizontal="left" vertical="center"/>
    </xf>
    <xf numFmtId="49" fontId="5" fillId="0" borderId="17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49" fontId="5" fillId="0" borderId="19" xfId="0" applyNumberFormat="1" applyFont="1" applyBorder="1" applyAlignment="1">
      <alignment horizontal="left" vertical="center"/>
    </xf>
    <xf numFmtId="49" fontId="5" fillId="0" borderId="20" xfId="0" applyNumberFormat="1" applyFont="1" applyBorder="1" applyAlignment="1">
      <alignment horizontal="left" vertical="center"/>
    </xf>
    <xf numFmtId="0" fontId="5" fillId="0" borderId="20" xfId="0" applyFont="1" applyBorder="1" applyAlignment="1">
      <alignment horizontal="center" vertical="center"/>
    </xf>
    <xf numFmtId="49" fontId="5" fillId="0" borderId="21" xfId="0" applyNumberFormat="1" applyFont="1" applyBorder="1" applyAlignment="1">
      <alignment horizontal="left" vertical="center"/>
    </xf>
    <xf numFmtId="176" fontId="5" fillId="0" borderId="20" xfId="0" applyNumberFormat="1" applyFont="1" applyBorder="1" applyAlignment="1">
      <alignment horizontal="left" vertical="center"/>
    </xf>
    <xf numFmtId="176" fontId="5" fillId="0" borderId="19" xfId="0" applyNumberFormat="1" applyFont="1" applyBorder="1" applyAlignment="1">
      <alignment horizontal="left" vertical="center" wrapText="1"/>
    </xf>
    <xf numFmtId="176" fontId="5" fillId="0" borderId="20" xfId="0" applyNumberFormat="1" applyFont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3" xfId="12" applyFont="1" applyBorder="1" applyAlignment="1">
      <alignment horizontal="center" vertical="center" wrapText="1"/>
    </xf>
    <xf numFmtId="0" fontId="5" fillId="0" borderId="23" xfId="13" applyFont="1" applyBorder="1" applyAlignment="1">
      <alignment horizontal="center" vertical="center" wrapText="1"/>
    </xf>
    <xf numFmtId="0" fontId="5" fillId="0" borderId="10" xfId="12" applyFont="1" applyBorder="1" applyAlignment="1">
      <alignment horizontal="center" vertical="center" wrapText="1"/>
    </xf>
    <xf numFmtId="0" fontId="5" fillId="0" borderId="10" xfId="13" applyFont="1" applyBorder="1" applyAlignment="1">
      <alignment horizontal="center" vertical="center" wrapText="1"/>
    </xf>
    <xf numFmtId="0" fontId="5" fillId="0" borderId="11" xfId="12" applyFont="1" applyBorder="1" applyAlignment="1">
      <alignment horizontal="left" vertical="center"/>
    </xf>
    <xf numFmtId="0" fontId="5" fillId="0" borderId="14" xfId="12" applyFont="1" applyBorder="1" applyAlignment="1">
      <alignment horizontal="center" vertical="center" wrapText="1"/>
    </xf>
    <xf numFmtId="0" fontId="5" fillId="0" borderId="14" xfId="13" applyFont="1" applyBorder="1" applyAlignment="1">
      <alignment horizontal="center" vertical="center" wrapText="1"/>
    </xf>
    <xf numFmtId="0" fontId="5" fillId="0" borderId="15" xfId="12" applyFont="1" applyBorder="1" applyAlignment="1">
      <alignment horizontal="left" vertical="center"/>
    </xf>
    <xf numFmtId="0" fontId="5" fillId="0" borderId="17" xfId="13" applyFont="1" applyBorder="1" applyAlignment="1">
      <alignment horizontal="center" vertical="center" wrapText="1"/>
    </xf>
    <xf numFmtId="0" fontId="5" fillId="0" borderId="18" xfId="12" applyFont="1" applyBorder="1" applyAlignment="1">
      <alignment horizontal="left" vertical="center"/>
    </xf>
    <xf numFmtId="0" fontId="5" fillId="0" borderId="20" xfId="12" applyFont="1" applyBorder="1" applyAlignment="1">
      <alignment horizontal="center" vertical="center" wrapText="1"/>
    </xf>
    <xf numFmtId="0" fontId="5" fillId="0" borderId="20" xfId="13" applyFont="1" applyBorder="1" applyAlignment="1">
      <alignment horizontal="center" vertical="center" wrapText="1"/>
    </xf>
    <xf numFmtId="0" fontId="5" fillId="0" borderId="21" xfId="12" applyFont="1" applyBorder="1" applyAlignment="1">
      <alignment horizontal="left" vertical="center"/>
    </xf>
    <xf numFmtId="0" fontId="5" fillId="0" borderId="24" xfId="12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49" fontId="5" fillId="0" borderId="21" xfId="0" applyNumberFormat="1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 shrinkToFit="1"/>
    </xf>
    <xf numFmtId="0" fontId="5" fillId="0" borderId="32" xfId="0" applyFont="1" applyBorder="1" applyAlignment="1">
      <alignment horizontal="left" vertical="center"/>
    </xf>
    <xf numFmtId="176" fontId="5" fillId="0" borderId="9" xfId="0" quotePrefix="1" applyNumberFormat="1" applyFont="1" applyBorder="1" applyAlignment="1">
      <alignment horizontal="left" vertical="center" wrapText="1"/>
    </xf>
    <xf numFmtId="176" fontId="5" fillId="0" borderId="10" xfId="0" quotePrefix="1" applyNumberFormat="1" applyFont="1" applyBorder="1" applyAlignment="1">
      <alignment horizontal="left" vertical="center" wrapText="1"/>
    </xf>
    <xf numFmtId="176" fontId="5" fillId="0" borderId="10" xfId="0" quotePrefix="1" applyNumberFormat="1" applyFont="1" applyBorder="1" applyAlignment="1">
      <alignment horizontal="left" vertical="center"/>
    </xf>
    <xf numFmtId="49" fontId="5" fillId="0" borderId="11" xfId="0" quotePrefix="1" applyNumberFormat="1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176" fontId="4" fillId="0" borderId="9" xfId="0" applyNumberFormat="1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176" fontId="12" fillId="0" borderId="17" xfId="0" applyNumberFormat="1" applyFont="1" applyBorder="1" applyAlignment="1">
      <alignment horizontal="left" vertical="center" wrapText="1"/>
    </xf>
    <xf numFmtId="0" fontId="5" fillId="0" borderId="18" xfId="0" quotePrefix="1" applyFont="1" applyBorder="1">
      <alignment vertical="center"/>
    </xf>
    <xf numFmtId="176" fontId="12" fillId="0" borderId="10" xfId="0" applyNumberFormat="1" applyFont="1" applyBorder="1" applyAlignment="1">
      <alignment horizontal="left" vertical="center" wrapText="1"/>
    </xf>
    <xf numFmtId="0" fontId="5" fillId="0" borderId="11" xfId="0" quotePrefix="1" applyFont="1" applyBorder="1">
      <alignment vertical="center"/>
    </xf>
    <xf numFmtId="0" fontId="5" fillId="0" borderId="15" xfId="0" quotePrefix="1" applyFont="1" applyBorder="1">
      <alignment vertical="center"/>
    </xf>
    <xf numFmtId="0" fontId="5" fillId="0" borderId="24" xfId="0" applyFont="1" applyBorder="1" applyAlignment="1">
      <alignment horizontal="left" vertical="center" wrapText="1"/>
    </xf>
    <xf numFmtId="179" fontId="5" fillId="0" borderId="24" xfId="0" applyNumberFormat="1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 wrapText="1"/>
    </xf>
    <xf numFmtId="179" fontId="5" fillId="0" borderId="15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33" xfId="0" applyFont="1" applyBorder="1" applyAlignment="1">
      <alignment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left" vertical="center"/>
    </xf>
    <xf numFmtId="0" fontId="5" fillId="0" borderId="33" xfId="0" applyFont="1" applyBorder="1">
      <alignment vertical="center"/>
    </xf>
    <xf numFmtId="49" fontId="5" fillId="0" borderId="33" xfId="0" applyNumberFormat="1" applyFont="1" applyBorder="1" applyAlignment="1">
      <alignment horizontal="center" vertical="center" wrapText="1"/>
    </xf>
    <xf numFmtId="49" fontId="5" fillId="0" borderId="33" xfId="0" applyNumberFormat="1" applyFont="1" applyBorder="1" applyAlignment="1">
      <alignment horizontal="left" vertical="center"/>
    </xf>
    <xf numFmtId="49" fontId="5" fillId="0" borderId="33" xfId="0" applyNumberFormat="1" applyFont="1" applyBorder="1">
      <alignment vertical="center"/>
    </xf>
    <xf numFmtId="49" fontId="5" fillId="0" borderId="12" xfId="0" applyNumberFormat="1" applyFont="1" applyBorder="1" applyAlignment="1">
      <alignment horizontal="left" vertical="center"/>
    </xf>
    <xf numFmtId="49" fontId="5" fillId="0" borderId="29" xfId="0" applyNumberFormat="1" applyFont="1" applyBorder="1" applyAlignment="1">
      <alignment horizontal="left" vertical="center"/>
    </xf>
    <xf numFmtId="0" fontId="5" fillId="0" borderId="0" xfId="4" applyFont="1" applyAlignment="1">
      <alignment horizontal="center" vertical="center"/>
    </xf>
    <xf numFmtId="0" fontId="22" fillId="0" borderId="0" xfId="7" applyFont="1" applyAlignment="1">
      <alignment horizontal="center" vertical="center"/>
    </xf>
    <xf numFmtId="0" fontId="5" fillId="0" borderId="0" xfId="4" applyFont="1" applyAlignment="1">
      <alignment horizontal="left" vertical="center" wrapText="1"/>
    </xf>
    <xf numFmtId="0" fontId="5" fillId="0" borderId="0" xfId="4" applyFont="1" applyAlignment="1">
      <alignment horizontal="center" vertical="center" wrapText="1"/>
    </xf>
    <xf numFmtId="0" fontId="5" fillId="0" borderId="0" xfId="7" applyFont="1" applyAlignment="1">
      <alignment horizontal="center" vertical="center"/>
    </xf>
    <xf numFmtId="49" fontId="5" fillId="0" borderId="39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center" vertical="center"/>
    </xf>
    <xf numFmtId="0" fontId="5" fillId="0" borderId="11" xfId="5" applyFont="1" applyBorder="1" applyAlignment="1">
      <alignment horizontal="center" vertical="center"/>
    </xf>
    <xf numFmtId="49" fontId="5" fillId="0" borderId="23" xfId="4" applyNumberFormat="1" applyFont="1" applyBorder="1" applyAlignment="1">
      <alignment horizontal="center" vertical="center"/>
    </xf>
    <xf numFmtId="49" fontId="5" fillId="0" borderId="24" xfId="4" applyNumberFormat="1" applyFont="1" applyBorder="1" applyAlignment="1">
      <alignment horizontal="center" vertical="center"/>
    </xf>
    <xf numFmtId="49" fontId="5" fillId="0" borderId="11" xfId="4" applyNumberFormat="1" applyFont="1" applyBorder="1" applyAlignment="1">
      <alignment horizontal="center" vertical="center"/>
    </xf>
    <xf numFmtId="49" fontId="5" fillId="0" borderId="10" xfId="4" applyNumberFormat="1" applyFont="1" applyBorder="1" applyAlignment="1">
      <alignment horizontal="center" vertical="center"/>
    </xf>
    <xf numFmtId="0" fontId="5" fillId="0" borderId="0" xfId="12" applyFont="1" applyAlignment="1">
      <alignment horizontal="center" vertical="center"/>
    </xf>
    <xf numFmtId="176" fontId="5" fillId="0" borderId="0" xfId="7" applyNumberFormat="1" applyFont="1" applyAlignment="1">
      <alignment horizontal="center" vertical="center"/>
    </xf>
    <xf numFmtId="177" fontId="5" fillId="0" borderId="0" xfId="7" applyNumberFormat="1" applyFont="1" applyAlignment="1">
      <alignment horizontal="center" vertical="center"/>
    </xf>
    <xf numFmtId="0" fontId="5" fillId="0" borderId="0" xfId="12" applyFont="1" applyAlignment="1">
      <alignment horizontal="right" vertical="center" shrinkToFit="1"/>
    </xf>
    <xf numFmtId="0" fontId="5" fillId="0" borderId="0" xfId="12" applyFont="1" applyAlignment="1">
      <alignment horizontal="left" vertical="center"/>
    </xf>
    <xf numFmtId="181" fontId="5" fillId="0" borderId="0" xfId="12" applyNumberFormat="1" applyFont="1" applyAlignment="1">
      <alignment horizontal="left" vertical="center"/>
    </xf>
    <xf numFmtId="181" fontId="5" fillId="0" borderId="0" xfId="12" applyNumberFormat="1" applyFont="1" applyAlignment="1">
      <alignment horizontal="center" vertical="center"/>
    </xf>
    <xf numFmtId="176" fontId="5" fillId="0" borderId="0" xfId="12" applyNumberFormat="1" applyFont="1" applyAlignment="1">
      <alignment horizontal="center" vertical="center"/>
    </xf>
    <xf numFmtId="49" fontId="5" fillId="0" borderId="0" xfId="12" applyNumberFormat="1" applyFont="1" applyAlignment="1">
      <alignment horizontal="center" vertical="center"/>
    </xf>
    <xf numFmtId="177" fontId="5" fillId="0" borderId="0" xfId="12" applyNumberFormat="1" applyFont="1" applyAlignment="1">
      <alignment horizontal="center" vertical="center"/>
    </xf>
    <xf numFmtId="0" fontId="23" fillId="0" borderId="0" xfId="4" applyFont="1">
      <alignment vertical="center"/>
    </xf>
    <xf numFmtId="49" fontId="5" fillId="0" borderId="0" xfId="12" applyNumberFormat="1" applyFont="1" applyAlignment="1">
      <alignment horizontal="left" vertical="center"/>
    </xf>
    <xf numFmtId="0" fontId="5" fillId="0" borderId="0" xfId="4" applyFont="1">
      <alignment vertical="center"/>
    </xf>
    <xf numFmtId="0" fontId="16" fillId="0" borderId="0" xfId="4" applyFont="1">
      <alignment vertical="center"/>
    </xf>
    <xf numFmtId="0" fontId="5" fillId="0" borderId="0" xfId="12" applyFont="1" applyAlignment="1">
      <alignment vertical="center" wrapText="1"/>
    </xf>
    <xf numFmtId="0" fontId="5" fillId="0" borderId="0" xfId="7" applyFont="1" applyAlignment="1">
      <alignment horizontal="left" vertical="center"/>
    </xf>
    <xf numFmtId="0" fontId="5" fillId="0" borderId="10" xfId="7" applyFont="1" applyBorder="1" applyAlignment="1">
      <alignment horizontal="left" vertical="center" wrapText="1"/>
    </xf>
    <xf numFmtId="0" fontId="5" fillId="0" borderId="10" xfId="7" applyFont="1" applyBorder="1" applyAlignment="1">
      <alignment horizontal="center" vertical="center" wrapText="1"/>
    </xf>
    <xf numFmtId="181" fontId="22" fillId="0" borderId="10" xfId="15" applyNumberFormat="1" applyFont="1" applyBorder="1" applyAlignment="1">
      <alignment horizontal="center" vertical="center"/>
    </xf>
    <xf numFmtId="0" fontId="25" fillId="0" borderId="10" xfId="0" applyFont="1" applyBorder="1">
      <alignment vertical="center"/>
    </xf>
    <xf numFmtId="182" fontId="5" fillId="0" borderId="10" xfId="0" applyNumberFormat="1" applyFont="1" applyBorder="1" applyAlignment="1">
      <alignment horizontal="center" vertical="center"/>
    </xf>
    <xf numFmtId="14" fontId="5" fillId="0" borderId="10" xfId="13" applyNumberFormat="1" applyFont="1" applyBorder="1">
      <alignment horizontal="center" vertical="center" shrinkToFit="1"/>
    </xf>
    <xf numFmtId="0" fontId="5" fillId="0" borderId="10" xfId="4" applyFont="1" applyBorder="1" applyAlignment="1">
      <alignment horizontal="center" vertical="center" wrapText="1"/>
    </xf>
    <xf numFmtId="49" fontId="5" fillId="0" borderId="10" xfId="4" applyNumberFormat="1" applyFont="1" applyBorder="1" applyAlignment="1">
      <alignment horizontal="center" vertical="center" wrapText="1"/>
    </xf>
    <xf numFmtId="0" fontId="5" fillId="0" borderId="10" xfId="12" applyFont="1" applyBorder="1" applyAlignment="1">
      <alignment horizontal="left" vertical="center" wrapText="1" shrinkToFit="1"/>
    </xf>
    <xf numFmtId="0" fontId="5" fillId="0" borderId="10" xfId="12" applyFont="1" applyBorder="1" applyAlignment="1">
      <alignment horizontal="left" vertical="center" wrapText="1"/>
    </xf>
    <xf numFmtId="14" fontId="5" fillId="0" borderId="10" xfId="4" applyNumberFormat="1" applyFont="1" applyBorder="1" applyAlignment="1">
      <alignment horizontal="center" vertical="center"/>
    </xf>
    <xf numFmtId="0" fontId="5" fillId="0" borderId="10" xfId="4" applyFont="1" applyBorder="1" applyAlignment="1">
      <alignment horizontal="left" vertical="center" wrapText="1"/>
    </xf>
    <xf numFmtId="0" fontId="5" fillId="2" borderId="10" xfId="4" applyFont="1" applyFill="1" applyBorder="1" applyAlignment="1">
      <alignment horizontal="center" vertical="center" wrapText="1"/>
    </xf>
    <xf numFmtId="49" fontId="5" fillId="2" borderId="10" xfId="4" applyNumberFormat="1" applyFont="1" applyFill="1" applyBorder="1" applyAlignment="1">
      <alignment horizontal="center" vertical="center" wrapText="1"/>
    </xf>
    <xf numFmtId="14" fontId="5" fillId="0" borderId="10" xfId="0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2" fillId="0" borderId="10" xfId="7" applyFont="1" applyBorder="1" applyAlignment="1">
      <alignment horizontal="left" vertical="center" wrapText="1"/>
    </xf>
    <xf numFmtId="0" fontId="22" fillId="0" borderId="10" xfId="7" applyFont="1" applyBorder="1" applyAlignment="1">
      <alignment horizontal="center" vertical="center" wrapText="1"/>
    </xf>
    <xf numFmtId="0" fontId="5" fillId="0" borderId="10" xfId="5" applyFont="1" applyBorder="1" applyAlignment="1">
      <alignment horizontal="center" vertical="center" wrapText="1"/>
    </xf>
    <xf numFmtId="14" fontId="5" fillId="0" borderId="10" xfId="5" applyNumberFormat="1" applyFont="1" applyBorder="1" applyAlignment="1">
      <alignment horizontal="center" vertical="center"/>
    </xf>
    <xf numFmtId="49" fontId="5" fillId="0" borderId="10" xfId="5" applyNumberFormat="1" applyFont="1" applyBorder="1" applyAlignment="1">
      <alignment horizontal="center" vertical="center"/>
    </xf>
    <xf numFmtId="182" fontId="5" fillId="0" borderId="10" xfId="4" applyNumberFormat="1" applyFont="1" applyBorder="1" applyAlignment="1">
      <alignment horizontal="center" vertical="center"/>
    </xf>
    <xf numFmtId="182" fontId="25" fillId="0" borderId="10" xfId="4" applyNumberFormat="1" applyFont="1" applyBorder="1" applyAlignment="1">
      <alignment horizontal="center" vertical="center"/>
    </xf>
    <xf numFmtId="0" fontId="25" fillId="0" borderId="10" xfId="4" applyFont="1" applyBorder="1" applyAlignment="1">
      <alignment horizontal="center" vertical="center"/>
    </xf>
    <xf numFmtId="0" fontId="5" fillId="0" borderId="10" xfId="4" applyFont="1" applyBorder="1" applyAlignment="1">
      <alignment horizontal="center" vertical="center"/>
    </xf>
    <xf numFmtId="176" fontId="25" fillId="0" borderId="10" xfId="4" applyNumberFormat="1" applyFont="1" applyBorder="1" applyAlignment="1">
      <alignment horizontal="center" vertical="center"/>
    </xf>
    <xf numFmtId="176" fontId="5" fillId="0" borderId="10" xfId="4" applyNumberFormat="1" applyFont="1" applyBorder="1" applyAlignment="1">
      <alignment horizontal="center" vertical="center"/>
    </xf>
    <xf numFmtId="182" fontId="5" fillId="0" borderId="10" xfId="1" applyNumberFormat="1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 wrapText="1"/>
    </xf>
    <xf numFmtId="49" fontId="25" fillId="0" borderId="10" xfId="4" applyNumberFormat="1" applyFont="1" applyBorder="1" applyAlignment="1">
      <alignment horizontal="center" vertical="center"/>
    </xf>
    <xf numFmtId="182" fontId="5" fillId="0" borderId="10" xfId="0" applyNumberFormat="1" applyFont="1" applyBorder="1" applyAlignment="1">
      <alignment horizontal="center" vertical="center" wrapText="1"/>
    </xf>
    <xf numFmtId="0" fontId="22" fillId="0" borderId="10" xfId="8" applyFont="1" applyBorder="1" applyAlignment="1">
      <alignment horizontal="left" vertical="center" wrapText="1"/>
    </xf>
    <xf numFmtId="0" fontId="22" fillId="0" borderId="10" xfId="8" applyFont="1" applyBorder="1" applyAlignment="1">
      <alignment horizontal="center" vertical="center" wrapText="1"/>
    </xf>
    <xf numFmtId="14" fontId="25" fillId="0" borderId="10" xfId="0" applyNumberFormat="1" applyFont="1" applyBorder="1" applyAlignment="1">
      <alignment horizontal="center" vertical="center"/>
    </xf>
    <xf numFmtId="182" fontId="25" fillId="0" borderId="10" xfId="0" applyNumberFormat="1" applyFont="1" applyBorder="1" applyAlignment="1">
      <alignment horizontal="center" vertical="center"/>
    </xf>
    <xf numFmtId="14" fontId="25" fillId="0" borderId="10" xfId="0" applyNumberFormat="1" applyFont="1" applyBorder="1" applyAlignment="1">
      <alignment horizontal="center" vertical="center" wrapText="1"/>
    </xf>
    <xf numFmtId="0" fontId="5" fillId="0" borderId="10" xfId="8" applyFont="1" applyBorder="1" applyAlignment="1">
      <alignment horizontal="left" vertical="center" wrapText="1"/>
    </xf>
    <xf numFmtId="0" fontId="5" fillId="0" borderId="10" xfId="8" applyFont="1" applyBorder="1" applyAlignment="1">
      <alignment horizontal="center" vertical="center" wrapText="1"/>
    </xf>
    <xf numFmtId="182" fontId="25" fillId="0" borderId="10" xfId="0" applyNumberFormat="1" applyFont="1" applyBorder="1" applyAlignment="1">
      <alignment horizontal="center" vertical="center" wrapText="1"/>
    </xf>
    <xf numFmtId="49" fontId="5" fillId="0" borderId="10" xfId="8" applyNumberFormat="1" applyFont="1" applyBorder="1" applyAlignment="1">
      <alignment horizontal="center" vertical="center" wrapText="1"/>
    </xf>
    <xf numFmtId="0" fontId="5" fillId="0" borderId="23" xfId="7" applyFont="1" applyBorder="1" applyAlignment="1">
      <alignment horizontal="left" vertical="center" wrapText="1"/>
    </xf>
    <xf numFmtId="0" fontId="5" fillId="0" borderId="23" xfId="7" applyFont="1" applyBorder="1" applyAlignment="1">
      <alignment horizontal="center" vertical="center" wrapText="1"/>
    </xf>
    <xf numFmtId="181" fontId="22" fillId="0" borderId="23" xfId="15" applyNumberFormat="1" applyFont="1" applyBorder="1" applyAlignment="1">
      <alignment horizontal="center" vertical="center"/>
    </xf>
    <xf numFmtId="49" fontId="2" fillId="0" borderId="40" xfId="4" applyNumberFormat="1" applyFont="1" applyBorder="1" applyAlignment="1">
      <alignment horizontal="center" vertical="center" wrapText="1"/>
    </xf>
    <xf numFmtId="177" fontId="2" fillId="0" borderId="40" xfId="4" applyNumberFormat="1" applyFont="1" applyBorder="1" applyAlignment="1">
      <alignment horizontal="center" vertical="center" wrapText="1"/>
    </xf>
    <xf numFmtId="182" fontId="5" fillId="0" borderId="42" xfId="0" applyNumberFormat="1" applyFont="1" applyBorder="1" applyAlignment="1">
      <alignment horizontal="center" vertical="center"/>
    </xf>
    <xf numFmtId="182" fontId="5" fillId="0" borderId="42" xfId="4" applyNumberFormat="1" applyFont="1" applyBorder="1" applyAlignment="1">
      <alignment horizontal="center" vertical="center"/>
    </xf>
    <xf numFmtId="0" fontId="5" fillId="0" borderId="24" xfId="4" applyFont="1" applyBorder="1" applyAlignment="1">
      <alignment horizontal="center" vertical="center"/>
    </xf>
    <xf numFmtId="0" fontId="5" fillId="0" borderId="11" xfId="4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178" fontId="2" fillId="0" borderId="43" xfId="4" applyNumberFormat="1" applyFont="1" applyBorder="1" applyAlignment="1">
      <alignment horizontal="center" vertical="center"/>
    </xf>
    <xf numFmtId="49" fontId="5" fillId="0" borderId="42" xfId="0" applyNumberFormat="1" applyFont="1" applyBorder="1" applyAlignment="1">
      <alignment horizontal="center" vertical="center"/>
    </xf>
    <xf numFmtId="182" fontId="25" fillId="0" borderId="42" xfId="4" applyNumberFormat="1" applyFont="1" applyBorder="1" applyAlignment="1">
      <alignment horizontal="center" vertical="center"/>
    </xf>
    <xf numFmtId="182" fontId="25" fillId="0" borderId="42" xfId="0" applyNumberFormat="1" applyFont="1" applyBorder="1" applyAlignment="1">
      <alignment horizontal="center" vertical="center"/>
    </xf>
    <xf numFmtId="0" fontId="22" fillId="0" borderId="41" xfId="15" applyFont="1" applyBorder="1" applyAlignment="1">
      <alignment horizontal="center" vertical="center" wrapText="1"/>
    </xf>
    <xf numFmtId="0" fontId="22" fillId="0" borderId="42" xfId="15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/>
    </xf>
    <xf numFmtId="49" fontId="5" fillId="0" borderId="42" xfId="4" applyNumberFormat="1" applyFont="1" applyBorder="1" applyAlignment="1">
      <alignment horizontal="center" vertical="center"/>
    </xf>
    <xf numFmtId="0" fontId="5" fillId="0" borderId="42" xfId="4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2" fillId="0" borderId="11" xfId="7" applyFont="1" applyBorder="1" applyAlignment="1">
      <alignment horizontal="center" vertical="center"/>
    </xf>
    <xf numFmtId="177" fontId="2" fillId="0" borderId="44" xfId="4" applyNumberFormat="1" applyFont="1" applyBorder="1" applyAlignment="1">
      <alignment horizontal="center" vertical="center" wrapText="1"/>
    </xf>
    <xf numFmtId="178" fontId="5" fillId="0" borderId="11" xfId="4" applyNumberFormat="1" applyFont="1" applyBorder="1" applyAlignment="1">
      <alignment horizontal="center" vertical="center"/>
    </xf>
    <xf numFmtId="178" fontId="5" fillId="0" borderId="11" xfId="0" applyNumberFormat="1" applyFont="1" applyBorder="1" applyAlignment="1">
      <alignment horizontal="center" vertical="center" wrapText="1"/>
    </xf>
    <xf numFmtId="178" fontId="5" fillId="0" borderId="11" xfId="0" applyNumberFormat="1" applyFont="1" applyBorder="1" applyAlignment="1">
      <alignment horizontal="center" vertical="center"/>
    </xf>
    <xf numFmtId="176" fontId="5" fillId="0" borderId="11" xfId="0" applyNumberFormat="1" applyFont="1" applyBorder="1" applyAlignment="1">
      <alignment horizontal="center" vertical="center"/>
    </xf>
    <xf numFmtId="177" fontId="25" fillId="0" borderId="11" xfId="4" applyNumberFormat="1" applyFont="1" applyBorder="1" applyAlignment="1">
      <alignment horizontal="center" vertical="center"/>
    </xf>
    <xf numFmtId="178" fontId="25" fillId="0" borderId="11" xfId="4" applyNumberFormat="1" applyFont="1" applyBorder="1" applyAlignment="1">
      <alignment horizontal="center" vertical="center"/>
    </xf>
    <xf numFmtId="177" fontId="5" fillId="0" borderId="11" xfId="0" applyNumberFormat="1" applyFont="1" applyBorder="1" applyAlignment="1">
      <alignment horizontal="center" vertical="center"/>
    </xf>
    <xf numFmtId="182" fontId="5" fillId="0" borderId="11" xfId="0" applyNumberFormat="1" applyFont="1" applyBorder="1" applyAlignment="1">
      <alignment horizontal="center" vertical="center"/>
    </xf>
    <xf numFmtId="49" fontId="25" fillId="0" borderId="11" xfId="4" applyNumberFormat="1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2" fillId="0" borderId="24" xfId="15" applyFont="1" applyBorder="1" applyAlignment="1">
      <alignment horizontal="center" vertical="center" wrapText="1"/>
    </xf>
    <xf numFmtId="0" fontId="22" fillId="0" borderId="11" xfId="15" applyFont="1" applyBorder="1" applyAlignment="1">
      <alignment horizontal="center" vertical="center" wrapText="1"/>
    </xf>
    <xf numFmtId="176" fontId="5" fillId="0" borderId="11" xfId="5" applyNumberFormat="1" applyFont="1" applyBorder="1" applyAlignment="1">
      <alignment horizontal="center" vertical="center"/>
    </xf>
    <xf numFmtId="0" fontId="25" fillId="0" borderId="11" xfId="4" applyFont="1" applyBorder="1" applyAlignment="1">
      <alignment horizontal="center" vertical="center"/>
    </xf>
    <xf numFmtId="177" fontId="5" fillId="0" borderId="11" xfId="4" applyNumberFormat="1" applyFont="1" applyBorder="1" applyAlignment="1">
      <alignment horizontal="center" vertical="center"/>
    </xf>
    <xf numFmtId="0" fontId="5" fillId="0" borderId="39" xfId="4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23" xfId="4" applyFont="1" applyBorder="1" applyAlignment="1">
      <alignment horizontal="left" vertical="center" wrapText="1"/>
    </xf>
    <xf numFmtId="0" fontId="5" fillId="0" borderId="23" xfId="4" applyFont="1" applyBorder="1" applyAlignment="1">
      <alignment horizontal="center" vertical="center" wrapText="1"/>
    </xf>
    <xf numFmtId="14" fontId="5" fillId="0" borderId="2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49" fontId="5" fillId="0" borderId="31" xfId="0" applyNumberFormat="1" applyFont="1" applyBorder="1" applyAlignment="1">
      <alignment horizontal="center" vertical="center"/>
    </xf>
    <xf numFmtId="0" fontId="5" fillId="0" borderId="20" xfId="4" applyFont="1" applyBorder="1" applyAlignment="1">
      <alignment horizontal="left" vertical="center" wrapText="1"/>
    </xf>
    <xf numFmtId="0" fontId="5" fillId="0" borderId="20" xfId="4" applyFont="1" applyBorder="1" applyAlignment="1">
      <alignment horizontal="center" vertical="center" wrapText="1"/>
    </xf>
    <xf numFmtId="0" fontId="5" fillId="0" borderId="20" xfId="7" applyFont="1" applyBorder="1" applyAlignment="1">
      <alignment horizontal="center" vertical="center"/>
    </xf>
    <xf numFmtId="0" fontId="25" fillId="0" borderId="20" xfId="0" applyFont="1" applyBorder="1">
      <alignment vertical="center"/>
    </xf>
    <xf numFmtId="49" fontId="5" fillId="0" borderId="23" xfId="4" applyNumberFormat="1" applyFont="1" applyBorder="1" applyAlignment="1">
      <alignment horizontal="center" vertical="center" wrapText="1"/>
    </xf>
    <xf numFmtId="182" fontId="5" fillId="0" borderId="23" xfId="0" applyNumberFormat="1" applyFont="1" applyBorder="1" applyAlignment="1">
      <alignment horizontal="center" vertical="center"/>
    </xf>
    <xf numFmtId="178" fontId="5" fillId="0" borderId="24" xfId="0" applyNumberFormat="1" applyFont="1" applyBorder="1" applyAlignment="1">
      <alignment horizontal="center" vertical="center"/>
    </xf>
    <xf numFmtId="182" fontId="5" fillId="0" borderId="41" xfId="0" applyNumberFormat="1" applyFont="1" applyBorder="1" applyAlignment="1">
      <alignment horizontal="center" vertical="center"/>
    </xf>
    <xf numFmtId="182" fontId="5" fillId="0" borderId="24" xfId="0" applyNumberFormat="1" applyFont="1" applyBorder="1" applyAlignment="1">
      <alignment horizontal="center" vertical="center"/>
    </xf>
    <xf numFmtId="49" fontId="25" fillId="0" borderId="24" xfId="4" applyNumberFormat="1" applyFont="1" applyBorder="1" applyAlignment="1">
      <alignment horizontal="center" vertical="center"/>
    </xf>
    <xf numFmtId="0" fontId="5" fillId="0" borderId="20" xfId="7" applyFont="1" applyBorder="1" applyAlignment="1">
      <alignment horizontal="left" vertical="center" wrapText="1"/>
    </xf>
    <xf numFmtId="0" fontId="5" fillId="0" borderId="20" xfId="7" applyFont="1" applyBorder="1" applyAlignment="1">
      <alignment horizontal="center" vertical="center" wrapText="1"/>
    </xf>
    <xf numFmtId="0" fontId="5" fillId="0" borderId="20" xfId="8" applyFont="1" applyBorder="1" applyAlignment="1">
      <alignment horizontal="center" vertical="center" wrapText="1"/>
    </xf>
    <xf numFmtId="49" fontId="5" fillId="0" borderId="20" xfId="8" applyNumberFormat="1" applyFont="1" applyBorder="1" applyAlignment="1">
      <alignment horizontal="center" vertical="center" wrapText="1"/>
    </xf>
    <xf numFmtId="14" fontId="5" fillId="0" borderId="20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182" fontId="5" fillId="0" borderId="20" xfId="0" applyNumberFormat="1" applyFont="1" applyBorder="1" applyAlignment="1">
      <alignment horizontal="center" vertical="center"/>
    </xf>
    <xf numFmtId="178" fontId="5" fillId="0" borderId="21" xfId="0" applyNumberFormat="1" applyFont="1" applyBorder="1" applyAlignment="1">
      <alignment horizontal="center" vertical="center"/>
    </xf>
    <xf numFmtId="182" fontId="5" fillId="0" borderId="34" xfId="0" applyNumberFormat="1" applyFont="1" applyBorder="1" applyAlignment="1">
      <alignment horizontal="center" vertical="center"/>
    </xf>
    <xf numFmtId="182" fontId="5" fillId="0" borderId="21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49" fontId="5" fillId="0" borderId="34" xfId="0" applyNumberFormat="1" applyFont="1" applyBorder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/>
    </xf>
    <xf numFmtId="0" fontId="5" fillId="0" borderId="23" xfId="8" applyFont="1" applyBorder="1" applyAlignment="1">
      <alignment horizontal="center" vertical="center" wrapText="1"/>
    </xf>
    <xf numFmtId="49" fontId="5" fillId="0" borderId="23" xfId="8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49" fontId="5" fillId="0" borderId="41" xfId="0" applyNumberFormat="1" applyFont="1" applyBorder="1" applyAlignment="1">
      <alignment horizontal="center" vertical="center"/>
    </xf>
    <xf numFmtId="0" fontId="5" fillId="0" borderId="20" xfId="8" applyFont="1" applyBorder="1" applyAlignment="1">
      <alignment horizontal="left" vertical="center" wrapText="1"/>
    </xf>
    <xf numFmtId="14" fontId="25" fillId="0" borderId="20" xfId="0" applyNumberFormat="1" applyFont="1" applyBorder="1" applyAlignment="1">
      <alignment horizontal="center" vertical="center"/>
    </xf>
    <xf numFmtId="182" fontId="25" fillId="0" borderId="34" xfId="0" applyNumberFormat="1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5" fillId="0" borderId="46" xfId="4" applyFont="1" applyBorder="1" applyAlignment="1">
      <alignment horizontal="center" vertical="center"/>
    </xf>
    <xf numFmtId="0" fontId="22" fillId="0" borderId="23" xfId="8" applyFont="1" applyBorder="1" applyAlignment="1">
      <alignment horizontal="left" vertical="center" wrapText="1"/>
    </xf>
    <xf numFmtId="0" fontId="22" fillId="0" borderId="23" xfId="8" applyFont="1" applyBorder="1" applyAlignment="1">
      <alignment horizontal="center" vertical="center" wrapText="1"/>
    </xf>
    <xf numFmtId="14" fontId="25" fillId="0" borderId="23" xfId="0" applyNumberFormat="1" applyFont="1" applyBorder="1" applyAlignment="1">
      <alignment horizontal="center" vertical="center"/>
    </xf>
    <xf numFmtId="0" fontId="5" fillId="0" borderId="31" xfId="4" applyFont="1" applyBorder="1" applyAlignment="1">
      <alignment horizontal="center" vertical="center"/>
    </xf>
    <xf numFmtId="0" fontId="22" fillId="0" borderId="20" xfId="7" applyFont="1" applyBorder="1" applyAlignment="1">
      <alignment horizontal="left" vertical="center" wrapText="1"/>
    </xf>
    <xf numFmtId="0" fontId="22" fillId="0" borderId="20" xfId="7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/>
    </xf>
    <xf numFmtId="0" fontId="22" fillId="0" borderId="23" xfId="7" applyFont="1" applyBorder="1" applyAlignment="1">
      <alignment horizontal="left" vertical="center" wrapText="1"/>
    </xf>
    <xf numFmtId="0" fontId="22" fillId="0" borderId="23" xfId="7" applyFont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/>
    </xf>
    <xf numFmtId="49" fontId="5" fillId="0" borderId="20" xfId="4" applyNumberFormat="1" applyFont="1" applyBorder="1" applyAlignment="1">
      <alignment horizontal="center" vertical="center" wrapText="1"/>
    </xf>
    <xf numFmtId="0" fontId="5" fillId="0" borderId="21" xfId="4" applyFont="1" applyBorder="1" applyAlignment="1">
      <alignment horizontal="center" vertical="center"/>
    </xf>
    <xf numFmtId="176" fontId="5" fillId="0" borderId="20" xfId="0" applyNumberFormat="1" applyFont="1" applyBorder="1" applyAlignment="1">
      <alignment horizontal="center" vertical="center"/>
    </xf>
    <xf numFmtId="14" fontId="5" fillId="0" borderId="20" xfId="4" applyNumberFormat="1" applyFont="1" applyBorder="1" applyAlignment="1">
      <alignment horizontal="center" vertical="center"/>
    </xf>
    <xf numFmtId="49" fontId="25" fillId="0" borderId="20" xfId="4" applyNumberFormat="1" applyFont="1" applyBorder="1" applyAlignment="1">
      <alignment horizontal="center" vertical="center"/>
    </xf>
    <xf numFmtId="49" fontId="5" fillId="0" borderId="20" xfId="4" applyNumberFormat="1" applyFont="1" applyBorder="1" applyAlignment="1">
      <alignment horizontal="center" vertical="center"/>
    </xf>
    <xf numFmtId="182" fontId="25" fillId="0" borderId="20" xfId="4" applyNumberFormat="1" applyFont="1" applyBorder="1" applyAlignment="1">
      <alignment horizontal="center" vertical="center"/>
    </xf>
    <xf numFmtId="177" fontId="25" fillId="0" borderId="21" xfId="4" applyNumberFormat="1" applyFont="1" applyBorder="1" applyAlignment="1">
      <alignment horizontal="center" vertical="center"/>
    </xf>
    <xf numFmtId="182" fontId="25" fillId="0" borderId="34" xfId="4" applyNumberFormat="1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 wrapText="1"/>
    </xf>
    <xf numFmtId="0" fontId="25" fillId="0" borderId="21" xfId="4" applyFont="1" applyBorder="1" applyAlignment="1">
      <alignment horizontal="center" vertical="center"/>
    </xf>
    <xf numFmtId="49" fontId="25" fillId="0" borderId="21" xfId="4" applyNumberFormat="1" applyFont="1" applyBorder="1" applyAlignment="1">
      <alignment horizontal="center" vertical="center"/>
    </xf>
    <xf numFmtId="14" fontId="5" fillId="0" borderId="23" xfId="4" applyNumberFormat="1" applyFont="1" applyBorder="1" applyAlignment="1">
      <alignment horizontal="center" vertical="center"/>
    </xf>
    <xf numFmtId="49" fontId="25" fillId="0" borderId="23" xfId="4" applyNumberFormat="1" applyFont="1" applyBorder="1" applyAlignment="1">
      <alignment horizontal="center" vertical="center"/>
    </xf>
    <xf numFmtId="182" fontId="25" fillId="0" borderId="23" xfId="4" applyNumberFormat="1" applyFont="1" applyBorder="1" applyAlignment="1">
      <alignment horizontal="center" vertical="center"/>
    </xf>
    <xf numFmtId="177" fontId="25" fillId="0" borderId="24" xfId="4" applyNumberFormat="1" applyFont="1" applyBorder="1" applyAlignment="1">
      <alignment horizontal="center" vertical="center"/>
    </xf>
    <xf numFmtId="182" fontId="25" fillId="0" borderId="41" xfId="4" applyNumberFormat="1" applyFont="1" applyBorder="1" applyAlignment="1">
      <alignment horizontal="center" vertical="center"/>
    </xf>
    <xf numFmtId="0" fontId="25" fillId="0" borderId="24" xfId="4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 wrapText="1"/>
    </xf>
    <xf numFmtId="182" fontId="5" fillId="0" borderId="20" xfId="4" applyNumberFormat="1" applyFont="1" applyBorder="1" applyAlignment="1">
      <alignment horizontal="center" vertical="center"/>
    </xf>
    <xf numFmtId="178" fontId="5" fillId="0" borderId="21" xfId="4" applyNumberFormat="1" applyFont="1" applyBorder="1" applyAlignment="1">
      <alignment horizontal="center" vertical="center"/>
    </xf>
    <xf numFmtId="182" fontId="5" fillId="0" borderId="34" xfId="4" applyNumberFormat="1" applyFont="1" applyBorder="1" applyAlignment="1">
      <alignment horizontal="center" vertical="center"/>
    </xf>
    <xf numFmtId="49" fontId="5" fillId="0" borderId="34" xfId="4" applyNumberFormat="1" applyFont="1" applyBorder="1" applyAlignment="1">
      <alignment horizontal="center" vertical="center"/>
    </xf>
    <xf numFmtId="49" fontId="5" fillId="0" borderId="21" xfId="4" applyNumberFormat="1" applyFont="1" applyBorder="1" applyAlignment="1">
      <alignment horizontal="center" vertical="center"/>
    </xf>
    <xf numFmtId="177" fontId="5" fillId="0" borderId="21" xfId="4" applyNumberFormat="1" applyFont="1" applyBorder="1" applyAlignment="1">
      <alignment horizontal="center" vertical="center"/>
    </xf>
    <xf numFmtId="182" fontId="5" fillId="0" borderId="41" xfId="4" applyNumberFormat="1" applyFont="1" applyBorder="1" applyAlignment="1">
      <alignment horizontal="center" vertical="center"/>
    </xf>
    <xf numFmtId="182" fontId="5" fillId="0" borderId="23" xfId="4" applyNumberFormat="1" applyFont="1" applyBorder="1" applyAlignment="1">
      <alignment horizontal="center" vertical="center"/>
    </xf>
    <xf numFmtId="178" fontId="5" fillId="0" borderId="24" xfId="4" applyNumberFormat="1" applyFont="1" applyBorder="1" applyAlignment="1">
      <alignment horizontal="center" vertical="center"/>
    </xf>
    <xf numFmtId="49" fontId="5" fillId="0" borderId="41" xfId="4" applyNumberFormat="1" applyFont="1" applyBorder="1" applyAlignment="1">
      <alignment horizontal="center" vertical="center"/>
    </xf>
    <xf numFmtId="177" fontId="5" fillId="0" borderId="24" xfId="4" applyNumberFormat="1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 wrapText="1"/>
    </xf>
    <xf numFmtId="14" fontId="5" fillId="0" borderId="20" xfId="5" applyNumberFormat="1" applyFont="1" applyBorder="1" applyAlignment="1">
      <alignment horizontal="center" vertical="center"/>
    </xf>
    <xf numFmtId="49" fontId="5" fillId="0" borderId="20" xfId="5" applyNumberFormat="1" applyFont="1" applyBorder="1" applyAlignment="1">
      <alignment horizontal="center" vertical="center"/>
    </xf>
    <xf numFmtId="176" fontId="5" fillId="0" borderId="21" xfId="5" applyNumberFormat="1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5" fillId="0" borderId="23" xfId="5" applyFont="1" applyBorder="1" applyAlignment="1">
      <alignment horizontal="center" vertical="center" wrapText="1"/>
    </xf>
    <xf numFmtId="14" fontId="5" fillId="0" borderId="23" xfId="5" applyNumberFormat="1" applyFont="1" applyBorder="1" applyAlignment="1">
      <alignment horizontal="center" vertical="center"/>
    </xf>
    <xf numFmtId="49" fontId="5" fillId="0" borderId="23" xfId="5" applyNumberFormat="1" applyFont="1" applyBorder="1" applyAlignment="1">
      <alignment horizontal="center" vertical="center"/>
    </xf>
    <xf numFmtId="176" fontId="5" fillId="0" borderId="24" xfId="5" applyNumberFormat="1" applyFont="1" applyBorder="1" applyAlignment="1">
      <alignment horizontal="center" vertical="center"/>
    </xf>
    <xf numFmtId="0" fontId="5" fillId="0" borderId="24" xfId="5" applyFont="1" applyBorder="1" applyAlignment="1">
      <alignment horizontal="center" vertical="center"/>
    </xf>
    <xf numFmtId="49" fontId="5" fillId="0" borderId="46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0" xfId="12" applyFont="1" applyBorder="1" applyAlignment="1">
      <alignment horizontal="left" vertical="center" wrapText="1" shrinkToFit="1"/>
    </xf>
    <xf numFmtId="0" fontId="5" fillId="0" borderId="20" xfId="12" applyFont="1" applyBorder="1" applyAlignment="1">
      <alignment horizontal="left" vertical="center" wrapText="1"/>
    </xf>
    <xf numFmtId="0" fontId="5" fillId="2" borderId="20" xfId="12" applyFont="1" applyFill="1" applyBorder="1" applyAlignment="1">
      <alignment horizontal="center" vertical="center" wrapText="1"/>
    </xf>
    <xf numFmtId="49" fontId="5" fillId="2" borderId="20" xfId="4" applyNumberFormat="1" applyFont="1" applyFill="1" applyBorder="1" applyAlignment="1">
      <alignment horizontal="center" vertical="center" wrapText="1"/>
    </xf>
    <xf numFmtId="0" fontId="5" fillId="0" borderId="23" xfId="12" applyFont="1" applyBorder="1" applyAlignment="1">
      <alignment horizontal="left" vertical="center" wrapText="1" shrinkToFit="1"/>
    </xf>
    <xf numFmtId="0" fontId="5" fillId="0" borderId="23" xfId="12" applyFont="1" applyBorder="1" applyAlignment="1">
      <alignment horizontal="left" vertical="center" wrapText="1"/>
    </xf>
    <xf numFmtId="0" fontId="5" fillId="2" borderId="20" xfId="4" applyFont="1" applyFill="1" applyBorder="1" applyAlignment="1">
      <alignment horizontal="center" vertical="center" wrapText="1"/>
    </xf>
    <xf numFmtId="49" fontId="5" fillId="0" borderId="20" xfId="13" applyNumberFormat="1" applyFont="1" applyBorder="1" applyAlignment="1">
      <alignment horizontal="center" vertical="center" wrapText="1"/>
    </xf>
    <xf numFmtId="181" fontId="22" fillId="0" borderId="20" xfId="15" applyNumberFormat="1" applyFont="1" applyBorder="1" applyAlignment="1">
      <alignment horizontal="center" vertical="center"/>
    </xf>
    <xf numFmtId="0" fontId="22" fillId="0" borderId="21" xfId="15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5" fillId="0" borderId="0" xfId="12" applyFont="1" applyAlignment="1">
      <alignment horizontal="center" vertical="center" shrinkToFit="1"/>
    </xf>
    <xf numFmtId="0" fontId="25" fillId="0" borderId="31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182" fontId="25" fillId="0" borderId="41" xfId="0" applyNumberFormat="1" applyFont="1" applyBorder="1" applyAlignment="1">
      <alignment horizontal="center" vertical="center"/>
    </xf>
    <xf numFmtId="182" fontId="25" fillId="0" borderId="23" xfId="0" applyNumberFormat="1" applyFont="1" applyBorder="1" applyAlignment="1">
      <alignment horizontal="center" vertical="center"/>
    </xf>
    <xf numFmtId="178" fontId="25" fillId="0" borderId="24" xfId="0" applyNumberFormat="1" applyFont="1" applyBorder="1" applyAlignment="1">
      <alignment horizontal="center" vertical="center"/>
    </xf>
    <xf numFmtId="178" fontId="25" fillId="0" borderId="11" xfId="0" applyNumberFormat="1" applyFont="1" applyBorder="1" applyAlignment="1">
      <alignment horizontal="center" vertical="center"/>
    </xf>
    <xf numFmtId="182" fontId="25" fillId="0" borderId="20" xfId="0" applyNumberFormat="1" applyFont="1" applyBorder="1" applyAlignment="1">
      <alignment horizontal="center" vertical="center"/>
    </xf>
    <xf numFmtId="178" fontId="25" fillId="0" borderId="21" xfId="0" applyNumberFormat="1" applyFont="1" applyBorder="1" applyAlignment="1">
      <alignment horizontal="center" vertical="center"/>
    </xf>
    <xf numFmtId="0" fontId="23" fillId="0" borderId="0" xfId="4" applyFont="1" applyAlignment="1">
      <alignment horizontal="center" vertical="center"/>
    </xf>
    <xf numFmtId="0" fontId="5" fillId="0" borderId="0" xfId="12" applyFont="1" applyAlignment="1">
      <alignment vertical="top" wrapText="1"/>
    </xf>
    <xf numFmtId="0" fontId="25" fillId="0" borderId="23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10" xfId="10" applyFont="1" applyBorder="1" applyAlignment="1">
      <alignment horizontal="center" vertical="center" wrapText="1"/>
    </xf>
    <xf numFmtId="0" fontId="5" fillId="0" borderId="0" xfId="7" applyFont="1" applyAlignment="1">
      <alignment horizontal="center" vertical="center" wrapText="1"/>
    </xf>
    <xf numFmtId="49" fontId="5" fillId="2" borderId="0" xfId="12" applyNumberFormat="1" applyFont="1" applyFill="1" applyAlignment="1">
      <alignment horizontal="center" vertical="center" wrapText="1"/>
    </xf>
    <xf numFmtId="0" fontId="23" fillId="0" borderId="0" xfId="4" applyFont="1" applyAlignment="1">
      <alignment horizontal="center" vertical="center" wrapText="1"/>
    </xf>
    <xf numFmtId="0" fontId="5" fillId="0" borderId="0" xfId="12" applyFont="1" applyAlignment="1">
      <alignment horizontal="center" vertical="top" wrapText="1"/>
    </xf>
    <xf numFmtId="182" fontId="5" fillId="0" borderId="11" xfId="4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left" vertical="center" wrapText="1"/>
    </xf>
    <xf numFmtId="49" fontId="5" fillId="0" borderId="17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5" fillId="0" borderId="17" xfId="7" applyFont="1" applyBorder="1" applyAlignment="1">
      <alignment horizontal="left" vertical="center" wrapText="1"/>
    </xf>
    <xf numFmtId="0" fontId="5" fillId="0" borderId="17" xfId="7" applyFont="1" applyBorder="1" applyAlignment="1">
      <alignment horizontal="center" vertical="center" wrapText="1"/>
    </xf>
    <xf numFmtId="49" fontId="5" fillId="0" borderId="17" xfId="4" applyNumberFormat="1" applyFont="1" applyBorder="1" applyAlignment="1">
      <alignment horizontal="center" vertical="center" wrapText="1"/>
    </xf>
    <xf numFmtId="182" fontId="5" fillId="0" borderId="17" xfId="0" applyNumberFormat="1" applyFont="1" applyBorder="1" applyAlignment="1">
      <alignment horizontal="center" vertical="center"/>
    </xf>
    <xf numFmtId="49" fontId="25" fillId="0" borderId="20" xfId="4" applyNumberFormat="1" applyFont="1" applyBorder="1" applyAlignment="1" applyProtection="1">
      <alignment horizontal="center" vertical="center" wrapText="1"/>
      <protection locked="0"/>
    </xf>
    <xf numFmtId="177" fontId="25" fillId="0" borderId="41" xfId="4" applyNumberFormat="1" applyFont="1" applyBorder="1" applyAlignment="1">
      <alignment horizontal="center" vertical="center"/>
    </xf>
    <xf numFmtId="177" fontId="5" fillId="0" borderId="23" xfId="4" applyNumberFormat="1" applyFont="1" applyBorder="1" applyAlignment="1">
      <alignment horizontal="center" vertical="center"/>
    </xf>
    <xf numFmtId="177" fontId="25" fillId="0" borderId="42" xfId="4" applyNumberFormat="1" applyFont="1" applyBorder="1" applyAlignment="1">
      <alignment horizontal="center" vertical="center"/>
    </xf>
    <xf numFmtId="177" fontId="5" fillId="0" borderId="10" xfId="4" applyNumberFormat="1" applyFont="1" applyBorder="1" applyAlignment="1">
      <alignment horizontal="center" vertical="center"/>
    </xf>
    <xf numFmtId="177" fontId="25" fillId="0" borderId="34" xfId="4" applyNumberFormat="1" applyFont="1" applyBorder="1" applyAlignment="1">
      <alignment horizontal="center" vertical="center"/>
    </xf>
    <xf numFmtId="177" fontId="5" fillId="0" borderId="20" xfId="4" applyNumberFormat="1" applyFont="1" applyBorder="1" applyAlignment="1">
      <alignment horizontal="center" vertical="center"/>
    </xf>
    <xf numFmtId="182" fontId="5" fillId="0" borderId="23" xfId="0" applyNumberFormat="1" applyFont="1" applyBorder="1" applyAlignment="1">
      <alignment horizontal="center" vertical="center" wrapText="1"/>
    </xf>
    <xf numFmtId="14" fontId="25" fillId="0" borderId="17" xfId="0" applyNumberFormat="1" applyFont="1" applyBorder="1" applyAlignment="1">
      <alignment horizontal="center" vertical="center"/>
    </xf>
    <xf numFmtId="0" fontId="5" fillId="0" borderId="18" xfId="4" applyFont="1" applyBorder="1" applyAlignment="1">
      <alignment horizontal="center" vertical="center"/>
    </xf>
    <xf numFmtId="182" fontId="5" fillId="0" borderId="18" xfId="0" applyNumberFormat="1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182" fontId="22" fillId="0" borderId="9" xfId="15" applyNumberFormat="1" applyFont="1" applyBorder="1" applyAlignment="1">
      <alignment horizontal="center" vertical="center" wrapText="1"/>
    </xf>
    <xf numFmtId="182" fontId="25" fillId="0" borderId="47" xfId="0" applyNumberFormat="1" applyFont="1" applyBorder="1" applyAlignment="1">
      <alignment horizontal="center" vertical="center"/>
    </xf>
    <xf numFmtId="0" fontId="5" fillId="0" borderId="14" xfId="4" applyFont="1" applyBorder="1" applyAlignment="1">
      <alignment horizontal="left" vertical="center" wrapText="1"/>
    </xf>
    <xf numFmtId="0" fontId="5" fillId="0" borderId="14" xfId="4" applyFont="1" applyBorder="1" applyAlignment="1">
      <alignment horizontal="center" vertical="center" wrapText="1"/>
    </xf>
    <xf numFmtId="14" fontId="25" fillId="0" borderId="14" xfId="0" applyNumberFormat="1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49" fontId="5" fillId="0" borderId="14" xfId="4" applyNumberFormat="1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82" fontId="25" fillId="0" borderId="51" xfId="0" applyNumberFormat="1" applyFont="1" applyBorder="1" applyAlignment="1">
      <alignment horizontal="center" vertical="center"/>
    </xf>
    <xf numFmtId="182" fontId="25" fillId="0" borderId="14" xfId="0" applyNumberFormat="1" applyFont="1" applyBorder="1" applyAlignment="1">
      <alignment horizontal="center" vertical="center"/>
    </xf>
    <xf numFmtId="178" fontId="25" fillId="0" borderId="15" xfId="0" applyNumberFormat="1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 wrapText="1"/>
    </xf>
    <xf numFmtId="0" fontId="22" fillId="0" borderId="51" xfId="15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/>
    </xf>
    <xf numFmtId="0" fontId="5" fillId="0" borderId="52" xfId="4" applyFont="1" applyBorder="1" applyAlignment="1">
      <alignment horizontal="center" vertical="center"/>
    </xf>
    <xf numFmtId="49" fontId="5" fillId="0" borderId="14" xfId="4" applyNumberFormat="1" applyFont="1" applyBorder="1" applyAlignment="1">
      <alignment horizontal="center" vertical="center" wrapText="1"/>
    </xf>
    <xf numFmtId="0" fontId="5" fillId="0" borderId="14" xfId="12" applyFont="1" applyBorder="1" applyAlignment="1">
      <alignment horizontal="left" vertical="center" wrapText="1" shrinkToFit="1"/>
    </xf>
    <xf numFmtId="0" fontId="5" fillId="0" borderId="14" xfId="12" applyFont="1" applyBorder="1" applyAlignment="1">
      <alignment horizontal="left" vertical="center" wrapText="1"/>
    </xf>
    <xf numFmtId="0" fontId="5" fillId="0" borderId="51" xfId="0" applyFont="1" applyBorder="1" applyAlignment="1">
      <alignment horizontal="center" vertical="center"/>
    </xf>
    <xf numFmtId="0" fontId="5" fillId="0" borderId="46" xfId="0" applyFont="1" applyBorder="1" applyAlignment="1">
      <alignment horizontal="left" vertical="center" shrinkToFit="1"/>
    </xf>
    <xf numFmtId="182" fontId="5" fillId="0" borderId="26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82" fontId="25" fillId="0" borderId="26" xfId="0" applyNumberFormat="1" applyFont="1" applyBorder="1" applyAlignment="1">
      <alignment horizontal="center" vertical="center"/>
    </xf>
    <xf numFmtId="182" fontId="25" fillId="0" borderId="27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 wrapText="1"/>
    </xf>
    <xf numFmtId="14" fontId="5" fillId="0" borderId="10" xfId="13" applyNumberFormat="1" applyFont="1" applyBorder="1" applyAlignment="1">
      <alignment horizontal="center" vertical="center" wrapText="1"/>
    </xf>
    <xf numFmtId="182" fontId="5" fillId="0" borderId="41" xfId="5" applyNumberFormat="1" applyFont="1" applyBorder="1" applyAlignment="1">
      <alignment horizontal="center" vertical="center"/>
    </xf>
    <xf numFmtId="182" fontId="5" fillId="0" borderId="42" xfId="5" applyNumberFormat="1" applyFont="1" applyBorder="1" applyAlignment="1">
      <alignment horizontal="center" vertical="center"/>
    </xf>
    <xf numFmtId="182" fontId="5" fillId="0" borderId="34" xfId="5" applyNumberFormat="1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182" fontId="25" fillId="3" borderId="42" xfId="0" applyNumberFormat="1" applyFont="1" applyFill="1" applyBorder="1" applyAlignment="1">
      <alignment horizontal="center" vertical="center"/>
    </xf>
    <xf numFmtId="1" fontId="25" fillId="0" borderId="24" xfId="0" applyNumberFormat="1" applyFont="1" applyBorder="1" applyAlignment="1">
      <alignment horizontal="center" vertical="center"/>
    </xf>
    <xf numFmtId="1" fontId="25" fillId="0" borderId="11" xfId="0" applyNumberFormat="1" applyFont="1" applyBorder="1" applyAlignment="1">
      <alignment horizontal="center" vertical="center"/>
    </xf>
    <xf numFmtId="1" fontId="25" fillId="3" borderId="11" xfId="0" applyNumberFormat="1" applyFont="1" applyFill="1" applyBorder="1" applyAlignment="1">
      <alignment horizontal="center" vertical="center"/>
    </xf>
    <xf numFmtId="1" fontId="25" fillId="0" borderId="11" xfId="0" applyNumberFormat="1" applyFont="1" applyBorder="1" applyAlignment="1">
      <alignment horizontal="center" vertical="center" wrapText="1"/>
    </xf>
    <xf numFmtId="1" fontId="25" fillId="0" borderId="21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1" fontId="22" fillId="0" borderId="16" xfId="15" applyNumberFormat="1" applyFont="1" applyBorder="1" applyAlignment="1">
      <alignment horizontal="center" vertical="center" wrapText="1"/>
    </xf>
    <xf numFmtId="1" fontId="22" fillId="0" borderId="9" xfId="15" applyNumberFormat="1" applyFont="1" applyBorder="1" applyAlignment="1">
      <alignment horizontal="center" vertical="center" wrapText="1"/>
    </xf>
    <xf numFmtId="182" fontId="5" fillId="0" borderId="9" xfId="0" applyNumberFormat="1" applyFont="1" applyBorder="1" applyAlignment="1">
      <alignment horizontal="center" vertical="center"/>
    </xf>
    <xf numFmtId="182" fontId="22" fillId="0" borderId="19" xfId="15" applyNumberFormat="1" applyFont="1" applyBorder="1" applyAlignment="1">
      <alignment horizontal="center" vertical="center" wrapText="1"/>
    </xf>
    <xf numFmtId="182" fontId="5" fillId="0" borderId="9" xfId="4" applyNumberFormat="1" applyFont="1" applyBorder="1" applyAlignment="1">
      <alignment horizontal="center" vertical="center"/>
    </xf>
    <xf numFmtId="182" fontId="25" fillId="0" borderId="9" xfId="0" applyNumberFormat="1" applyFont="1" applyBorder="1" applyAlignment="1">
      <alignment horizontal="center" vertical="center"/>
    </xf>
    <xf numFmtId="182" fontId="25" fillId="0" borderId="13" xfId="0" applyNumberFormat="1" applyFont="1" applyBorder="1" applyAlignment="1">
      <alignment horizontal="center" vertical="center"/>
    </xf>
    <xf numFmtId="182" fontId="25" fillId="0" borderId="19" xfId="0" applyNumberFormat="1" applyFont="1" applyBorder="1" applyAlignment="1">
      <alignment horizontal="center" vertical="center"/>
    </xf>
    <xf numFmtId="182" fontId="5" fillId="0" borderId="22" xfId="4" applyNumberFormat="1" applyFont="1" applyBorder="1" applyAlignment="1">
      <alignment horizontal="center" vertical="center"/>
    </xf>
    <xf numFmtId="0" fontId="22" fillId="0" borderId="19" xfId="15" applyFont="1" applyBorder="1" applyAlignment="1">
      <alignment horizontal="center" vertical="center" wrapText="1"/>
    </xf>
    <xf numFmtId="182" fontId="25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0" xfId="0" applyFont="1">
      <alignment vertical="center"/>
    </xf>
    <xf numFmtId="182" fontId="5" fillId="0" borderId="11" xfId="0" applyNumberFormat="1" applyFont="1" applyBorder="1" applyAlignment="1">
      <alignment horizontal="left" vertical="center"/>
    </xf>
    <xf numFmtId="49" fontId="5" fillId="0" borderId="13" xfId="0" applyNumberFormat="1" applyFont="1" applyBorder="1" applyAlignment="1">
      <alignment horizontal="left" vertical="center"/>
    </xf>
    <xf numFmtId="182" fontId="5" fillId="0" borderId="15" xfId="0" applyNumberFormat="1" applyFont="1" applyBorder="1" applyAlignment="1">
      <alignment horizontal="left" vertical="center"/>
    </xf>
    <xf numFmtId="177" fontId="5" fillId="0" borderId="10" xfId="0" applyNumberFormat="1" applyFont="1" applyBorder="1" applyAlignment="1">
      <alignment horizontal="left" vertical="center"/>
    </xf>
    <xf numFmtId="177" fontId="5" fillId="0" borderId="9" xfId="0" applyNumberFormat="1" applyFont="1" applyBorder="1" applyAlignment="1">
      <alignment horizontal="left" vertical="center"/>
    </xf>
    <xf numFmtId="177" fontId="5" fillId="0" borderId="23" xfId="0" applyNumberFormat="1" applyFont="1" applyBorder="1" applyAlignment="1">
      <alignment horizontal="left" vertical="center"/>
    </xf>
    <xf numFmtId="182" fontId="5" fillId="0" borderId="24" xfId="0" applyNumberFormat="1" applyFont="1" applyBorder="1" applyAlignment="1">
      <alignment horizontal="left" vertical="center"/>
    </xf>
    <xf numFmtId="177" fontId="5" fillId="0" borderId="22" xfId="0" applyNumberFormat="1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 wrapText="1"/>
    </xf>
    <xf numFmtId="177" fontId="5" fillId="0" borderId="20" xfId="0" applyNumberFormat="1" applyFont="1" applyBorder="1" applyAlignment="1">
      <alignment horizontal="left" vertical="center"/>
    </xf>
    <xf numFmtId="177" fontId="5" fillId="0" borderId="19" xfId="0" applyNumberFormat="1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 wrapText="1"/>
    </xf>
    <xf numFmtId="0" fontId="27" fillId="0" borderId="16" xfId="0" applyFont="1" applyBorder="1" applyAlignment="1">
      <alignment horizontal="left" vertical="center"/>
    </xf>
    <xf numFmtId="0" fontId="27" fillId="0" borderId="17" xfId="0" applyFont="1" applyBorder="1" applyAlignment="1">
      <alignment horizontal="left" vertical="center"/>
    </xf>
    <xf numFmtId="182" fontId="27" fillId="0" borderId="18" xfId="0" applyNumberFormat="1" applyFont="1" applyBorder="1" applyAlignment="1">
      <alignment horizontal="left" vertical="center"/>
    </xf>
    <xf numFmtId="176" fontId="27" fillId="0" borderId="17" xfId="0" applyNumberFormat="1" applyFont="1" applyBorder="1" applyAlignment="1">
      <alignment horizontal="left" vertical="center"/>
    </xf>
    <xf numFmtId="0" fontId="27" fillId="0" borderId="9" xfId="0" applyFont="1" applyBorder="1" applyAlignment="1">
      <alignment horizontal="left" vertical="center"/>
    </xf>
    <xf numFmtId="0" fontId="27" fillId="0" borderId="10" xfId="0" applyFont="1" applyBorder="1" applyAlignment="1">
      <alignment horizontal="left" vertical="center"/>
    </xf>
    <xf numFmtId="182" fontId="27" fillId="0" borderId="11" xfId="0" applyNumberFormat="1" applyFont="1" applyBorder="1" applyAlignment="1">
      <alignment horizontal="left" vertical="center"/>
    </xf>
    <xf numFmtId="176" fontId="27" fillId="0" borderId="10" xfId="0" applyNumberFormat="1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182" fontId="27" fillId="0" borderId="15" xfId="0" applyNumberFormat="1" applyFont="1" applyBorder="1" applyAlignment="1">
      <alignment horizontal="left" vertical="center"/>
    </xf>
    <xf numFmtId="176" fontId="27" fillId="0" borderId="14" xfId="0" applyNumberFormat="1" applyFont="1" applyBorder="1" applyAlignment="1">
      <alignment horizontal="left" vertical="center"/>
    </xf>
    <xf numFmtId="176" fontId="5" fillId="0" borderId="14" xfId="0" applyNumberFormat="1" applyFont="1" applyBorder="1" applyAlignment="1">
      <alignment horizontal="center" vertical="center" wrapText="1"/>
    </xf>
    <xf numFmtId="176" fontId="5" fillId="0" borderId="14" xfId="0" applyNumberFormat="1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/>
    </xf>
    <xf numFmtId="49" fontId="28" fillId="0" borderId="11" xfId="0" applyNumberFormat="1" applyFont="1" applyBorder="1" applyAlignment="1">
      <alignment horizontal="left" vertical="center" wrapText="1"/>
    </xf>
    <xf numFmtId="176" fontId="28" fillId="0" borderId="22" xfId="0" applyNumberFormat="1" applyFont="1" applyBorder="1" applyAlignment="1">
      <alignment horizontal="left" vertical="center" wrapText="1"/>
    </xf>
    <xf numFmtId="49" fontId="5" fillId="0" borderId="14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/>
    </xf>
    <xf numFmtId="0" fontId="27" fillId="0" borderId="23" xfId="0" applyFont="1" applyBorder="1" applyAlignment="1">
      <alignment horizontal="left" vertical="center"/>
    </xf>
    <xf numFmtId="182" fontId="27" fillId="0" borderId="24" xfId="0" applyNumberFormat="1" applyFont="1" applyBorder="1" applyAlignment="1">
      <alignment horizontal="left" vertical="center"/>
    </xf>
    <xf numFmtId="176" fontId="27" fillId="0" borderId="23" xfId="0" applyNumberFormat="1" applyFont="1" applyBorder="1" applyAlignment="1">
      <alignment horizontal="left" vertical="center"/>
    </xf>
    <xf numFmtId="0" fontId="29" fillId="0" borderId="9" xfId="0" applyFont="1" applyBorder="1" applyAlignment="1">
      <alignment horizontal="left" vertical="center"/>
    </xf>
    <xf numFmtId="0" fontId="29" fillId="0" borderId="10" xfId="0" applyFont="1" applyBorder="1" applyAlignment="1">
      <alignment horizontal="left" vertical="center"/>
    </xf>
    <xf numFmtId="182" fontId="29" fillId="0" borderId="11" xfId="0" applyNumberFormat="1" applyFont="1" applyBorder="1" applyAlignment="1">
      <alignment horizontal="left" vertical="center"/>
    </xf>
    <xf numFmtId="176" fontId="29" fillId="0" borderId="10" xfId="0" applyNumberFormat="1" applyFont="1" applyBorder="1" applyAlignment="1">
      <alignment horizontal="left" vertical="center"/>
    </xf>
    <xf numFmtId="176" fontId="28" fillId="0" borderId="9" xfId="0" applyNumberFormat="1" applyFont="1" applyBorder="1" applyAlignment="1">
      <alignment horizontal="left" vertical="center" wrapText="1"/>
    </xf>
    <xf numFmtId="176" fontId="28" fillId="0" borderId="10" xfId="0" applyNumberFormat="1" applyFont="1" applyBorder="1" applyAlignment="1">
      <alignment horizontal="left" vertical="center" wrapText="1"/>
    </xf>
    <xf numFmtId="176" fontId="28" fillId="0" borderId="10" xfId="0" applyNumberFormat="1" applyFont="1" applyBorder="1" applyAlignment="1">
      <alignment horizontal="left" vertical="center"/>
    </xf>
    <xf numFmtId="49" fontId="28" fillId="0" borderId="11" xfId="0" applyNumberFormat="1" applyFont="1" applyBorder="1" applyAlignment="1">
      <alignment horizontal="left" vertical="center"/>
    </xf>
    <xf numFmtId="49" fontId="5" fillId="0" borderId="36" xfId="0" applyNumberFormat="1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left" vertical="center"/>
    </xf>
    <xf numFmtId="49" fontId="5" fillId="0" borderId="37" xfId="0" applyNumberFormat="1" applyFont="1" applyBorder="1" applyAlignment="1">
      <alignment horizontal="left" vertical="center"/>
    </xf>
    <xf numFmtId="0" fontId="5" fillId="0" borderId="37" xfId="0" applyFont="1" applyBorder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0" fontId="27" fillId="0" borderId="35" xfId="0" applyFont="1" applyBorder="1" applyAlignment="1">
      <alignment horizontal="left" vertical="center"/>
    </xf>
    <xf numFmtId="0" fontId="27" fillId="0" borderId="37" xfId="0" applyFont="1" applyBorder="1" applyAlignment="1">
      <alignment horizontal="left" vertical="center"/>
    </xf>
    <xf numFmtId="182" fontId="27" fillId="0" borderId="38" xfId="0" applyNumberFormat="1" applyFont="1" applyBorder="1" applyAlignment="1">
      <alignment horizontal="left" vertical="center"/>
    </xf>
    <xf numFmtId="176" fontId="27" fillId="0" borderId="37" xfId="0" applyNumberFormat="1" applyFont="1" applyBorder="1" applyAlignment="1">
      <alignment horizontal="left" vertical="center"/>
    </xf>
    <xf numFmtId="176" fontId="5" fillId="0" borderId="35" xfId="0" applyNumberFormat="1" applyFont="1" applyBorder="1" applyAlignment="1">
      <alignment horizontal="left" vertical="center" wrapText="1"/>
    </xf>
    <xf numFmtId="176" fontId="5" fillId="0" borderId="37" xfId="0" applyNumberFormat="1" applyFont="1" applyBorder="1" applyAlignment="1">
      <alignment horizontal="left" vertical="center" wrapText="1"/>
    </xf>
    <xf numFmtId="176" fontId="5" fillId="0" borderId="37" xfId="0" applyNumberFormat="1" applyFont="1" applyBorder="1" applyAlignment="1">
      <alignment horizontal="left" vertical="center"/>
    </xf>
    <xf numFmtId="49" fontId="5" fillId="0" borderId="38" xfId="0" applyNumberFormat="1" applyFont="1" applyBorder="1" applyAlignment="1">
      <alignment horizontal="left" vertical="center"/>
    </xf>
    <xf numFmtId="182" fontId="27" fillId="0" borderId="26" xfId="0" applyNumberFormat="1" applyFont="1" applyBorder="1" applyAlignment="1">
      <alignment horizontal="left" vertical="center"/>
    </xf>
    <xf numFmtId="182" fontId="27" fillId="0" borderId="54" xfId="0" applyNumberFormat="1" applyFont="1" applyBorder="1" applyAlignment="1">
      <alignment horizontal="left" vertical="center"/>
    </xf>
    <xf numFmtId="0" fontId="27" fillId="0" borderId="19" xfId="0" applyFont="1" applyBorder="1" applyAlignment="1">
      <alignment horizontal="left" vertical="center"/>
    </xf>
    <xf numFmtId="0" fontId="27" fillId="0" borderId="20" xfId="0" applyFont="1" applyBorder="1" applyAlignment="1">
      <alignment horizontal="left" vertical="center"/>
    </xf>
    <xf numFmtId="182" fontId="27" fillId="0" borderId="21" xfId="0" applyNumberFormat="1" applyFont="1" applyBorder="1" applyAlignment="1">
      <alignment horizontal="left" vertical="center"/>
    </xf>
    <xf numFmtId="0" fontId="27" fillId="0" borderId="34" xfId="0" applyFont="1" applyBorder="1" applyAlignment="1">
      <alignment horizontal="left" vertical="center"/>
    </xf>
    <xf numFmtId="176" fontId="27" fillId="0" borderId="20" xfId="0" applyNumberFormat="1" applyFont="1" applyBorder="1" applyAlignment="1">
      <alignment horizontal="left" vertical="center"/>
    </xf>
    <xf numFmtId="182" fontId="27" fillId="0" borderId="27" xfId="0" applyNumberFormat="1" applyFont="1" applyBorder="1" applyAlignment="1">
      <alignment horizontal="left" vertical="center"/>
    </xf>
    <xf numFmtId="0" fontId="25" fillId="0" borderId="9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left" vertical="center"/>
    </xf>
    <xf numFmtId="49" fontId="25" fillId="0" borderId="10" xfId="0" applyNumberFormat="1" applyFont="1" applyBorder="1" applyAlignment="1">
      <alignment horizontal="left" vertical="center"/>
    </xf>
    <xf numFmtId="0" fontId="30" fillId="0" borderId="9" xfId="0" applyFont="1" applyBorder="1" applyAlignment="1">
      <alignment horizontal="left" vertical="center"/>
    </xf>
    <xf numFmtId="0" fontId="30" fillId="0" borderId="10" xfId="0" applyFont="1" applyBorder="1" applyAlignment="1">
      <alignment horizontal="left" vertical="center"/>
    </xf>
    <xf numFmtId="182" fontId="30" fillId="0" borderId="11" xfId="0" applyNumberFormat="1" applyFont="1" applyBorder="1" applyAlignment="1">
      <alignment horizontal="left" vertical="center"/>
    </xf>
    <xf numFmtId="0" fontId="25" fillId="0" borderId="10" xfId="0" applyFont="1" applyBorder="1" applyAlignment="1">
      <alignment horizontal="left" vertical="center" wrapText="1"/>
    </xf>
    <xf numFmtId="49" fontId="25" fillId="0" borderId="11" xfId="0" applyNumberFormat="1" applyFont="1" applyBorder="1" applyAlignment="1">
      <alignment horizontal="left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3" xfId="0" applyFont="1" applyBorder="1" applyAlignment="1">
      <alignment horizontal="left" vertical="center"/>
    </xf>
    <xf numFmtId="49" fontId="25" fillId="0" borderId="23" xfId="0" applyNumberFormat="1" applyFont="1" applyBorder="1" applyAlignment="1">
      <alignment horizontal="left" vertical="center"/>
    </xf>
    <xf numFmtId="0" fontId="28" fillId="0" borderId="12" xfId="0" applyFont="1" applyBorder="1">
      <alignment vertical="center"/>
    </xf>
    <xf numFmtId="0" fontId="32" fillId="0" borderId="22" xfId="0" applyFont="1" applyBorder="1" applyAlignment="1">
      <alignment horizontal="left" vertical="center"/>
    </xf>
    <xf numFmtId="0" fontId="32" fillId="0" borderId="23" xfId="0" applyFont="1" applyBorder="1" applyAlignment="1">
      <alignment horizontal="left" vertical="center"/>
    </xf>
    <xf numFmtId="182" fontId="32" fillId="0" borderId="24" xfId="0" applyNumberFormat="1" applyFont="1" applyBorder="1" applyAlignment="1">
      <alignment horizontal="left" vertical="center"/>
    </xf>
    <xf numFmtId="0" fontId="31" fillId="0" borderId="22" xfId="0" applyFont="1" applyBorder="1" applyAlignment="1">
      <alignment horizontal="left" vertical="center" wrapText="1"/>
    </xf>
    <xf numFmtId="0" fontId="31" fillId="0" borderId="23" xfId="0" applyFont="1" applyBorder="1" applyAlignment="1">
      <alignment horizontal="left" vertical="center" wrapText="1"/>
    </xf>
    <xf numFmtId="49" fontId="31" fillId="0" borderId="23" xfId="0" applyNumberFormat="1" applyFont="1" applyBorder="1" applyAlignment="1">
      <alignment horizontal="left" vertical="center"/>
    </xf>
    <xf numFmtId="49" fontId="31" fillId="0" borderId="24" xfId="0" applyNumberFormat="1" applyFont="1" applyBorder="1" applyAlignment="1">
      <alignment horizontal="left" vertical="center"/>
    </xf>
    <xf numFmtId="0" fontId="5" fillId="0" borderId="12" xfId="0" applyFont="1" applyBorder="1">
      <alignment vertical="center"/>
    </xf>
    <xf numFmtId="0" fontId="30" fillId="0" borderId="22" xfId="0" applyFont="1" applyBorder="1" applyAlignment="1">
      <alignment horizontal="left" vertical="center"/>
    </xf>
    <xf numFmtId="0" fontId="30" fillId="0" borderId="23" xfId="0" applyFont="1" applyBorder="1" applyAlignment="1">
      <alignment horizontal="left" vertical="center"/>
    </xf>
    <xf numFmtId="182" fontId="30" fillId="0" borderId="24" xfId="0" applyNumberFormat="1" applyFont="1" applyBorder="1" applyAlignment="1">
      <alignment horizontal="left" vertical="center"/>
    </xf>
    <xf numFmtId="0" fontId="25" fillId="0" borderId="23" xfId="0" applyFont="1" applyBorder="1" applyAlignment="1">
      <alignment horizontal="left" vertical="center" wrapText="1"/>
    </xf>
    <xf numFmtId="49" fontId="25" fillId="0" borderId="24" xfId="0" applyNumberFormat="1" applyFont="1" applyBorder="1" applyAlignment="1">
      <alignment horizontal="left" vertical="center"/>
    </xf>
    <xf numFmtId="0" fontId="5" fillId="0" borderId="25" xfId="0" applyFont="1" applyBorder="1">
      <alignment vertical="center"/>
    </xf>
    <xf numFmtId="176" fontId="5" fillId="0" borderId="11" xfId="0" applyNumberFormat="1" applyFont="1" applyBorder="1" applyAlignment="1">
      <alignment horizontal="left" vertical="center"/>
    </xf>
    <xf numFmtId="176" fontId="5" fillId="0" borderId="15" xfId="0" applyNumberFormat="1" applyFont="1" applyBorder="1" applyAlignment="1">
      <alignment horizontal="left" vertical="center"/>
    </xf>
    <xf numFmtId="49" fontId="5" fillId="0" borderId="14" xfId="0" applyNumberFormat="1" applyFont="1" applyBorder="1" applyAlignment="1">
      <alignment horizontal="left" vertical="center" wrapText="1"/>
    </xf>
    <xf numFmtId="49" fontId="5" fillId="0" borderId="27" xfId="0" applyNumberFormat="1" applyFont="1" applyBorder="1" applyAlignment="1">
      <alignment horizontal="left" vertical="center" wrapText="1"/>
    </xf>
    <xf numFmtId="0" fontId="5" fillId="0" borderId="23" xfId="11" applyFont="1" applyBorder="1" applyAlignment="1">
      <alignment horizontal="center" vertical="center"/>
    </xf>
    <xf numFmtId="0" fontId="5" fillId="0" borderId="23" xfId="11" applyFont="1" applyBorder="1" applyAlignment="1">
      <alignment horizontal="left" vertical="top" wrapText="1"/>
    </xf>
    <xf numFmtId="176" fontId="4" fillId="0" borderId="23" xfId="0" applyNumberFormat="1" applyFont="1" applyBorder="1" applyAlignment="1">
      <alignment horizontal="left" vertical="center" wrapText="1"/>
    </xf>
    <xf numFmtId="0" fontId="5" fillId="0" borderId="14" xfId="11" applyFont="1" applyBorder="1" applyAlignment="1">
      <alignment horizontal="center" vertical="center"/>
    </xf>
    <xf numFmtId="0" fontId="5" fillId="0" borderId="14" xfId="11" applyFont="1" applyBorder="1" applyAlignment="1">
      <alignment horizontal="left" vertical="top" wrapText="1"/>
    </xf>
    <xf numFmtId="176" fontId="4" fillId="0" borderId="14" xfId="0" applyNumberFormat="1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5" fillId="0" borderId="22" xfId="9" applyFont="1" applyBorder="1" applyAlignment="1">
      <alignment horizontal="left" vertical="center"/>
    </xf>
    <xf numFmtId="0" fontId="5" fillId="0" borderId="23" xfId="9" applyFont="1" applyBorder="1" applyAlignment="1">
      <alignment horizontal="left" vertical="center"/>
    </xf>
    <xf numFmtId="0" fontId="5" fillId="0" borderId="9" xfId="9" applyFont="1" applyBorder="1" applyAlignment="1">
      <alignment horizontal="left" vertical="center"/>
    </xf>
    <xf numFmtId="0" fontId="26" fillId="0" borderId="0" xfId="0" applyFont="1">
      <alignment vertical="center"/>
    </xf>
    <xf numFmtId="0" fontId="5" fillId="0" borderId="17" xfId="12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left" vertical="center"/>
    </xf>
    <xf numFmtId="0" fontId="28" fillId="0" borderId="14" xfId="0" applyFont="1" applyBorder="1" applyAlignment="1">
      <alignment horizontal="center" vertical="center"/>
    </xf>
    <xf numFmtId="49" fontId="28" fillId="0" borderId="15" xfId="0" applyNumberFormat="1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176" fontId="28" fillId="0" borderId="13" xfId="0" applyNumberFormat="1" applyFont="1" applyBorder="1" applyAlignment="1">
      <alignment horizontal="left" vertical="center" wrapText="1"/>
    </xf>
    <xf numFmtId="49" fontId="28" fillId="0" borderId="14" xfId="0" applyNumberFormat="1" applyFont="1" applyBorder="1" applyAlignment="1">
      <alignment horizontal="left" vertical="center" wrapText="1"/>
    </xf>
    <xf numFmtId="49" fontId="28" fillId="0" borderId="15" xfId="0" applyNumberFormat="1" applyFont="1" applyBorder="1" applyAlignment="1">
      <alignment horizontal="left" vertical="center"/>
    </xf>
    <xf numFmtId="49" fontId="5" fillId="0" borderId="20" xfId="0" applyNumberFormat="1" applyFont="1" applyBorder="1" applyAlignment="1">
      <alignment horizontal="left" vertical="center" wrapText="1"/>
    </xf>
    <xf numFmtId="0" fontId="5" fillId="0" borderId="0" xfId="0" quotePrefix="1" applyFont="1">
      <alignment vertical="center"/>
    </xf>
    <xf numFmtId="49" fontId="5" fillId="0" borderId="0" xfId="0" applyNumberFormat="1" applyFont="1">
      <alignment vertical="center"/>
    </xf>
    <xf numFmtId="0" fontId="5" fillId="0" borderId="21" xfId="0" quotePrefix="1" applyFont="1" applyBorder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center" vertical="center" wrapText="1"/>
    </xf>
    <xf numFmtId="176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10" fillId="0" borderId="0" xfId="0" applyFont="1">
      <alignment vertical="center"/>
    </xf>
    <xf numFmtId="178" fontId="5" fillId="0" borderId="11" xfId="0" applyNumberFormat="1" applyFont="1" applyBorder="1" applyAlignment="1">
      <alignment horizontal="left" vertical="center"/>
    </xf>
    <xf numFmtId="178" fontId="5" fillId="0" borderId="24" xfId="0" applyNumberFormat="1" applyFont="1" applyBorder="1" applyAlignment="1">
      <alignment horizontal="left" vertical="center"/>
    </xf>
    <xf numFmtId="178" fontId="5" fillId="0" borderId="21" xfId="0" applyNumberFormat="1" applyFont="1" applyBorder="1" applyAlignment="1">
      <alignment horizontal="left" vertical="center"/>
    </xf>
    <xf numFmtId="180" fontId="5" fillId="0" borderId="18" xfId="0" applyNumberFormat="1" applyFont="1" applyBorder="1" applyAlignment="1">
      <alignment horizontal="left" vertical="center"/>
    </xf>
    <xf numFmtId="2" fontId="5" fillId="0" borderId="18" xfId="0" applyNumberFormat="1" applyFont="1" applyBorder="1" applyAlignment="1">
      <alignment horizontal="left" vertical="center" wrapText="1"/>
    </xf>
    <xf numFmtId="180" fontId="5" fillId="0" borderId="11" xfId="0" applyNumberFormat="1" applyFont="1" applyBorder="1" applyAlignment="1">
      <alignment horizontal="left" vertical="center"/>
    </xf>
    <xf numFmtId="2" fontId="5" fillId="0" borderId="11" xfId="0" applyNumberFormat="1" applyFont="1" applyBorder="1" applyAlignment="1">
      <alignment horizontal="left" vertical="center" wrapText="1"/>
    </xf>
    <xf numFmtId="180" fontId="5" fillId="0" borderId="24" xfId="0" applyNumberFormat="1" applyFont="1" applyBorder="1" applyAlignment="1">
      <alignment horizontal="left" vertical="center"/>
    </xf>
    <xf numFmtId="2" fontId="5" fillId="0" borderId="24" xfId="0" applyNumberFormat="1" applyFont="1" applyBorder="1" applyAlignment="1">
      <alignment horizontal="left" vertical="center" wrapText="1"/>
    </xf>
    <xf numFmtId="180" fontId="5" fillId="0" borderId="21" xfId="0" applyNumberFormat="1" applyFont="1" applyBorder="1" applyAlignment="1">
      <alignment horizontal="left" vertical="center"/>
    </xf>
    <xf numFmtId="2" fontId="5" fillId="0" borderId="21" xfId="0" applyNumberFormat="1" applyFont="1" applyBorder="1" applyAlignment="1">
      <alignment horizontal="left" vertical="center" wrapText="1"/>
    </xf>
    <xf numFmtId="0" fontId="5" fillId="0" borderId="24" xfId="9" applyFont="1" applyBorder="1" applyAlignment="1">
      <alignment horizontal="left" vertical="center"/>
    </xf>
    <xf numFmtId="179" fontId="28" fillId="0" borderId="15" xfId="0" applyNumberFormat="1" applyFont="1" applyBorder="1" applyAlignment="1">
      <alignment horizontal="left" vertical="center"/>
    </xf>
    <xf numFmtId="178" fontId="28" fillId="0" borderId="15" xfId="0" applyNumberFormat="1" applyFont="1" applyBorder="1" applyAlignment="1">
      <alignment horizontal="left" vertical="center"/>
    </xf>
    <xf numFmtId="178" fontId="5" fillId="0" borderId="15" xfId="0" applyNumberFormat="1" applyFont="1" applyBorder="1" applyAlignment="1">
      <alignment horizontal="left" vertical="center"/>
    </xf>
    <xf numFmtId="179" fontId="5" fillId="0" borderId="21" xfId="0" applyNumberFormat="1" applyFont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5" fillId="2" borderId="25" xfId="0" applyFont="1" applyFill="1" applyBorder="1">
      <alignment vertical="center"/>
    </xf>
    <xf numFmtId="49" fontId="5" fillId="0" borderId="26" xfId="0" applyNumberFormat="1" applyFont="1" applyBorder="1" applyAlignment="1">
      <alignment horizontal="left" vertical="center"/>
    </xf>
    <xf numFmtId="0" fontId="27" fillId="0" borderId="42" xfId="0" applyFont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center"/>
    </xf>
    <xf numFmtId="49" fontId="5" fillId="2" borderId="26" xfId="0" applyNumberFormat="1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center" vertical="center"/>
    </xf>
    <xf numFmtId="49" fontId="5" fillId="2" borderId="27" xfId="0" applyNumberFormat="1" applyFont="1" applyFill="1" applyBorder="1" applyAlignment="1">
      <alignment horizontal="left" vertical="center"/>
    </xf>
    <xf numFmtId="176" fontId="33" fillId="0" borderId="40" xfId="4" applyNumberFormat="1" applyFont="1" applyBorder="1" applyAlignment="1">
      <alignment horizontal="center" vertical="center" wrapText="1"/>
    </xf>
    <xf numFmtId="182" fontId="34" fillId="0" borderId="41" xfId="15" applyNumberFormat="1" applyFont="1" applyBorder="1" applyAlignment="1">
      <alignment horizontal="center" vertical="center" wrapText="1"/>
    </xf>
    <xf numFmtId="182" fontId="34" fillId="0" borderId="23" xfId="15" applyNumberFormat="1" applyFont="1" applyBorder="1" applyAlignment="1">
      <alignment horizontal="center" vertical="center" wrapText="1"/>
    </xf>
    <xf numFmtId="182" fontId="34" fillId="0" borderId="42" xfId="15" applyNumberFormat="1" applyFont="1" applyBorder="1" applyAlignment="1">
      <alignment horizontal="center" vertical="center" wrapText="1"/>
    </xf>
    <xf numFmtId="182" fontId="34" fillId="0" borderId="10" xfId="15" applyNumberFormat="1" applyFont="1" applyBorder="1" applyAlignment="1">
      <alignment horizontal="center" vertical="center" wrapText="1"/>
    </xf>
    <xf numFmtId="182" fontId="34" fillId="0" borderId="10" xfId="0" applyNumberFormat="1" applyFont="1" applyBorder="1" applyAlignment="1">
      <alignment horizontal="center" vertical="center"/>
    </xf>
    <xf numFmtId="182" fontId="34" fillId="0" borderId="34" xfId="15" applyNumberFormat="1" applyFont="1" applyBorder="1" applyAlignment="1">
      <alignment horizontal="center" vertical="center" wrapText="1"/>
    </xf>
    <xf numFmtId="182" fontId="34" fillId="0" borderId="20" xfId="15" applyNumberFormat="1" applyFont="1" applyBorder="1" applyAlignment="1">
      <alignment horizontal="center" vertical="center" wrapText="1"/>
    </xf>
    <xf numFmtId="182" fontId="34" fillId="0" borderId="42" xfId="4" applyNumberFormat="1" applyFont="1" applyBorder="1" applyAlignment="1">
      <alignment horizontal="center" vertical="center"/>
    </xf>
    <xf numFmtId="182" fontId="34" fillId="0" borderId="10" xfId="4" applyNumberFormat="1" applyFont="1" applyBorder="1" applyAlignment="1">
      <alignment horizontal="center" vertical="center"/>
    </xf>
    <xf numFmtId="182" fontId="34" fillId="0" borderId="41" xfId="0" applyNumberFormat="1" applyFont="1" applyBorder="1" applyAlignment="1">
      <alignment horizontal="center" vertical="center"/>
    </xf>
    <xf numFmtId="182" fontId="34" fillId="0" borderId="14" xfId="0" applyNumberFormat="1" applyFont="1" applyBorder="1" applyAlignment="1">
      <alignment horizontal="center" vertical="center"/>
    </xf>
    <xf numFmtId="182" fontId="34" fillId="0" borderId="20" xfId="0" applyNumberFormat="1" applyFont="1" applyBorder="1" applyAlignment="1">
      <alignment horizontal="center" vertical="center"/>
    </xf>
    <xf numFmtId="182" fontId="34" fillId="0" borderId="34" xfId="0" applyNumberFormat="1" applyFont="1" applyBorder="1" applyAlignment="1">
      <alignment horizontal="center" vertical="center"/>
    </xf>
    <xf numFmtId="182" fontId="34" fillId="0" borderId="23" xfId="4" applyNumberFormat="1" applyFont="1" applyBorder="1" applyAlignment="1">
      <alignment horizontal="center" vertical="center"/>
    </xf>
    <xf numFmtId="182" fontId="34" fillId="0" borderId="41" xfId="4" applyNumberFormat="1" applyFont="1" applyBorder="1" applyAlignment="1">
      <alignment horizontal="center" vertical="center"/>
    </xf>
    <xf numFmtId="182" fontId="34" fillId="0" borderId="34" xfId="4" applyNumberFormat="1" applyFont="1" applyBorder="1" applyAlignment="1">
      <alignment horizontal="center" vertical="center"/>
    </xf>
    <xf numFmtId="182" fontId="34" fillId="0" borderId="20" xfId="4" applyNumberFormat="1" applyFont="1" applyBorder="1" applyAlignment="1">
      <alignment horizontal="center" vertical="center"/>
    </xf>
    <xf numFmtId="1" fontId="34" fillId="0" borderId="55" xfId="13" applyNumberFormat="1" applyFont="1" applyBorder="1" applyAlignment="1">
      <alignment horizontal="center" vertical="center"/>
    </xf>
    <xf numFmtId="182" fontId="34" fillId="0" borderId="26" xfId="13" applyNumberFormat="1" applyFont="1" applyBorder="1" applyAlignment="1">
      <alignment horizontal="center" vertical="center"/>
    </xf>
    <xf numFmtId="1" fontId="34" fillId="0" borderId="26" xfId="13" applyNumberFormat="1" applyFont="1" applyBorder="1" applyAlignment="1">
      <alignment horizontal="center" vertical="center"/>
    </xf>
    <xf numFmtId="1" fontId="34" fillId="0" borderId="26" xfId="15" applyNumberFormat="1" applyFont="1" applyBorder="1" applyAlignment="1">
      <alignment horizontal="center" vertical="center" wrapText="1"/>
    </xf>
    <xf numFmtId="0" fontId="34" fillId="0" borderId="27" xfId="15" applyFont="1" applyBorder="1" applyAlignment="1">
      <alignment horizontal="center" vertical="center" wrapText="1"/>
    </xf>
    <xf numFmtId="182" fontId="34" fillId="0" borderId="10" xfId="0" applyNumberFormat="1" applyFont="1" applyBorder="1" applyAlignment="1">
      <alignment horizontal="center" vertical="center" wrapText="1"/>
    </xf>
    <xf numFmtId="0" fontId="34" fillId="0" borderId="41" xfId="15" applyFont="1" applyBorder="1" applyAlignment="1">
      <alignment horizontal="center" vertical="center" wrapText="1"/>
    </xf>
    <xf numFmtId="176" fontId="34" fillId="0" borderId="0" xfId="7" applyNumberFormat="1" applyFont="1" applyAlignment="1">
      <alignment horizontal="center" vertical="center"/>
    </xf>
    <xf numFmtId="176" fontId="34" fillId="0" borderId="0" xfId="12" applyNumberFormat="1" applyFont="1" applyAlignment="1">
      <alignment horizontal="center" vertical="center"/>
    </xf>
    <xf numFmtId="177" fontId="5" fillId="0" borderId="42" xfId="0" applyNumberFormat="1" applyFont="1" applyBorder="1" applyAlignment="1">
      <alignment horizontal="center" vertical="center" wrapText="1"/>
    </xf>
    <xf numFmtId="177" fontId="5" fillId="0" borderId="10" xfId="0" applyNumberFormat="1" applyFont="1" applyBorder="1" applyAlignment="1">
      <alignment horizontal="center" vertical="center" wrapText="1"/>
    </xf>
    <xf numFmtId="177" fontId="5" fillId="0" borderId="11" xfId="0" applyNumberFormat="1" applyFont="1" applyBorder="1" applyAlignment="1">
      <alignment horizontal="center" vertical="center" wrapText="1"/>
    </xf>
    <xf numFmtId="177" fontId="5" fillId="3" borderId="41" xfId="13" applyNumberFormat="1" applyFont="1" applyFill="1" applyBorder="1" applyAlignment="1">
      <alignment horizontal="center" vertical="center" wrapText="1"/>
    </xf>
    <xf numFmtId="177" fontId="22" fillId="3" borderId="42" xfId="15" applyNumberFormat="1" applyFont="1" applyFill="1" applyBorder="1" applyAlignment="1">
      <alignment horizontal="center" vertical="center" wrapText="1"/>
    </xf>
    <xf numFmtId="177" fontId="5" fillId="3" borderId="42" xfId="13" applyNumberFormat="1" applyFont="1" applyFill="1" applyBorder="1" applyAlignment="1">
      <alignment horizontal="center" vertical="center" wrapText="1"/>
    </xf>
    <xf numFmtId="177" fontId="5" fillId="3" borderId="42" xfId="15" applyNumberFormat="1" applyFont="1" applyFill="1" applyBorder="1" applyAlignment="1">
      <alignment horizontal="center" vertical="center" wrapText="1"/>
    </xf>
    <xf numFmtId="177" fontId="5" fillId="3" borderId="34" xfId="13" applyNumberFormat="1" applyFont="1" applyFill="1" applyBorder="1" applyAlignment="1">
      <alignment horizontal="center" vertical="center" wrapText="1"/>
    </xf>
    <xf numFmtId="177" fontId="5" fillId="0" borderId="41" xfId="4" applyNumberFormat="1" applyFont="1" applyBorder="1" applyAlignment="1">
      <alignment horizontal="center" vertical="center"/>
    </xf>
    <xf numFmtId="177" fontId="5" fillId="0" borderId="42" xfId="4" applyNumberFormat="1" applyFont="1" applyBorder="1" applyAlignment="1">
      <alignment horizontal="center" vertical="center"/>
    </xf>
    <xf numFmtId="177" fontId="5" fillId="0" borderId="34" xfId="4" applyNumberFormat="1" applyFont="1" applyBorder="1" applyAlignment="1">
      <alignment horizontal="center" vertical="center"/>
    </xf>
    <xf numFmtId="177" fontId="25" fillId="0" borderId="41" xfId="0" applyNumberFormat="1" applyFont="1" applyBorder="1" applyAlignment="1">
      <alignment horizontal="center" vertical="center" wrapText="1"/>
    </xf>
    <xf numFmtId="177" fontId="25" fillId="0" borderId="42" xfId="0" applyNumberFormat="1" applyFont="1" applyBorder="1" applyAlignment="1">
      <alignment horizontal="center" vertical="center" wrapText="1"/>
    </xf>
    <xf numFmtId="177" fontId="25" fillId="0" borderId="34" xfId="0" applyNumberFormat="1" applyFont="1" applyBorder="1" applyAlignment="1">
      <alignment horizontal="center" vertical="center" wrapText="1"/>
    </xf>
    <xf numFmtId="177" fontId="5" fillId="0" borderId="41" xfId="0" applyNumberFormat="1" applyFont="1" applyBorder="1" applyAlignment="1">
      <alignment horizontal="center" vertical="center"/>
    </xf>
    <xf numFmtId="177" fontId="5" fillId="0" borderId="42" xfId="0" applyNumberFormat="1" applyFont="1" applyBorder="1" applyAlignment="1">
      <alignment horizontal="center" vertical="center"/>
    </xf>
    <xf numFmtId="177" fontId="5" fillId="0" borderId="34" xfId="0" applyNumberFormat="1" applyFont="1" applyBorder="1" applyAlignment="1">
      <alignment horizontal="center" vertical="center"/>
    </xf>
    <xf numFmtId="177" fontId="25" fillId="0" borderId="41" xfId="0" applyNumberFormat="1" applyFont="1" applyBorder="1" applyAlignment="1">
      <alignment horizontal="center" vertical="center"/>
    </xf>
    <xf numFmtId="177" fontId="25" fillId="0" borderId="42" xfId="0" applyNumberFormat="1" applyFont="1" applyBorder="1" applyAlignment="1">
      <alignment horizontal="center" vertical="center"/>
    </xf>
    <xf numFmtId="177" fontId="25" fillId="0" borderId="34" xfId="0" applyNumberFormat="1" applyFont="1" applyBorder="1" applyAlignment="1">
      <alignment horizontal="center" vertical="center"/>
    </xf>
    <xf numFmtId="177" fontId="5" fillId="0" borderId="47" xfId="0" applyNumberFormat="1" applyFont="1" applyBorder="1" applyAlignment="1">
      <alignment horizontal="center" vertical="center"/>
    </xf>
    <xf numFmtId="177" fontId="5" fillId="0" borderId="34" xfId="0" applyNumberFormat="1" applyFont="1" applyBorder="1" applyAlignment="1">
      <alignment horizontal="center" vertical="center" wrapText="1"/>
    </xf>
    <xf numFmtId="177" fontId="25" fillId="0" borderId="41" xfId="10" applyNumberFormat="1" applyFont="1" applyBorder="1" applyAlignment="1">
      <alignment horizontal="center" vertical="center"/>
    </xf>
    <xf numFmtId="177" fontId="25" fillId="0" borderId="42" xfId="10" applyNumberFormat="1" applyFont="1" applyBorder="1" applyAlignment="1">
      <alignment horizontal="center" vertical="center"/>
    </xf>
    <xf numFmtId="177" fontId="5" fillId="0" borderId="24" xfId="13" applyNumberFormat="1" applyFont="1" applyBorder="1" applyAlignment="1">
      <alignment horizontal="center" vertical="center" wrapText="1"/>
    </xf>
    <xf numFmtId="177" fontId="5" fillId="0" borderId="11" xfId="13" applyNumberFormat="1" applyFont="1" applyBorder="1" applyAlignment="1">
      <alignment horizontal="center" vertical="center" wrapText="1"/>
    </xf>
    <xf numFmtId="177" fontId="5" fillId="0" borderId="21" xfId="13" applyNumberFormat="1" applyFont="1" applyBorder="1" applyAlignment="1">
      <alignment horizontal="center" vertical="center" wrapText="1"/>
    </xf>
    <xf numFmtId="177" fontId="25" fillId="0" borderId="24" xfId="0" applyNumberFormat="1" applyFont="1" applyBorder="1" applyAlignment="1">
      <alignment horizontal="center" vertical="center" wrapText="1"/>
    </xf>
    <xf numFmtId="177" fontId="25" fillId="0" borderId="11" xfId="0" applyNumberFormat="1" applyFont="1" applyBorder="1" applyAlignment="1">
      <alignment horizontal="center" vertical="center" wrapText="1"/>
    </xf>
    <xf numFmtId="177" fontId="25" fillId="0" borderId="21" xfId="0" applyNumberFormat="1" applyFont="1" applyBorder="1" applyAlignment="1">
      <alignment horizontal="center" vertical="center" wrapText="1"/>
    </xf>
    <xf numFmtId="177" fontId="5" fillId="0" borderId="24" xfId="0" applyNumberFormat="1" applyFont="1" applyBorder="1" applyAlignment="1">
      <alignment horizontal="center" vertical="center"/>
    </xf>
    <xf numFmtId="177" fontId="5" fillId="0" borderId="21" xfId="0" applyNumberFormat="1" applyFont="1" applyBorder="1" applyAlignment="1">
      <alignment horizontal="center" vertical="center"/>
    </xf>
    <xf numFmtId="177" fontId="5" fillId="0" borderId="18" xfId="0" applyNumberFormat="1" applyFont="1" applyBorder="1" applyAlignment="1">
      <alignment horizontal="center" vertical="center"/>
    </xf>
    <xf numFmtId="177" fontId="25" fillId="0" borderId="24" xfId="0" applyNumberFormat="1" applyFont="1" applyBorder="1" applyAlignment="1">
      <alignment horizontal="center" vertical="center"/>
    </xf>
    <xf numFmtId="177" fontId="25" fillId="0" borderId="11" xfId="0" applyNumberFormat="1" applyFont="1" applyBorder="1" applyAlignment="1">
      <alignment horizontal="center" vertical="center"/>
    </xf>
    <xf numFmtId="177" fontId="25" fillId="0" borderId="11" xfId="10" applyNumberFormat="1" applyFont="1" applyBorder="1" applyAlignment="1">
      <alignment horizontal="center" vertical="center"/>
    </xf>
    <xf numFmtId="177" fontId="25" fillId="0" borderId="21" xfId="0" applyNumberFormat="1" applyFont="1" applyBorder="1" applyAlignment="1">
      <alignment horizontal="center" vertical="center"/>
    </xf>
    <xf numFmtId="177" fontId="25" fillId="0" borderId="51" xfId="0" applyNumberFormat="1" applyFont="1" applyBorder="1" applyAlignment="1">
      <alignment horizontal="center" vertical="center" wrapText="1"/>
    </xf>
    <xf numFmtId="177" fontId="5" fillId="0" borderId="41" xfId="0" applyNumberFormat="1" applyFont="1" applyBorder="1" applyAlignment="1">
      <alignment horizontal="center" vertical="center" wrapText="1"/>
    </xf>
    <xf numFmtId="177" fontId="25" fillId="0" borderId="15" xfId="0" applyNumberFormat="1" applyFont="1" applyBorder="1" applyAlignment="1">
      <alignment horizontal="center" vertical="center" wrapText="1"/>
    </xf>
    <xf numFmtId="1" fontId="34" fillId="0" borderId="23" xfId="15" applyNumberFormat="1" applyFont="1" applyBorder="1" applyAlignment="1">
      <alignment horizontal="center" vertical="center" wrapText="1"/>
    </xf>
    <xf numFmtId="1" fontId="34" fillId="0" borderId="10" xfId="15" applyNumberFormat="1" applyFont="1" applyBorder="1" applyAlignment="1">
      <alignment horizontal="center" vertical="center" wrapText="1"/>
    </xf>
    <xf numFmtId="1" fontId="34" fillId="0" borderId="10" xfId="0" applyNumberFormat="1" applyFont="1" applyBorder="1" applyAlignment="1">
      <alignment horizontal="center" vertical="center"/>
    </xf>
    <xf numFmtId="1" fontId="34" fillId="0" borderId="20" xfId="15" applyNumberFormat="1" applyFont="1" applyBorder="1" applyAlignment="1">
      <alignment horizontal="center" vertical="center" wrapText="1"/>
    </xf>
    <xf numFmtId="1" fontId="34" fillId="0" borderId="41" xfId="15" applyNumberFormat="1" applyFont="1" applyBorder="1" applyAlignment="1">
      <alignment horizontal="center" vertical="center" wrapText="1"/>
    </xf>
    <xf numFmtId="1" fontId="34" fillId="0" borderId="42" xfId="15" applyNumberFormat="1" applyFont="1" applyBorder="1" applyAlignment="1">
      <alignment horizontal="center" vertical="center" wrapText="1"/>
    </xf>
    <xf numFmtId="1" fontId="34" fillId="0" borderId="42" xfId="0" applyNumberFormat="1" applyFont="1" applyBorder="1" applyAlignment="1">
      <alignment horizontal="center" vertical="center"/>
    </xf>
    <xf numFmtId="1" fontId="34" fillId="0" borderId="34" xfId="15" applyNumberFormat="1" applyFont="1" applyBorder="1" applyAlignment="1">
      <alignment horizontal="center" vertical="center" wrapText="1"/>
    </xf>
    <xf numFmtId="1" fontId="22" fillId="0" borderId="22" xfId="15" applyNumberFormat="1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1" fontId="22" fillId="0" borderId="19" xfId="15" applyNumberFormat="1" applyFont="1" applyBorder="1" applyAlignment="1">
      <alignment horizontal="center" vertical="center" wrapText="1"/>
    </xf>
    <xf numFmtId="1" fontId="34" fillId="0" borderId="10" xfId="4" applyNumberFormat="1" applyFont="1" applyBorder="1" applyAlignment="1">
      <alignment horizontal="center" vertical="center"/>
    </xf>
    <xf numFmtId="1" fontId="5" fillId="0" borderId="23" xfId="13" applyNumberFormat="1" applyFont="1" applyBorder="1" applyAlignment="1">
      <alignment horizontal="center" vertical="center" wrapText="1"/>
    </xf>
    <xf numFmtId="1" fontId="5" fillId="0" borderId="10" xfId="13" applyNumberFormat="1" applyFont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/>
    </xf>
    <xf numFmtId="1" fontId="5" fillId="0" borderId="20" xfId="13" applyNumberFormat="1" applyFont="1" applyBorder="1" applyAlignment="1">
      <alignment horizontal="center" vertical="center" wrapText="1"/>
    </xf>
    <xf numFmtId="1" fontId="22" fillId="0" borderId="23" xfId="15" applyNumberFormat="1" applyFont="1" applyBorder="1" applyAlignment="1">
      <alignment horizontal="center" vertical="center" wrapText="1"/>
    </xf>
    <xf numFmtId="1" fontId="22" fillId="0" borderId="10" xfId="15" applyNumberFormat="1" applyFont="1" applyBorder="1" applyAlignment="1">
      <alignment horizontal="center" vertical="center" wrapText="1"/>
    </xf>
    <xf numFmtId="1" fontId="5" fillId="0" borderId="10" xfId="14" applyNumberFormat="1" applyFont="1" applyBorder="1" applyAlignment="1">
      <alignment horizontal="center" vertical="center" wrapText="1"/>
    </xf>
    <xf numFmtId="182" fontId="22" fillId="0" borderId="24" xfId="15" applyNumberFormat="1" applyFont="1" applyBorder="1" applyAlignment="1">
      <alignment horizontal="center" vertical="center" wrapText="1"/>
    </xf>
    <xf numFmtId="182" fontId="22" fillId="0" borderId="11" xfId="15" applyNumberFormat="1" applyFont="1" applyBorder="1" applyAlignment="1">
      <alignment horizontal="center" vertical="center" wrapText="1"/>
    </xf>
    <xf numFmtId="182" fontId="5" fillId="0" borderId="11" xfId="13" applyNumberFormat="1" applyFont="1" applyBorder="1" applyAlignment="1">
      <alignment horizontal="center" vertical="center" wrapText="1"/>
    </xf>
    <xf numFmtId="182" fontId="5" fillId="0" borderId="11" xfId="14" applyNumberFormat="1" applyFont="1" applyBorder="1" applyAlignment="1">
      <alignment horizontal="center" vertical="center" wrapText="1"/>
    </xf>
    <xf numFmtId="182" fontId="5" fillId="0" borderId="11" xfId="15" applyNumberFormat="1" applyFont="1" applyBorder="1" applyAlignment="1">
      <alignment horizontal="center" vertical="center" wrapText="1"/>
    </xf>
    <xf numFmtId="182" fontId="5" fillId="0" borderId="21" xfId="13" applyNumberFormat="1" applyFont="1" applyBorder="1" applyAlignment="1">
      <alignment horizontal="center" vertical="center" wrapText="1"/>
    </xf>
    <xf numFmtId="1" fontId="34" fillId="0" borderId="42" xfId="4" applyNumberFormat="1" applyFont="1" applyBorder="1" applyAlignment="1">
      <alignment horizontal="center" vertical="center"/>
    </xf>
    <xf numFmtId="1" fontId="34" fillId="0" borderId="17" xfId="15" applyNumberFormat="1" applyFont="1" applyBorder="1" applyAlignment="1">
      <alignment horizontal="center" vertical="center" wrapText="1"/>
    </xf>
    <xf numFmtId="1" fontId="5" fillId="0" borderId="9" xfId="4" applyNumberFormat="1" applyFont="1" applyBorder="1" applyAlignment="1">
      <alignment horizontal="center" vertical="center"/>
    </xf>
    <xf numFmtId="1" fontId="5" fillId="0" borderId="23" xfId="4" applyNumberFormat="1" applyFont="1" applyBorder="1" applyAlignment="1">
      <alignment horizontal="center" vertical="center"/>
    </xf>
    <xf numFmtId="1" fontId="5" fillId="0" borderId="20" xfId="4" applyNumberFormat="1" applyFont="1" applyBorder="1" applyAlignment="1">
      <alignment horizontal="center" vertical="center"/>
    </xf>
    <xf numFmtId="1" fontId="5" fillId="0" borderId="10" xfId="4" applyNumberFormat="1" applyFont="1" applyBorder="1" applyAlignment="1">
      <alignment horizontal="center" vertical="center"/>
    </xf>
    <xf numFmtId="1" fontId="25" fillId="0" borderId="22" xfId="0" applyNumberFormat="1" applyFont="1" applyBorder="1" applyAlignment="1">
      <alignment horizontal="center" vertical="center"/>
    </xf>
    <xf numFmtId="1" fontId="34" fillId="0" borderId="41" xfId="0" applyNumberFormat="1" applyFont="1" applyBorder="1" applyAlignment="1">
      <alignment horizontal="center" vertical="center"/>
    </xf>
    <xf numFmtId="1" fontId="25" fillId="0" borderId="9" xfId="0" applyNumberFormat="1" applyFont="1" applyBorder="1" applyAlignment="1">
      <alignment horizontal="center" vertical="center"/>
    </xf>
    <xf numFmtId="1" fontId="34" fillId="0" borderId="23" xfId="0" applyNumberFormat="1" applyFont="1" applyBorder="1" applyAlignment="1">
      <alignment horizontal="center" vertical="center"/>
    </xf>
    <xf numFmtId="1" fontId="34" fillId="0" borderId="14" xfId="0" applyNumberFormat="1" applyFont="1" applyBorder="1" applyAlignment="1">
      <alignment horizontal="center" vertical="center"/>
    </xf>
    <xf numFmtId="1" fontId="25" fillId="0" borderId="19" xfId="0" applyNumberFormat="1" applyFont="1" applyBorder="1" applyAlignment="1">
      <alignment horizontal="center" vertical="center"/>
    </xf>
    <xf numFmtId="1" fontId="34" fillId="0" borderId="20" xfId="0" applyNumberFormat="1" applyFont="1" applyBorder="1" applyAlignment="1">
      <alignment horizontal="center" vertical="center"/>
    </xf>
    <xf numFmtId="1" fontId="25" fillId="0" borderId="10" xfId="0" applyNumberFormat="1" applyFont="1" applyBorder="1" applyAlignment="1">
      <alignment horizontal="center" vertical="center"/>
    </xf>
    <xf numFmtId="1" fontId="25" fillId="0" borderId="14" xfId="0" applyNumberFormat="1" applyFont="1" applyBorder="1" applyAlignment="1">
      <alignment horizontal="center" vertical="center"/>
    </xf>
    <xf numFmtId="1" fontId="25" fillId="0" borderId="20" xfId="0" applyNumberFormat="1" applyFont="1" applyBorder="1" applyAlignment="1">
      <alignment horizontal="center" vertical="center"/>
    </xf>
    <xf numFmtId="1" fontId="25" fillId="0" borderId="23" xfId="0" applyNumberFormat="1" applyFont="1" applyBorder="1" applyAlignment="1">
      <alignment horizontal="center" vertical="center"/>
    </xf>
    <xf numFmtId="182" fontId="5" fillId="0" borderId="24" xfId="0" applyNumberFormat="1" applyFont="1" applyBorder="1" applyAlignment="1">
      <alignment horizontal="center" vertical="center" wrapText="1"/>
    </xf>
    <xf numFmtId="1" fontId="34" fillId="0" borderId="17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 vertical="center"/>
    </xf>
    <xf numFmtId="1" fontId="5" fillId="0" borderId="20" xfId="0" applyNumberFormat="1" applyFont="1" applyBorder="1" applyAlignment="1">
      <alignment horizontal="center" vertical="center"/>
    </xf>
    <xf numFmtId="3" fontId="5" fillId="0" borderId="0" xfId="7" applyNumberFormat="1" applyFont="1" applyAlignment="1">
      <alignment horizontal="center" vertical="center"/>
    </xf>
    <xf numFmtId="182" fontId="5" fillId="0" borderId="0" xfId="7" applyNumberFormat="1" applyFont="1" applyAlignment="1">
      <alignment horizontal="center" vertical="center"/>
    </xf>
    <xf numFmtId="182" fontId="22" fillId="0" borderId="0" xfId="7" applyNumberFormat="1" applyFont="1" applyAlignment="1">
      <alignment horizontal="center" vertical="center" wrapText="1"/>
    </xf>
    <xf numFmtId="1" fontId="34" fillId="0" borderId="47" xfId="15" applyNumberFormat="1" applyFont="1" applyBorder="1" applyAlignment="1">
      <alignment horizontal="center" vertical="center" wrapText="1"/>
    </xf>
    <xf numFmtId="1" fontId="34" fillId="0" borderId="49" xfId="15" applyNumberFormat="1" applyFont="1" applyBorder="1" applyAlignment="1">
      <alignment horizontal="center" vertical="center" wrapText="1"/>
    </xf>
    <xf numFmtId="1" fontId="5" fillId="0" borderId="19" xfId="0" applyNumberFormat="1" applyFont="1" applyBorder="1" applyAlignment="1">
      <alignment horizontal="center" vertical="center"/>
    </xf>
    <xf numFmtId="1" fontId="5" fillId="0" borderId="23" xfId="5" applyNumberFormat="1" applyFont="1" applyBorder="1" applyAlignment="1">
      <alignment horizontal="center" vertical="center"/>
    </xf>
    <xf numFmtId="1" fontId="5" fillId="0" borderId="10" xfId="5" applyNumberFormat="1" applyFont="1" applyBorder="1" applyAlignment="1">
      <alignment horizontal="center" vertical="center"/>
    </xf>
    <xf numFmtId="1" fontId="5" fillId="0" borderId="20" xfId="5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23" fillId="0" borderId="0" xfId="0" applyNumberFormat="1" applyFont="1" applyAlignment="1">
      <alignment horizontal="center" vertical="center"/>
    </xf>
    <xf numFmtId="182" fontId="34" fillId="0" borderId="17" xfId="0" applyNumberFormat="1" applyFont="1" applyBorder="1" applyAlignment="1">
      <alignment horizontal="center" vertical="center"/>
    </xf>
    <xf numFmtId="1" fontId="34" fillId="0" borderId="23" xfId="4" applyNumberFormat="1" applyFont="1" applyBorder="1" applyAlignment="1">
      <alignment horizontal="center" vertical="center"/>
    </xf>
    <xf numFmtId="1" fontId="5" fillId="0" borderId="22" xfId="4" applyNumberFormat="1" applyFont="1" applyBorder="1" applyAlignment="1">
      <alignment horizontal="center" vertical="center"/>
    </xf>
    <xf numFmtId="1" fontId="5" fillId="0" borderId="17" xfId="0" applyNumberFormat="1" applyFont="1" applyBorder="1" applyAlignment="1">
      <alignment horizontal="center" vertical="center"/>
    </xf>
    <xf numFmtId="176" fontId="34" fillId="0" borderId="41" xfId="4" applyNumberFormat="1" applyFont="1" applyBorder="1" applyAlignment="1">
      <alignment horizontal="center" vertical="center"/>
    </xf>
    <xf numFmtId="176" fontId="34" fillId="0" borderId="20" xfId="4" applyNumberFormat="1" applyFont="1" applyBorder="1" applyAlignment="1">
      <alignment horizontal="center" vertical="center"/>
    </xf>
    <xf numFmtId="1" fontId="34" fillId="0" borderId="10" xfId="0" applyNumberFormat="1" applyFont="1" applyBorder="1" applyAlignment="1">
      <alignment horizontal="center" vertical="center" wrapText="1"/>
    </xf>
    <xf numFmtId="1" fontId="25" fillId="0" borderId="10" xfId="0" applyNumberFormat="1" applyFont="1" applyBorder="1" applyAlignment="1">
      <alignment horizontal="center" vertical="center" shrinkToFit="1"/>
    </xf>
    <xf numFmtId="1" fontId="25" fillId="0" borderId="10" xfId="0" applyNumberFormat="1" applyFont="1" applyBorder="1" applyAlignment="1">
      <alignment horizontal="center" vertical="center" wrapText="1"/>
    </xf>
    <xf numFmtId="1" fontId="25" fillId="0" borderId="20" xfId="0" applyNumberFormat="1" applyFont="1" applyBorder="1" applyAlignment="1">
      <alignment horizontal="center" vertical="center" wrapText="1"/>
    </xf>
    <xf numFmtId="1" fontId="25" fillId="0" borderId="26" xfId="0" applyNumberFormat="1" applyFont="1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/>
    </xf>
    <xf numFmtId="177" fontId="35" fillId="0" borderId="11" xfId="0" applyNumberFormat="1" applyFont="1" applyBorder="1" applyAlignment="1">
      <alignment horizontal="center" vertical="center"/>
    </xf>
    <xf numFmtId="1" fontId="35" fillId="0" borderId="11" xfId="0" applyNumberFormat="1" applyFont="1" applyBorder="1" applyAlignment="1">
      <alignment horizontal="center" vertical="center"/>
    </xf>
    <xf numFmtId="1" fontId="23" fillId="0" borderId="11" xfId="0" applyNumberFormat="1" applyFont="1" applyBorder="1" applyAlignment="1">
      <alignment horizontal="center" vertical="center"/>
    </xf>
    <xf numFmtId="1" fontId="23" fillId="0" borderId="21" xfId="0" applyNumberFormat="1" applyFont="1" applyBorder="1" applyAlignment="1">
      <alignment horizontal="center" vertical="center"/>
    </xf>
    <xf numFmtId="1" fontId="5" fillId="0" borderId="19" xfId="4" applyNumberFormat="1" applyFont="1" applyBorder="1" applyAlignment="1">
      <alignment horizontal="center" vertical="center"/>
    </xf>
    <xf numFmtId="182" fontId="34" fillId="0" borderId="50" xfId="0" applyNumberFormat="1" applyFont="1" applyBorder="1" applyAlignment="1">
      <alignment horizontal="center" vertical="center"/>
    </xf>
    <xf numFmtId="179" fontId="34" fillId="0" borderId="41" xfId="15" applyNumberFormat="1" applyFont="1" applyBorder="1" applyAlignment="1">
      <alignment horizontal="center" vertical="center" wrapText="1"/>
    </xf>
    <xf numFmtId="1" fontId="25" fillId="0" borderId="23" xfId="4" applyNumberFormat="1" applyFont="1" applyBorder="1" applyAlignment="1">
      <alignment horizontal="center" vertical="center"/>
    </xf>
    <xf numFmtId="1" fontId="25" fillId="0" borderId="10" xfId="4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vertical="center" wrapText="1"/>
    </xf>
    <xf numFmtId="176" fontId="5" fillId="0" borderId="10" xfId="0" applyNumberFormat="1" applyFont="1" applyBorder="1">
      <alignment vertical="center"/>
    </xf>
    <xf numFmtId="49" fontId="5" fillId="0" borderId="11" xfId="0" applyNumberFormat="1" applyFont="1" applyBorder="1">
      <alignment vertical="center"/>
    </xf>
    <xf numFmtId="176" fontId="28" fillId="0" borderId="10" xfId="0" applyNumberFormat="1" applyFont="1" applyBorder="1" applyAlignment="1">
      <alignment horizontal="center" vertical="center" wrapText="1"/>
    </xf>
    <xf numFmtId="176" fontId="28" fillId="0" borderId="10" xfId="0" applyNumberFormat="1" applyFont="1" applyBorder="1" applyAlignment="1">
      <alignment horizontal="center" vertical="center"/>
    </xf>
    <xf numFmtId="1" fontId="25" fillId="0" borderId="9" xfId="0" applyNumberFormat="1" applyFont="1" applyBorder="1" applyAlignment="1">
      <alignment horizontal="center" vertical="center" wrapText="1"/>
    </xf>
    <xf numFmtId="182" fontId="5" fillId="0" borderId="11" xfId="0" applyNumberFormat="1" applyFont="1" applyBorder="1" applyAlignment="1">
      <alignment horizontal="center" vertical="center" wrapText="1"/>
    </xf>
    <xf numFmtId="182" fontId="5" fillId="0" borderId="21" xfId="0" applyNumberFormat="1" applyFont="1" applyBorder="1" applyAlignment="1">
      <alignment horizontal="center" vertical="center" wrapText="1"/>
    </xf>
    <xf numFmtId="0" fontId="5" fillId="0" borderId="17" xfId="4" applyFont="1" applyBorder="1" applyAlignment="1">
      <alignment horizontal="left" vertical="center" wrapText="1"/>
    </xf>
    <xf numFmtId="14" fontId="5" fillId="0" borderId="17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 wrapText="1"/>
    </xf>
    <xf numFmtId="182" fontId="25" fillId="0" borderId="17" xfId="0" applyNumberFormat="1" applyFont="1" applyBorder="1" applyAlignment="1">
      <alignment horizontal="center" vertical="center"/>
    </xf>
    <xf numFmtId="49" fontId="5" fillId="0" borderId="17" xfId="4" applyNumberFormat="1" applyFont="1" applyBorder="1" applyAlignment="1">
      <alignment horizontal="center" vertical="center"/>
    </xf>
    <xf numFmtId="178" fontId="5" fillId="0" borderId="18" xfId="0" applyNumberFormat="1" applyFont="1" applyBorder="1" applyAlignment="1">
      <alignment horizontal="center" vertical="center"/>
    </xf>
    <xf numFmtId="182" fontId="5" fillId="0" borderId="47" xfId="0" applyNumberFormat="1" applyFont="1" applyBorder="1" applyAlignment="1">
      <alignment horizontal="center" vertical="center"/>
    </xf>
    <xf numFmtId="0" fontId="5" fillId="0" borderId="48" xfId="4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0" xfId="12" applyFont="1" applyAlignment="1">
      <alignment horizontal="left" vertical="top" wrapText="1"/>
    </xf>
    <xf numFmtId="49" fontId="2" fillId="0" borderId="42" xfId="4" applyNumberFormat="1" applyFont="1" applyBorder="1" applyAlignment="1">
      <alignment horizontal="center" vertical="center" wrapText="1"/>
    </xf>
    <xf numFmtId="49" fontId="2" fillId="0" borderId="43" xfId="4" applyNumberFormat="1" applyFont="1" applyBorder="1" applyAlignment="1">
      <alignment horizontal="center" vertical="center" wrapText="1"/>
    </xf>
    <xf numFmtId="49" fontId="2" fillId="0" borderId="11" xfId="4" applyNumberFormat="1" applyFont="1" applyBorder="1" applyAlignment="1">
      <alignment horizontal="center" vertical="center" wrapText="1"/>
    </xf>
    <xf numFmtId="49" fontId="2" fillId="0" borderId="44" xfId="4" applyNumberFormat="1" applyFont="1" applyBorder="1" applyAlignment="1">
      <alignment horizontal="center" vertical="center" wrapText="1"/>
    </xf>
    <xf numFmtId="0" fontId="2" fillId="0" borderId="42" xfId="4" applyFont="1" applyBorder="1" applyAlignment="1">
      <alignment horizontal="center" vertical="center" wrapText="1"/>
    </xf>
    <xf numFmtId="0" fontId="2" fillId="0" borderId="43" xfId="4" applyFont="1" applyBorder="1" applyAlignment="1">
      <alignment horizontal="center" vertical="center" wrapText="1"/>
    </xf>
    <xf numFmtId="0" fontId="2" fillId="0" borderId="10" xfId="4" applyFont="1" applyBorder="1" applyAlignment="1">
      <alignment horizontal="center" vertical="center" wrapText="1" shrinkToFit="1"/>
    </xf>
    <xf numFmtId="0" fontId="2" fillId="0" borderId="40" xfId="4" applyFont="1" applyBorder="1" applyAlignment="1">
      <alignment horizontal="center" vertical="center" shrinkToFit="1"/>
    </xf>
    <xf numFmtId="0" fontId="2" fillId="0" borderId="11" xfId="4" applyFont="1" applyBorder="1" applyAlignment="1">
      <alignment horizontal="center" vertical="center" wrapText="1" shrinkToFit="1"/>
    </xf>
    <xf numFmtId="0" fontId="2" fillId="0" borderId="44" xfId="4" applyFont="1" applyBorder="1" applyAlignment="1">
      <alignment horizontal="center" vertical="center" shrinkToFit="1"/>
    </xf>
    <xf numFmtId="0" fontId="2" fillId="0" borderId="10" xfId="7" applyFont="1" applyBorder="1" applyAlignment="1">
      <alignment horizontal="center" vertical="center"/>
    </xf>
    <xf numFmtId="0" fontId="2" fillId="0" borderId="39" xfId="7" applyFont="1" applyBorder="1" applyAlignment="1">
      <alignment horizontal="center" vertical="center" wrapText="1"/>
    </xf>
    <xf numFmtId="0" fontId="2" fillId="0" borderId="39" xfId="7" applyFont="1" applyBorder="1" applyAlignment="1">
      <alignment horizontal="center" vertical="center"/>
    </xf>
    <xf numFmtId="0" fontId="2" fillId="0" borderId="45" xfId="7" applyFont="1" applyBorder="1" applyAlignment="1">
      <alignment horizontal="center" vertical="center"/>
    </xf>
    <xf numFmtId="176" fontId="2" fillId="0" borderId="9" xfId="4" applyNumberFormat="1" applyFont="1" applyBorder="1" applyAlignment="1">
      <alignment horizontal="center" vertical="center" wrapText="1"/>
    </xf>
    <xf numFmtId="176" fontId="2" fillId="0" borderId="56" xfId="4" applyNumberFormat="1" applyFont="1" applyBorder="1" applyAlignment="1">
      <alignment horizontal="center" vertical="center" wrapText="1"/>
    </xf>
    <xf numFmtId="0" fontId="2" fillId="0" borderId="42" xfId="7" applyFont="1" applyBorder="1" applyAlignment="1">
      <alignment horizontal="center" vertical="center"/>
    </xf>
    <xf numFmtId="49" fontId="2" fillId="0" borderId="10" xfId="4" applyNumberFormat="1" applyFont="1" applyBorder="1" applyAlignment="1">
      <alignment horizontal="center" vertical="center"/>
    </xf>
    <xf numFmtId="49" fontId="2" fillId="0" borderId="40" xfId="4" applyNumberFormat="1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 wrapText="1"/>
    </xf>
    <xf numFmtId="0" fontId="2" fillId="0" borderId="40" xfId="4" applyFont="1" applyBorder="1" applyAlignment="1">
      <alignment horizontal="center" vertical="center" wrapText="1"/>
    </xf>
    <xf numFmtId="49" fontId="2" fillId="0" borderId="10" xfId="4" applyNumberFormat="1" applyFont="1" applyBorder="1" applyAlignment="1">
      <alignment horizontal="center" vertical="center" wrapText="1"/>
    </xf>
    <xf numFmtId="49" fontId="2" fillId="0" borderId="40" xfId="4" applyNumberFormat="1" applyFont="1" applyBorder="1" applyAlignment="1">
      <alignment horizontal="center" vertical="center" wrapText="1"/>
    </xf>
    <xf numFmtId="176" fontId="33" fillId="0" borderId="12" xfId="4" applyNumberFormat="1" applyFont="1" applyBorder="1" applyAlignment="1">
      <alignment horizontal="center" vertical="center" wrapText="1"/>
    </xf>
    <xf numFmtId="176" fontId="33" fillId="0" borderId="42" xfId="4" applyNumberFormat="1" applyFont="1" applyBorder="1" applyAlignment="1">
      <alignment horizontal="center" vertical="center" wrapText="1"/>
    </xf>
    <xf numFmtId="0" fontId="2" fillId="0" borderId="11" xfId="4" applyFont="1" applyBorder="1" applyAlignment="1">
      <alignment horizontal="center" vertical="center" wrapText="1"/>
    </xf>
    <xf numFmtId="0" fontId="2" fillId="0" borderId="44" xfId="4" applyFont="1" applyBorder="1" applyAlignment="1">
      <alignment horizontal="center" vertical="center" wrapText="1"/>
    </xf>
    <xf numFmtId="181" fontId="2" fillId="0" borderId="10" xfId="4" applyNumberFormat="1" applyFont="1" applyBorder="1" applyAlignment="1">
      <alignment horizontal="center" vertical="center"/>
    </xf>
    <xf numFmtId="181" fontId="2" fillId="0" borderId="40" xfId="4" applyNumberFormat="1" applyFont="1" applyBorder="1" applyAlignment="1">
      <alignment horizontal="center" vertical="center"/>
    </xf>
    <xf numFmtId="0" fontId="2" fillId="0" borderId="40" xfId="4" applyFont="1" applyBorder="1" applyAlignment="1">
      <alignment horizontal="center" vertical="center" wrapText="1" shrinkToFit="1"/>
    </xf>
    <xf numFmtId="0" fontId="2" fillId="0" borderId="10" xfId="4" applyFont="1" applyBorder="1" applyAlignment="1">
      <alignment horizontal="left" vertical="center" wrapText="1" shrinkToFit="1"/>
    </xf>
    <xf numFmtId="0" fontId="2" fillId="0" borderId="40" xfId="4" applyFont="1" applyBorder="1" applyAlignment="1">
      <alignment horizontal="left" vertical="center" wrapText="1" shrinkToFit="1"/>
    </xf>
  </cellXfs>
  <cellStyles count="16">
    <cellStyle name="パーセント 2" xfId="1" xr:uid="{00000000-0005-0000-0000-000000000000}"/>
    <cellStyle name="桁区切り 2" xfId="2" xr:uid="{00000000-0005-0000-0000-000001000000}"/>
    <cellStyle name="通貨 2" xfId="3" xr:uid="{00000000-0005-0000-0000-000002000000}"/>
    <cellStyle name="標準" xfId="0" builtinId="0"/>
    <cellStyle name="標準 2" xfId="4" xr:uid="{00000000-0005-0000-0000-000004000000}"/>
    <cellStyle name="標準 2 2" xfId="5" xr:uid="{00000000-0005-0000-0000-000005000000}"/>
    <cellStyle name="標準 2 3" xfId="6" xr:uid="{00000000-0005-0000-0000-000006000000}"/>
    <cellStyle name="標準 3" xfId="7" xr:uid="{00000000-0005-0000-0000-000007000000}"/>
    <cellStyle name="標準 3 2" xfId="8" xr:uid="{00000000-0005-0000-0000-000008000000}"/>
    <cellStyle name="標準_Sheet1" xfId="9" xr:uid="{00000000-0005-0000-0000-000009000000}"/>
    <cellStyle name="標準_Sheet1 2" xfId="10" xr:uid="{00000000-0005-0000-0000-00000A000000}"/>
    <cellStyle name="標準_サンゴモニタ進捗表_041015" xfId="11" xr:uid="{00000000-0005-0000-0000-00000B000000}"/>
    <cellStyle name="標準_調査結果票H17" xfId="12" xr:uid="{00000000-0005-0000-0000-00000C000000}"/>
    <cellStyle name="標準_表6野帳フォーム" xfId="13" xr:uid="{00000000-0005-0000-0000-00000D000000}"/>
    <cellStyle name="標準_表6野帳フォーム_別紙３（集計シート） 2009年　大隅諸島　集計" xfId="14" xr:uid="{00000000-0005-0000-0000-00000E000000}"/>
    <cellStyle name="標準_別紙３（集計シート） 2009年　大隅諸島　集計 2" xfId="15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86"/>
  <sheetViews>
    <sheetView tabSelected="1" view="pageLayout" topLeftCell="A453" zoomScaleNormal="100" zoomScaleSheetLayoutView="100" workbookViewId="0">
      <selection activeCell="F548" sqref="F548"/>
    </sheetView>
  </sheetViews>
  <sheetFormatPr defaultColWidth="9" defaultRowHeight="11.25"/>
  <cols>
    <col min="1" max="1" width="12.875" style="584" customWidth="1"/>
    <col min="2" max="2" width="5.125" style="585" customWidth="1"/>
    <col min="3" max="3" width="15.625" style="584" customWidth="1"/>
    <col min="4" max="4" width="7.625" style="589" customWidth="1"/>
    <col min="5" max="5" width="7.375" style="463" customWidth="1"/>
    <col min="6" max="6" width="18.875" style="587" bestFit="1" customWidth="1"/>
    <col min="7" max="10" width="5.875" style="586" customWidth="1"/>
    <col min="11" max="11" width="5.875" style="588" customWidth="1"/>
    <col min="12" max="12" width="5.875" style="512" customWidth="1"/>
    <col min="13" max="14" width="5.875" style="584" customWidth="1"/>
    <col min="15" max="15" width="7.5" style="463" bestFit="1" customWidth="1"/>
    <col min="16" max="16" width="7.5" style="582" bestFit="1" customWidth="1"/>
    <col min="17" max="16384" width="9" style="463"/>
  </cols>
  <sheetData>
    <row r="1" spans="1:18" s="461" customFormat="1" ht="40.5" customHeight="1">
      <c r="A1" s="453" t="s">
        <v>0</v>
      </c>
      <c r="B1" s="454" t="s">
        <v>840</v>
      </c>
      <c r="C1" s="454" t="s">
        <v>1</v>
      </c>
      <c r="D1" s="455" t="s">
        <v>2</v>
      </c>
      <c r="E1" s="456" t="s">
        <v>3</v>
      </c>
      <c r="F1" s="1" t="s">
        <v>4</v>
      </c>
      <c r="G1" s="457" t="s">
        <v>841</v>
      </c>
      <c r="H1" s="456" t="s">
        <v>842</v>
      </c>
      <c r="I1" s="458" t="s">
        <v>843</v>
      </c>
      <c r="J1" s="457" t="s">
        <v>5</v>
      </c>
      <c r="K1" s="2" t="s">
        <v>844</v>
      </c>
      <c r="L1" s="1" t="s">
        <v>6</v>
      </c>
      <c r="M1" s="459" t="s">
        <v>7</v>
      </c>
      <c r="N1" s="460" t="s">
        <v>8</v>
      </c>
      <c r="O1" s="460" t="s">
        <v>845</v>
      </c>
      <c r="P1" s="1" t="s">
        <v>846</v>
      </c>
    </row>
    <row r="2" spans="1:18" ht="27.6" customHeight="1">
      <c r="A2" s="3" t="s">
        <v>9</v>
      </c>
      <c r="B2" s="4">
        <v>1</v>
      </c>
      <c r="C2" s="5" t="s">
        <v>10</v>
      </c>
      <c r="D2" s="6" t="s">
        <v>11</v>
      </c>
      <c r="E2" s="462">
        <v>1</v>
      </c>
      <c r="F2" s="7" t="s">
        <v>847</v>
      </c>
      <c r="G2" s="8">
        <v>30</v>
      </c>
      <c r="H2" s="9">
        <v>26</v>
      </c>
      <c r="I2" s="10">
        <v>55.23</v>
      </c>
      <c r="J2" s="8">
        <v>130</v>
      </c>
      <c r="K2" s="11">
        <v>31</v>
      </c>
      <c r="L2" s="12">
        <v>18.670000000000002</v>
      </c>
      <c r="M2" s="13" t="s">
        <v>12</v>
      </c>
      <c r="N2" s="14" t="s">
        <v>13</v>
      </c>
      <c r="O2" s="11" t="s">
        <v>14</v>
      </c>
      <c r="P2" s="12" t="s">
        <v>15</v>
      </c>
    </row>
    <row r="3" spans="1:18" ht="27.6" customHeight="1">
      <c r="A3" s="15" t="s">
        <v>9</v>
      </c>
      <c r="B3" s="16">
        <v>1</v>
      </c>
      <c r="C3" s="17" t="s">
        <v>10</v>
      </c>
      <c r="D3" s="18" t="s">
        <v>11</v>
      </c>
      <c r="E3" s="19">
        <v>2</v>
      </c>
      <c r="F3" s="20" t="s">
        <v>16</v>
      </c>
      <c r="G3" s="21">
        <v>30</v>
      </c>
      <c r="H3" s="22">
        <v>27</v>
      </c>
      <c r="I3" s="23">
        <v>18.84</v>
      </c>
      <c r="J3" s="21">
        <v>130</v>
      </c>
      <c r="K3" s="24">
        <v>30</v>
      </c>
      <c r="L3" s="25">
        <v>55.82</v>
      </c>
      <c r="M3" s="26" t="s">
        <v>17</v>
      </c>
      <c r="N3" s="27" t="s">
        <v>13</v>
      </c>
      <c r="O3" s="24" t="s">
        <v>18</v>
      </c>
      <c r="P3" s="25" t="s">
        <v>19</v>
      </c>
    </row>
    <row r="4" spans="1:18" ht="27.6" customHeight="1">
      <c r="A4" s="15" t="s">
        <v>9</v>
      </c>
      <c r="B4" s="16">
        <v>1</v>
      </c>
      <c r="C4" s="17" t="s">
        <v>10</v>
      </c>
      <c r="D4" s="18" t="s">
        <v>11</v>
      </c>
      <c r="E4" s="19">
        <v>3</v>
      </c>
      <c r="F4" s="20" t="s">
        <v>20</v>
      </c>
      <c r="G4" s="21">
        <v>30</v>
      </c>
      <c r="H4" s="22">
        <v>27</v>
      </c>
      <c r="I4" s="23">
        <v>41.51</v>
      </c>
      <c r="J4" s="21">
        <v>130</v>
      </c>
      <c r="K4" s="24">
        <v>30</v>
      </c>
      <c r="L4" s="25">
        <v>59.84</v>
      </c>
      <c r="M4" s="26" t="s">
        <v>12</v>
      </c>
      <c r="N4" s="27" t="s">
        <v>13</v>
      </c>
      <c r="O4" s="24" t="s">
        <v>18</v>
      </c>
      <c r="P4" s="25" t="s">
        <v>21</v>
      </c>
    </row>
    <row r="5" spans="1:18" ht="27.6" customHeight="1">
      <c r="A5" s="15" t="s">
        <v>9</v>
      </c>
      <c r="B5" s="16">
        <v>1</v>
      </c>
      <c r="C5" s="17" t="s">
        <v>10</v>
      </c>
      <c r="D5" s="18" t="s">
        <v>11</v>
      </c>
      <c r="E5" s="19">
        <v>4</v>
      </c>
      <c r="F5" s="20" t="s">
        <v>22</v>
      </c>
      <c r="G5" s="21">
        <v>30</v>
      </c>
      <c r="H5" s="22">
        <v>27</v>
      </c>
      <c r="I5" s="23">
        <v>46.12</v>
      </c>
      <c r="J5" s="21">
        <v>130</v>
      </c>
      <c r="K5" s="24">
        <v>29</v>
      </c>
      <c r="L5" s="25">
        <v>36.340000000000003</v>
      </c>
      <c r="M5" s="26" t="s">
        <v>12</v>
      </c>
      <c r="N5" s="27" t="s">
        <v>13</v>
      </c>
      <c r="O5" s="24" t="s">
        <v>18</v>
      </c>
      <c r="P5" s="25" t="s">
        <v>23</v>
      </c>
    </row>
    <row r="6" spans="1:18" ht="27.6" customHeight="1">
      <c r="A6" s="15" t="s">
        <v>9</v>
      </c>
      <c r="B6" s="16">
        <v>1</v>
      </c>
      <c r="C6" s="17" t="s">
        <v>10</v>
      </c>
      <c r="D6" s="18" t="s">
        <v>11</v>
      </c>
      <c r="E6" s="19">
        <v>5</v>
      </c>
      <c r="F6" s="20" t="s">
        <v>24</v>
      </c>
      <c r="G6" s="21">
        <v>30</v>
      </c>
      <c r="H6" s="22">
        <v>27</v>
      </c>
      <c r="I6" s="23">
        <v>27.57</v>
      </c>
      <c r="J6" s="21">
        <v>130</v>
      </c>
      <c r="K6" s="24">
        <v>29</v>
      </c>
      <c r="L6" s="25">
        <v>19.86</v>
      </c>
      <c r="M6" s="26" t="s">
        <v>17</v>
      </c>
      <c r="N6" s="27" t="s">
        <v>13</v>
      </c>
      <c r="O6" s="24" t="s">
        <v>18</v>
      </c>
      <c r="P6" s="25" t="s">
        <v>25</v>
      </c>
    </row>
    <row r="7" spans="1:18" ht="27.6" customHeight="1">
      <c r="A7" s="15" t="s">
        <v>9</v>
      </c>
      <c r="B7" s="16">
        <v>1</v>
      </c>
      <c r="C7" s="17" t="s">
        <v>10</v>
      </c>
      <c r="D7" s="18" t="s">
        <v>11</v>
      </c>
      <c r="E7" s="19">
        <v>6</v>
      </c>
      <c r="F7" s="20" t="s">
        <v>26</v>
      </c>
      <c r="G7" s="21">
        <v>30</v>
      </c>
      <c r="H7" s="22">
        <v>26</v>
      </c>
      <c r="I7" s="23">
        <v>53.83</v>
      </c>
      <c r="J7" s="21">
        <v>130</v>
      </c>
      <c r="K7" s="24">
        <v>27</v>
      </c>
      <c r="L7" s="25">
        <v>48.21</v>
      </c>
      <c r="M7" s="26" t="s">
        <v>12</v>
      </c>
      <c r="N7" s="27" t="s">
        <v>13</v>
      </c>
      <c r="O7" s="24" t="s">
        <v>18</v>
      </c>
      <c r="P7" s="25" t="s">
        <v>27</v>
      </c>
    </row>
    <row r="8" spans="1:18" ht="27.6" customHeight="1">
      <c r="A8" s="15" t="s">
        <v>9</v>
      </c>
      <c r="B8" s="16">
        <v>1</v>
      </c>
      <c r="C8" s="17" t="s">
        <v>10</v>
      </c>
      <c r="D8" s="18" t="s">
        <v>11</v>
      </c>
      <c r="E8" s="19">
        <v>7</v>
      </c>
      <c r="F8" s="20" t="s">
        <v>28</v>
      </c>
      <c r="G8" s="21">
        <v>30</v>
      </c>
      <c r="H8" s="22">
        <v>16</v>
      </c>
      <c r="I8" s="23">
        <v>20.7</v>
      </c>
      <c r="J8" s="21">
        <v>130</v>
      </c>
      <c r="K8" s="24">
        <v>24</v>
      </c>
      <c r="L8" s="25">
        <v>44.7</v>
      </c>
      <c r="M8" s="26" t="s">
        <v>12</v>
      </c>
      <c r="N8" s="27" t="s">
        <v>13</v>
      </c>
      <c r="O8" s="24" t="s">
        <v>18</v>
      </c>
      <c r="P8" s="25" t="s">
        <v>29</v>
      </c>
    </row>
    <row r="9" spans="1:18" ht="27.6" customHeight="1">
      <c r="A9" s="15" t="s">
        <v>9</v>
      </c>
      <c r="B9" s="16">
        <v>1</v>
      </c>
      <c r="C9" s="17" t="s">
        <v>10</v>
      </c>
      <c r="D9" s="18" t="s">
        <v>11</v>
      </c>
      <c r="E9" s="19">
        <v>8</v>
      </c>
      <c r="F9" s="20" t="s">
        <v>848</v>
      </c>
      <c r="G9" s="21">
        <v>30</v>
      </c>
      <c r="H9" s="22">
        <v>14</v>
      </c>
      <c r="I9" s="23">
        <v>59.1</v>
      </c>
      <c r="J9" s="21">
        <v>130</v>
      </c>
      <c r="K9" s="24">
        <v>25</v>
      </c>
      <c r="L9" s="25">
        <v>4.7300000000000004</v>
      </c>
      <c r="M9" s="26" t="s">
        <v>12</v>
      </c>
      <c r="N9" s="27" t="s">
        <v>13</v>
      </c>
      <c r="O9" s="24" t="s">
        <v>18</v>
      </c>
      <c r="P9" s="25" t="s">
        <v>19</v>
      </c>
    </row>
    <row r="10" spans="1:18" ht="27.6" customHeight="1">
      <c r="A10" s="15" t="s">
        <v>9</v>
      </c>
      <c r="B10" s="16">
        <v>1</v>
      </c>
      <c r="C10" s="17" t="s">
        <v>10</v>
      </c>
      <c r="D10" s="18" t="s">
        <v>11</v>
      </c>
      <c r="E10" s="19">
        <v>9</v>
      </c>
      <c r="F10" s="20" t="s">
        <v>30</v>
      </c>
      <c r="G10" s="21">
        <v>30</v>
      </c>
      <c r="H10" s="22">
        <v>14</v>
      </c>
      <c r="I10" s="23">
        <v>55.86</v>
      </c>
      <c r="J10" s="21">
        <v>130</v>
      </c>
      <c r="K10" s="24">
        <v>25</v>
      </c>
      <c r="L10" s="25">
        <v>44.98</v>
      </c>
      <c r="M10" s="26" t="s">
        <v>12</v>
      </c>
      <c r="N10" s="27" t="s">
        <v>13</v>
      </c>
      <c r="O10" s="24" t="s">
        <v>18</v>
      </c>
      <c r="P10" s="25" t="s">
        <v>31</v>
      </c>
    </row>
    <row r="11" spans="1:18" ht="27.6" customHeight="1">
      <c r="A11" s="15" t="s">
        <v>9</v>
      </c>
      <c r="B11" s="16">
        <v>1</v>
      </c>
      <c r="C11" s="17" t="s">
        <v>10</v>
      </c>
      <c r="D11" s="18" t="s">
        <v>11</v>
      </c>
      <c r="E11" s="19">
        <v>10</v>
      </c>
      <c r="F11" s="20" t="s">
        <v>32</v>
      </c>
      <c r="G11" s="21">
        <v>30</v>
      </c>
      <c r="H11" s="22">
        <v>14</v>
      </c>
      <c r="I11" s="23">
        <v>0.46</v>
      </c>
      <c r="J11" s="21">
        <v>130</v>
      </c>
      <c r="K11" s="24">
        <v>28</v>
      </c>
      <c r="L11" s="25">
        <v>37.47</v>
      </c>
      <c r="M11" s="26" t="s">
        <v>33</v>
      </c>
      <c r="N11" s="27" t="s">
        <v>13</v>
      </c>
      <c r="O11" s="24" t="s">
        <v>18</v>
      </c>
      <c r="P11" s="25" t="s">
        <v>15</v>
      </c>
    </row>
    <row r="12" spans="1:18" ht="27.6" customHeight="1">
      <c r="A12" s="15" t="s">
        <v>9</v>
      </c>
      <c r="B12" s="16">
        <v>1</v>
      </c>
      <c r="C12" s="17" t="s">
        <v>10</v>
      </c>
      <c r="D12" s="18" t="s">
        <v>11</v>
      </c>
      <c r="E12" s="19">
        <v>11</v>
      </c>
      <c r="F12" s="20" t="s">
        <v>34</v>
      </c>
      <c r="G12" s="21">
        <v>30</v>
      </c>
      <c r="H12" s="22">
        <v>15</v>
      </c>
      <c r="I12" s="23">
        <v>38.15</v>
      </c>
      <c r="J12" s="15">
        <v>130</v>
      </c>
      <c r="K12" s="17">
        <v>36</v>
      </c>
      <c r="L12" s="43">
        <v>24.85</v>
      </c>
      <c r="M12" s="28" t="s">
        <v>12</v>
      </c>
      <c r="N12" s="29" t="s">
        <v>13</v>
      </c>
      <c r="O12" s="24" t="s">
        <v>18</v>
      </c>
      <c r="P12" s="20" t="s">
        <v>35</v>
      </c>
      <c r="R12" s="591" t="s">
        <v>36</v>
      </c>
    </row>
    <row r="13" spans="1:18" ht="27.6" customHeight="1">
      <c r="A13" s="15" t="s">
        <v>9</v>
      </c>
      <c r="B13" s="16">
        <v>1</v>
      </c>
      <c r="C13" s="17" t="s">
        <v>10</v>
      </c>
      <c r="D13" s="18" t="s">
        <v>11</v>
      </c>
      <c r="E13" s="19">
        <v>12</v>
      </c>
      <c r="F13" s="20" t="s">
        <v>37</v>
      </c>
      <c r="G13" s="21">
        <v>30</v>
      </c>
      <c r="H13" s="22">
        <v>28</v>
      </c>
      <c r="I13" s="23">
        <v>10.83</v>
      </c>
      <c r="J13" s="21">
        <v>130</v>
      </c>
      <c r="K13" s="24">
        <v>13</v>
      </c>
      <c r="L13" s="25">
        <v>47.45</v>
      </c>
      <c r="M13" s="26" t="s">
        <v>38</v>
      </c>
      <c r="N13" s="27" t="s">
        <v>39</v>
      </c>
      <c r="O13" s="24" t="s">
        <v>18</v>
      </c>
      <c r="P13" s="25" t="s">
        <v>40</v>
      </c>
    </row>
    <row r="14" spans="1:18" ht="27.6" customHeight="1">
      <c r="A14" s="15" t="s">
        <v>9</v>
      </c>
      <c r="B14" s="16">
        <v>1</v>
      </c>
      <c r="C14" s="17" t="s">
        <v>10</v>
      </c>
      <c r="D14" s="18" t="s">
        <v>11</v>
      </c>
      <c r="E14" s="19">
        <v>13</v>
      </c>
      <c r="F14" s="20" t="s">
        <v>41</v>
      </c>
      <c r="G14" s="21">
        <v>30</v>
      </c>
      <c r="H14" s="22">
        <v>29</v>
      </c>
      <c r="I14" s="23">
        <v>11.85</v>
      </c>
      <c r="J14" s="21">
        <v>130</v>
      </c>
      <c r="K14" s="24">
        <v>10</v>
      </c>
      <c r="L14" s="25">
        <v>8.3800000000000008</v>
      </c>
      <c r="M14" s="26" t="s">
        <v>17</v>
      </c>
      <c r="N14" s="27" t="s">
        <v>39</v>
      </c>
      <c r="O14" s="24" t="s">
        <v>18</v>
      </c>
      <c r="P14" s="25" t="s">
        <v>42</v>
      </c>
    </row>
    <row r="15" spans="1:18" ht="27.6" customHeight="1">
      <c r="A15" s="15" t="s">
        <v>9</v>
      </c>
      <c r="B15" s="16">
        <v>1</v>
      </c>
      <c r="C15" s="17" t="s">
        <v>10</v>
      </c>
      <c r="D15" s="18" t="s">
        <v>11</v>
      </c>
      <c r="E15" s="19">
        <v>14</v>
      </c>
      <c r="F15" s="20" t="s">
        <v>43</v>
      </c>
      <c r="G15" s="21">
        <v>30</v>
      </c>
      <c r="H15" s="22">
        <v>45</v>
      </c>
      <c r="I15" s="23">
        <v>29.13</v>
      </c>
      <c r="J15" s="21">
        <v>130</v>
      </c>
      <c r="K15" s="24">
        <v>51</v>
      </c>
      <c r="L15" s="25">
        <v>48.27</v>
      </c>
      <c r="M15" s="26" t="s">
        <v>12</v>
      </c>
      <c r="N15" s="27" t="s">
        <v>13</v>
      </c>
      <c r="O15" s="24" t="s">
        <v>18</v>
      </c>
      <c r="P15" s="25" t="s">
        <v>19</v>
      </c>
    </row>
    <row r="16" spans="1:18" ht="27.6" customHeight="1">
      <c r="A16" s="15" t="s">
        <v>9</v>
      </c>
      <c r="B16" s="16">
        <v>1</v>
      </c>
      <c r="C16" s="17" t="s">
        <v>10</v>
      </c>
      <c r="D16" s="18" t="s">
        <v>11</v>
      </c>
      <c r="E16" s="19">
        <v>15</v>
      </c>
      <c r="F16" s="20" t="s">
        <v>44</v>
      </c>
      <c r="G16" s="21">
        <v>30</v>
      </c>
      <c r="H16" s="22">
        <v>23</v>
      </c>
      <c r="I16" s="23">
        <v>56.94</v>
      </c>
      <c r="J16" s="21">
        <v>130</v>
      </c>
      <c r="K16" s="24">
        <v>59</v>
      </c>
      <c r="L16" s="23">
        <v>7.8</v>
      </c>
      <c r="M16" s="26" t="s">
        <v>45</v>
      </c>
      <c r="N16" s="27" t="s">
        <v>46</v>
      </c>
      <c r="O16" s="24" t="s">
        <v>18</v>
      </c>
      <c r="P16" s="25" t="s">
        <v>47</v>
      </c>
    </row>
    <row r="17" spans="1:18" ht="27.6" customHeight="1">
      <c r="A17" s="15" t="s">
        <v>9</v>
      </c>
      <c r="B17" s="16">
        <v>1</v>
      </c>
      <c r="C17" s="17" t="s">
        <v>10</v>
      </c>
      <c r="D17" s="18" t="s">
        <v>11</v>
      </c>
      <c r="E17" s="19">
        <v>16</v>
      </c>
      <c r="F17" s="20" t="s">
        <v>48</v>
      </c>
      <c r="G17" s="21">
        <v>30</v>
      </c>
      <c r="H17" s="22">
        <v>39</v>
      </c>
      <c r="I17" s="23">
        <v>54.6</v>
      </c>
      <c r="J17" s="21">
        <v>130</v>
      </c>
      <c r="K17" s="24">
        <v>56</v>
      </c>
      <c r="L17" s="25">
        <v>34.97</v>
      </c>
      <c r="M17" s="26" t="s">
        <v>45</v>
      </c>
      <c r="N17" s="27" t="s">
        <v>49</v>
      </c>
      <c r="O17" s="24" t="s">
        <v>18</v>
      </c>
      <c r="P17" s="25" t="s">
        <v>35</v>
      </c>
    </row>
    <row r="18" spans="1:18" ht="27.6" customHeight="1">
      <c r="A18" s="15" t="s">
        <v>9</v>
      </c>
      <c r="B18" s="16">
        <v>1</v>
      </c>
      <c r="C18" s="17" t="s">
        <v>10</v>
      </c>
      <c r="D18" s="18" t="s">
        <v>11</v>
      </c>
      <c r="E18" s="19">
        <v>17</v>
      </c>
      <c r="F18" s="20" t="s">
        <v>50</v>
      </c>
      <c r="G18" s="21">
        <v>30</v>
      </c>
      <c r="H18" s="22">
        <v>48</v>
      </c>
      <c r="I18" s="23">
        <v>30.27</v>
      </c>
      <c r="J18" s="21">
        <v>130</v>
      </c>
      <c r="K18" s="24">
        <v>24</v>
      </c>
      <c r="L18" s="25">
        <v>49.19</v>
      </c>
      <c r="M18" s="26" t="s">
        <v>45</v>
      </c>
      <c r="N18" s="27" t="s">
        <v>51</v>
      </c>
      <c r="O18" s="24" t="s">
        <v>18</v>
      </c>
      <c r="P18" s="25" t="s">
        <v>52</v>
      </c>
      <c r="R18" s="591" t="s">
        <v>53</v>
      </c>
    </row>
    <row r="19" spans="1:18" ht="27.6" customHeight="1">
      <c r="A19" s="15" t="s">
        <v>9</v>
      </c>
      <c r="B19" s="16">
        <v>1</v>
      </c>
      <c r="C19" s="17" t="s">
        <v>10</v>
      </c>
      <c r="D19" s="18" t="s">
        <v>11</v>
      </c>
      <c r="E19" s="19">
        <v>18</v>
      </c>
      <c r="F19" s="20" t="s">
        <v>54</v>
      </c>
      <c r="G19" s="21">
        <v>30</v>
      </c>
      <c r="H19" s="22">
        <v>46</v>
      </c>
      <c r="I19" s="23">
        <v>32.24</v>
      </c>
      <c r="J19" s="21">
        <v>130</v>
      </c>
      <c r="K19" s="24">
        <v>16</v>
      </c>
      <c r="L19" s="25">
        <v>31.12</v>
      </c>
      <c r="M19" s="26" t="s">
        <v>45</v>
      </c>
      <c r="N19" s="27" t="s">
        <v>51</v>
      </c>
      <c r="O19" s="24" t="s">
        <v>18</v>
      </c>
      <c r="P19" s="25" t="s">
        <v>55</v>
      </c>
    </row>
    <row r="20" spans="1:18" ht="27.6" customHeight="1">
      <c r="A20" s="15" t="s">
        <v>9</v>
      </c>
      <c r="B20" s="16">
        <v>1</v>
      </c>
      <c r="C20" s="17" t="s">
        <v>10</v>
      </c>
      <c r="D20" s="18" t="s">
        <v>11</v>
      </c>
      <c r="E20" s="19">
        <v>19</v>
      </c>
      <c r="F20" s="20" t="s">
        <v>56</v>
      </c>
      <c r="G20" s="64">
        <v>30</v>
      </c>
      <c r="H20" s="18">
        <v>48</v>
      </c>
      <c r="I20" s="25">
        <v>55.27</v>
      </c>
      <c r="J20" s="64">
        <v>129</v>
      </c>
      <c r="K20" s="18">
        <v>55</v>
      </c>
      <c r="L20" s="25">
        <v>4.8499999999999996</v>
      </c>
      <c r="M20" s="26" t="s">
        <v>45</v>
      </c>
      <c r="N20" s="27" t="s">
        <v>51</v>
      </c>
      <c r="O20" s="24" t="s">
        <v>18</v>
      </c>
      <c r="P20" s="23" t="s">
        <v>57</v>
      </c>
      <c r="R20" s="591" t="s">
        <v>58</v>
      </c>
    </row>
    <row r="21" spans="1:18" ht="27.6" customHeight="1" thickBot="1">
      <c r="A21" s="30" t="s">
        <v>9</v>
      </c>
      <c r="B21" s="31">
        <v>1</v>
      </c>
      <c r="C21" s="32" t="s">
        <v>10</v>
      </c>
      <c r="D21" s="33" t="s">
        <v>11</v>
      </c>
      <c r="E21" s="89">
        <v>20</v>
      </c>
      <c r="F21" s="34" t="s">
        <v>59</v>
      </c>
      <c r="G21" s="465">
        <v>30</v>
      </c>
      <c r="H21" s="33">
        <v>49</v>
      </c>
      <c r="I21" s="38">
        <v>28.48</v>
      </c>
      <c r="J21" s="465">
        <v>131</v>
      </c>
      <c r="K21" s="33">
        <v>2</v>
      </c>
      <c r="L21" s="38">
        <v>16.95</v>
      </c>
      <c r="M21" s="35" t="s">
        <v>60</v>
      </c>
      <c r="N21" s="36" t="s">
        <v>849</v>
      </c>
      <c r="O21" s="37" t="s">
        <v>61</v>
      </c>
      <c r="P21" s="38" t="s">
        <v>62</v>
      </c>
      <c r="R21" s="591"/>
    </row>
    <row r="22" spans="1:18" ht="27.6" customHeight="1" thickTop="1">
      <c r="A22" s="90" t="s">
        <v>63</v>
      </c>
      <c r="B22" s="91">
        <v>2</v>
      </c>
      <c r="C22" s="40" t="s">
        <v>64</v>
      </c>
      <c r="D22" s="41" t="s">
        <v>11</v>
      </c>
      <c r="E22" s="71">
        <v>1</v>
      </c>
      <c r="F22" s="134" t="s">
        <v>65</v>
      </c>
      <c r="G22" s="79">
        <v>29</v>
      </c>
      <c r="H22" s="80">
        <v>9</v>
      </c>
      <c r="I22" s="60">
        <v>36.200000000000003</v>
      </c>
      <c r="J22" s="79">
        <v>129</v>
      </c>
      <c r="K22" s="80">
        <v>12</v>
      </c>
      <c r="L22" s="60">
        <v>35.200000000000003</v>
      </c>
      <c r="M22" s="39" t="s">
        <v>66</v>
      </c>
      <c r="N22" s="40" t="s">
        <v>67</v>
      </c>
      <c r="O22" s="41" t="s">
        <v>68</v>
      </c>
      <c r="P22" s="60" t="s">
        <v>35</v>
      </c>
    </row>
    <row r="23" spans="1:18" ht="27.6" customHeight="1">
      <c r="A23" s="15" t="s">
        <v>63</v>
      </c>
      <c r="B23" s="16">
        <v>2</v>
      </c>
      <c r="C23" s="17" t="s">
        <v>64</v>
      </c>
      <c r="D23" s="22" t="s">
        <v>11</v>
      </c>
      <c r="E23" s="19">
        <v>2</v>
      </c>
      <c r="F23" s="43" t="s">
        <v>69</v>
      </c>
      <c r="G23" s="64">
        <v>29</v>
      </c>
      <c r="H23" s="18">
        <v>9</v>
      </c>
      <c r="I23" s="25">
        <v>33.1</v>
      </c>
      <c r="J23" s="64">
        <v>129</v>
      </c>
      <c r="K23" s="18">
        <v>12</v>
      </c>
      <c r="L23" s="25">
        <v>57.8</v>
      </c>
      <c r="M23" s="42" t="s">
        <v>70</v>
      </c>
      <c r="N23" s="17" t="s">
        <v>67</v>
      </c>
      <c r="O23" s="22" t="s">
        <v>68</v>
      </c>
      <c r="P23" s="25" t="s">
        <v>35</v>
      </c>
    </row>
    <row r="24" spans="1:18" ht="27.6" customHeight="1">
      <c r="A24" s="15" t="s">
        <v>63</v>
      </c>
      <c r="B24" s="16">
        <v>2</v>
      </c>
      <c r="C24" s="17" t="s">
        <v>64</v>
      </c>
      <c r="D24" s="22" t="s">
        <v>11</v>
      </c>
      <c r="E24" s="19">
        <v>3</v>
      </c>
      <c r="F24" s="43" t="s">
        <v>71</v>
      </c>
      <c r="G24" s="64">
        <v>29</v>
      </c>
      <c r="H24" s="18">
        <v>9</v>
      </c>
      <c r="I24" s="25">
        <v>14.2</v>
      </c>
      <c r="J24" s="64">
        <v>129</v>
      </c>
      <c r="K24" s="18">
        <v>13</v>
      </c>
      <c r="L24" s="25">
        <v>26.9</v>
      </c>
      <c r="M24" s="42" t="s">
        <v>72</v>
      </c>
      <c r="N24" s="17" t="s">
        <v>67</v>
      </c>
      <c r="O24" s="22" t="s">
        <v>18</v>
      </c>
      <c r="P24" s="25" t="s">
        <v>73</v>
      </c>
    </row>
    <row r="25" spans="1:18" ht="27.6" customHeight="1">
      <c r="A25" s="15" t="s">
        <v>63</v>
      </c>
      <c r="B25" s="16">
        <v>2</v>
      </c>
      <c r="C25" s="17" t="s">
        <v>64</v>
      </c>
      <c r="D25" s="22" t="s">
        <v>11</v>
      </c>
      <c r="E25" s="19">
        <v>4</v>
      </c>
      <c r="F25" s="43" t="s">
        <v>74</v>
      </c>
      <c r="G25" s="64">
        <v>29</v>
      </c>
      <c r="H25" s="18">
        <v>9</v>
      </c>
      <c r="I25" s="25">
        <v>12.4</v>
      </c>
      <c r="J25" s="64">
        <v>129</v>
      </c>
      <c r="K25" s="18">
        <v>13</v>
      </c>
      <c r="L25" s="25">
        <v>25.4</v>
      </c>
      <c r="M25" s="42" t="s">
        <v>70</v>
      </c>
      <c r="N25" s="17" t="s">
        <v>67</v>
      </c>
      <c r="O25" s="22" t="s">
        <v>68</v>
      </c>
      <c r="P25" s="25" t="s">
        <v>75</v>
      </c>
    </row>
    <row r="26" spans="1:18" ht="27.6" customHeight="1">
      <c r="A26" s="15" t="s">
        <v>63</v>
      </c>
      <c r="B26" s="16">
        <v>2</v>
      </c>
      <c r="C26" s="17" t="s">
        <v>64</v>
      </c>
      <c r="D26" s="22" t="s">
        <v>11</v>
      </c>
      <c r="E26" s="19">
        <v>5</v>
      </c>
      <c r="F26" s="43" t="s">
        <v>76</v>
      </c>
      <c r="G26" s="64">
        <v>29</v>
      </c>
      <c r="H26" s="18">
        <v>8</v>
      </c>
      <c r="I26" s="25">
        <v>38.4</v>
      </c>
      <c r="J26" s="64">
        <v>129</v>
      </c>
      <c r="K26" s="18">
        <v>13</v>
      </c>
      <c r="L26" s="25">
        <v>11.7</v>
      </c>
      <c r="M26" s="42" t="s">
        <v>66</v>
      </c>
      <c r="N26" s="17" t="s">
        <v>67</v>
      </c>
      <c r="O26" s="22" t="s">
        <v>68</v>
      </c>
      <c r="P26" s="25" t="s">
        <v>77</v>
      </c>
    </row>
    <row r="27" spans="1:18" ht="27.6" customHeight="1">
      <c r="A27" s="15" t="s">
        <v>63</v>
      </c>
      <c r="B27" s="16">
        <v>2</v>
      </c>
      <c r="C27" s="17" t="s">
        <v>64</v>
      </c>
      <c r="D27" s="22" t="s">
        <v>11</v>
      </c>
      <c r="E27" s="19">
        <v>6</v>
      </c>
      <c r="F27" s="43" t="s">
        <v>78</v>
      </c>
      <c r="G27" s="64">
        <v>29</v>
      </c>
      <c r="H27" s="18">
        <v>9</v>
      </c>
      <c r="I27" s="25">
        <v>5</v>
      </c>
      <c r="J27" s="64">
        <v>129</v>
      </c>
      <c r="K27" s="18">
        <v>13</v>
      </c>
      <c r="L27" s="25">
        <v>28.5</v>
      </c>
      <c r="M27" s="42" t="s">
        <v>66</v>
      </c>
      <c r="N27" s="17" t="s">
        <v>67</v>
      </c>
      <c r="O27" s="22" t="s">
        <v>18</v>
      </c>
      <c r="P27" s="25" t="s">
        <v>79</v>
      </c>
    </row>
    <row r="28" spans="1:18" ht="27.6" customHeight="1">
      <c r="A28" s="15" t="s">
        <v>63</v>
      </c>
      <c r="B28" s="16">
        <v>2</v>
      </c>
      <c r="C28" s="17" t="s">
        <v>64</v>
      </c>
      <c r="D28" s="22" t="s">
        <v>11</v>
      </c>
      <c r="E28" s="19">
        <v>7</v>
      </c>
      <c r="F28" s="43" t="s">
        <v>80</v>
      </c>
      <c r="G28" s="64">
        <v>29</v>
      </c>
      <c r="H28" s="18">
        <v>9</v>
      </c>
      <c r="I28" s="25">
        <v>4.5999999999999996</v>
      </c>
      <c r="J28" s="64">
        <v>129</v>
      </c>
      <c r="K28" s="18">
        <v>13</v>
      </c>
      <c r="L28" s="25">
        <v>34.299999999999997</v>
      </c>
      <c r="M28" s="42" t="s">
        <v>66</v>
      </c>
      <c r="N28" s="17" t="s">
        <v>67</v>
      </c>
      <c r="O28" s="22" t="s">
        <v>18</v>
      </c>
      <c r="P28" s="25" t="s">
        <v>81</v>
      </c>
    </row>
    <row r="29" spans="1:18" ht="27.6" customHeight="1">
      <c r="A29" s="15" t="s">
        <v>63</v>
      </c>
      <c r="B29" s="16">
        <v>2</v>
      </c>
      <c r="C29" s="17" t="s">
        <v>64</v>
      </c>
      <c r="D29" s="22" t="s">
        <v>11</v>
      </c>
      <c r="E29" s="19">
        <v>8</v>
      </c>
      <c r="F29" s="43" t="s">
        <v>82</v>
      </c>
      <c r="G29" s="64">
        <v>29</v>
      </c>
      <c r="H29" s="18">
        <v>13</v>
      </c>
      <c r="I29" s="25">
        <v>11.5</v>
      </c>
      <c r="J29" s="64">
        <v>129</v>
      </c>
      <c r="K29" s="18">
        <v>19</v>
      </c>
      <c r="L29" s="25">
        <v>48.8</v>
      </c>
      <c r="M29" s="42" t="s">
        <v>83</v>
      </c>
      <c r="N29" s="17" t="s">
        <v>84</v>
      </c>
      <c r="O29" s="22" t="s">
        <v>18</v>
      </c>
      <c r="P29" s="25" t="s">
        <v>85</v>
      </c>
    </row>
    <row r="30" spans="1:18" ht="27.6" customHeight="1">
      <c r="A30" s="15" t="s">
        <v>63</v>
      </c>
      <c r="B30" s="16">
        <v>2</v>
      </c>
      <c r="C30" s="17" t="s">
        <v>64</v>
      </c>
      <c r="D30" s="22" t="s">
        <v>11</v>
      </c>
      <c r="E30" s="19">
        <v>9</v>
      </c>
      <c r="F30" s="43" t="s">
        <v>86</v>
      </c>
      <c r="G30" s="64">
        <v>29</v>
      </c>
      <c r="H30" s="18">
        <v>28</v>
      </c>
      <c r="I30" s="25">
        <v>21.6</v>
      </c>
      <c r="J30" s="64">
        <v>129</v>
      </c>
      <c r="K30" s="18">
        <v>36</v>
      </c>
      <c r="L30" s="25">
        <v>30.5</v>
      </c>
      <c r="M30" s="42" t="s">
        <v>87</v>
      </c>
      <c r="N30" s="17" t="s">
        <v>67</v>
      </c>
      <c r="O30" s="22" t="s">
        <v>18</v>
      </c>
      <c r="P30" s="25" t="s">
        <v>88</v>
      </c>
    </row>
    <row r="31" spans="1:18" ht="27.6" customHeight="1">
      <c r="A31" s="15" t="s">
        <v>63</v>
      </c>
      <c r="B31" s="16">
        <v>2</v>
      </c>
      <c r="C31" s="17" t="s">
        <v>64</v>
      </c>
      <c r="D31" s="22" t="s">
        <v>11</v>
      </c>
      <c r="E31" s="19">
        <v>10</v>
      </c>
      <c r="F31" s="43" t="s">
        <v>89</v>
      </c>
      <c r="G31" s="64">
        <v>29</v>
      </c>
      <c r="H31" s="18">
        <v>27</v>
      </c>
      <c r="I31" s="25">
        <v>9.4</v>
      </c>
      <c r="J31" s="64">
        <v>129</v>
      </c>
      <c r="K31" s="18">
        <v>37</v>
      </c>
      <c r="L31" s="25">
        <v>15.4</v>
      </c>
      <c r="M31" s="42" t="s">
        <v>87</v>
      </c>
      <c r="N31" s="17" t="s">
        <v>67</v>
      </c>
      <c r="O31" s="22" t="s">
        <v>18</v>
      </c>
      <c r="P31" s="25" t="s">
        <v>90</v>
      </c>
    </row>
    <row r="32" spans="1:18" ht="27.6" customHeight="1">
      <c r="A32" s="15" t="s">
        <v>63</v>
      </c>
      <c r="B32" s="16">
        <v>2</v>
      </c>
      <c r="C32" s="17" t="s">
        <v>64</v>
      </c>
      <c r="D32" s="22" t="s">
        <v>11</v>
      </c>
      <c r="E32" s="19">
        <v>11</v>
      </c>
      <c r="F32" s="43" t="s">
        <v>91</v>
      </c>
      <c r="G32" s="64">
        <v>29</v>
      </c>
      <c r="H32" s="18">
        <v>37</v>
      </c>
      <c r="I32" s="25">
        <v>5</v>
      </c>
      <c r="J32" s="64">
        <v>129</v>
      </c>
      <c r="K32" s="18">
        <v>43</v>
      </c>
      <c r="L32" s="25">
        <v>9</v>
      </c>
      <c r="M32" s="42" t="s">
        <v>92</v>
      </c>
      <c r="N32" s="17" t="s">
        <v>93</v>
      </c>
      <c r="O32" s="22" t="s">
        <v>18</v>
      </c>
      <c r="P32" s="25" t="s">
        <v>62</v>
      </c>
    </row>
    <row r="33" spans="1:16" ht="27.6" customHeight="1">
      <c r="A33" s="15" t="s">
        <v>63</v>
      </c>
      <c r="B33" s="16">
        <v>2</v>
      </c>
      <c r="C33" s="17" t="s">
        <v>64</v>
      </c>
      <c r="D33" s="22" t="s">
        <v>11</v>
      </c>
      <c r="E33" s="19">
        <v>12</v>
      </c>
      <c r="F33" s="43" t="s">
        <v>94</v>
      </c>
      <c r="G33" s="64">
        <v>29</v>
      </c>
      <c r="H33" s="18">
        <v>36</v>
      </c>
      <c r="I33" s="25">
        <v>33</v>
      </c>
      <c r="J33" s="64">
        <v>129</v>
      </c>
      <c r="K33" s="18">
        <v>42</v>
      </c>
      <c r="L33" s="25">
        <v>48</v>
      </c>
      <c r="M33" s="42" t="s">
        <v>95</v>
      </c>
      <c r="N33" s="17" t="s">
        <v>84</v>
      </c>
      <c r="O33" s="22" t="s">
        <v>18</v>
      </c>
      <c r="P33" s="25" t="s">
        <v>96</v>
      </c>
    </row>
    <row r="34" spans="1:16" ht="27.6" customHeight="1">
      <c r="A34" s="15" t="s">
        <v>63</v>
      </c>
      <c r="B34" s="16">
        <v>2</v>
      </c>
      <c r="C34" s="17" t="s">
        <v>64</v>
      </c>
      <c r="D34" s="22" t="s">
        <v>11</v>
      </c>
      <c r="E34" s="19">
        <v>13</v>
      </c>
      <c r="F34" s="43" t="s">
        <v>97</v>
      </c>
      <c r="G34" s="64">
        <v>29</v>
      </c>
      <c r="H34" s="18">
        <v>50</v>
      </c>
      <c r="I34" s="25">
        <v>0</v>
      </c>
      <c r="J34" s="64">
        <v>129</v>
      </c>
      <c r="K34" s="18">
        <v>54</v>
      </c>
      <c r="L34" s="25">
        <v>37.200000000000003</v>
      </c>
      <c r="M34" s="42" t="s">
        <v>98</v>
      </c>
      <c r="N34" s="17" t="s">
        <v>67</v>
      </c>
      <c r="O34" s="22" t="s">
        <v>18</v>
      </c>
      <c r="P34" s="25" t="s">
        <v>99</v>
      </c>
    </row>
    <row r="35" spans="1:16" ht="27.6" customHeight="1">
      <c r="A35" s="15" t="s">
        <v>63</v>
      </c>
      <c r="B35" s="16">
        <v>2</v>
      </c>
      <c r="C35" s="17" t="s">
        <v>64</v>
      </c>
      <c r="D35" s="22" t="s">
        <v>11</v>
      </c>
      <c r="E35" s="19">
        <v>14</v>
      </c>
      <c r="F35" s="43" t="s">
        <v>100</v>
      </c>
      <c r="G35" s="64">
        <v>29</v>
      </c>
      <c r="H35" s="18">
        <v>13</v>
      </c>
      <c r="I35" s="25">
        <v>11.5</v>
      </c>
      <c r="J35" s="64">
        <v>129</v>
      </c>
      <c r="K35" s="18">
        <v>19</v>
      </c>
      <c r="L35" s="25">
        <v>48.8</v>
      </c>
      <c r="M35" s="42" t="s">
        <v>101</v>
      </c>
      <c r="N35" s="17" t="s">
        <v>67</v>
      </c>
      <c r="O35" s="22" t="s">
        <v>18</v>
      </c>
      <c r="P35" s="25" t="s">
        <v>85</v>
      </c>
    </row>
    <row r="36" spans="1:16" ht="27.6" customHeight="1">
      <c r="A36" s="15" t="s">
        <v>63</v>
      </c>
      <c r="B36" s="16">
        <v>2</v>
      </c>
      <c r="C36" s="17" t="s">
        <v>64</v>
      </c>
      <c r="D36" s="22" t="s">
        <v>11</v>
      </c>
      <c r="E36" s="19">
        <v>15</v>
      </c>
      <c r="F36" s="43" t="s">
        <v>102</v>
      </c>
      <c r="G36" s="64">
        <v>29</v>
      </c>
      <c r="H36" s="18">
        <v>9</v>
      </c>
      <c r="I36" s="25">
        <v>36.299999999999997</v>
      </c>
      <c r="J36" s="64">
        <v>129</v>
      </c>
      <c r="K36" s="18">
        <v>12</v>
      </c>
      <c r="L36" s="25">
        <v>5.3</v>
      </c>
      <c r="M36" s="42" t="s">
        <v>66</v>
      </c>
      <c r="N36" s="17" t="s">
        <v>67</v>
      </c>
      <c r="O36" s="22" t="s">
        <v>18</v>
      </c>
      <c r="P36" s="25" t="s">
        <v>35</v>
      </c>
    </row>
    <row r="37" spans="1:16" ht="27.6" customHeight="1">
      <c r="A37" s="15" t="s">
        <v>63</v>
      </c>
      <c r="B37" s="16">
        <v>2</v>
      </c>
      <c r="C37" s="17" t="s">
        <v>64</v>
      </c>
      <c r="D37" s="22" t="s">
        <v>11</v>
      </c>
      <c r="E37" s="19">
        <v>16</v>
      </c>
      <c r="F37" s="43" t="s">
        <v>103</v>
      </c>
      <c r="G37" s="64">
        <v>29</v>
      </c>
      <c r="H37" s="18">
        <v>13</v>
      </c>
      <c r="I37" s="25">
        <v>3.9</v>
      </c>
      <c r="J37" s="64">
        <v>129</v>
      </c>
      <c r="K37" s="18">
        <v>19</v>
      </c>
      <c r="L37" s="25">
        <v>31.6</v>
      </c>
      <c r="M37" s="42" t="s">
        <v>66</v>
      </c>
      <c r="N37" s="17" t="s">
        <v>67</v>
      </c>
      <c r="O37" s="22" t="s">
        <v>18</v>
      </c>
      <c r="P37" s="25" t="s">
        <v>85</v>
      </c>
    </row>
    <row r="38" spans="1:16" ht="27.6" customHeight="1">
      <c r="A38" s="15" t="s">
        <v>63</v>
      </c>
      <c r="B38" s="16">
        <v>2</v>
      </c>
      <c r="C38" s="17" t="s">
        <v>64</v>
      </c>
      <c r="D38" s="22" t="s">
        <v>11</v>
      </c>
      <c r="E38" s="19">
        <v>17</v>
      </c>
      <c r="F38" s="43" t="s">
        <v>104</v>
      </c>
      <c r="G38" s="64">
        <v>29</v>
      </c>
      <c r="H38" s="18">
        <v>13</v>
      </c>
      <c r="I38" s="25">
        <v>42.7</v>
      </c>
      <c r="J38" s="64">
        <v>129</v>
      </c>
      <c r="K38" s="18">
        <v>19</v>
      </c>
      <c r="L38" s="25">
        <v>26.9</v>
      </c>
      <c r="M38" s="42" t="s">
        <v>66</v>
      </c>
      <c r="N38" s="17" t="s">
        <v>67</v>
      </c>
      <c r="O38" s="22" t="s">
        <v>18</v>
      </c>
      <c r="P38" s="25" t="s">
        <v>35</v>
      </c>
    </row>
    <row r="39" spans="1:16" ht="27.6" customHeight="1">
      <c r="A39" s="15" t="s">
        <v>63</v>
      </c>
      <c r="B39" s="16">
        <v>2</v>
      </c>
      <c r="C39" s="17" t="s">
        <v>64</v>
      </c>
      <c r="D39" s="22" t="s">
        <v>11</v>
      </c>
      <c r="E39" s="19">
        <v>18</v>
      </c>
      <c r="F39" s="43" t="s">
        <v>105</v>
      </c>
      <c r="G39" s="64">
        <v>29</v>
      </c>
      <c r="H39" s="18">
        <v>13</v>
      </c>
      <c r="I39" s="25">
        <v>33.9</v>
      </c>
      <c r="J39" s="64">
        <v>129</v>
      </c>
      <c r="K39" s="18">
        <v>19</v>
      </c>
      <c r="L39" s="25">
        <v>9</v>
      </c>
      <c r="M39" s="42" t="s">
        <v>66</v>
      </c>
      <c r="N39" s="17" t="s">
        <v>67</v>
      </c>
      <c r="O39" s="22" t="s">
        <v>18</v>
      </c>
      <c r="P39" s="25" t="s">
        <v>35</v>
      </c>
    </row>
    <row r="40" spans="1:16" ht="27.6" customHeight="1">
      <c r="A40" s="15" t="s">
        <v>63</v>
      </c>
      <c r="B40" s="16">
        <v>2</v>
      </c>
      <c r="C40" s="17" t="s">
        <v>64</v>
      </c>
      <c r="D40" s="22" t="s">
        <v>11</v>
      </c>
      <c r="E40" s="19">
        <v>19</v>
      </c>
      <c r="F40" s="43" t="s">
        <v>106</v>
      </c>
      <c r="G40" s="64">
        <v>29</v>
      </c>
      <c r="H40" s="18">
        <v>27</v>
      </c>
      <c r="I40" s="25">
        <v>34.4</v>
      </c>
      <c r="J40" s="64">
        <v>129</v>
      </c>
      <c r="K40" s="18">
        <v>36</v>
      </c>
      <c r="L40" s="25">
        <v>58.6</v>
      </c>
      <c r="M40" s="42" t="s">
        <v>98</v>
      </c>
      <c r="N40" s="17" t="s">
        <v>67</v>
      </c>
      <c r="O40" s="22" t="s">
        <v>18</v>
      </c>
      <c r="P40" s="25" t="s">
        <v>107</v>
      </c>
    </row>
    <row r="41" spans="1:16" ht="27.6" customHeight="1">
      <c r="A41" s="15" t="s">
        <v>63</v>
      </c>
      <c r="B41" s="16">
        <v>2</v>
      </c>
      <c r="C41" s="17" t="s">
        <v>64</v>
      </c>
      <c r="D41" s="22" t="s">
        <v>11</v>
      </c>
      <c r="E41" s="19">
        <v>20</v>
      </c>
      <c r="F41" s="43" t="s">
        <v>108</v>
      </c>
      <c r="G41" s="64">
        <v>29</v>
      </c>
      <c r="H41" s="18">
        <v>51</v>
      </c>
      <c r="I41" s="25">
        <v>29.2</v>
      </c>
      <c r="J41" s="64">
        <v>129</v>
      </c>
      <c r="K41" s="18">
        <v>50</v>
      </c>
      <c r="L41" s="25">
        <v>8.8000000000000007</v>
      </c>
      <c r="M41" s="42" t="s">
        <v>109</v>
      </c>
      <c r="N41" s="17" t="s">
        <v>110</v>
      </c>
      <c r="O41" s="22" t="s">
        <v>18</v>
      </c>
      <c r="P41" s="25" t="s">
        <v>99</v>
      </c>
    </row>
    <row r="42" spans="1:16" ht="27.6" customHeight="1">
      <c r="A42" s="15" t="s">
        <v>63</v>
      </c>
      <c r="B42" s="16">
        <v>2</v>
      </c>
      <c r="C42" s="17" t="s">
        <v>64</v>
      </c>
      <c r="D42" s="22" t="s">
        <v>11</v>
      </c>
      <c r="E42" s="19">
        <v>21</v>
      </c>
      <c r="F42" s="43" t="s">
        <v>111</v>
      </c>
      <c r="G42" s="64">
        <v>29</v>
      </c>
      <c r="H42" s="18">
        <v>51</v>
      </c>
      <c r="I42" s="25">
        <v>8.1999999999999993</v>
      </c>
      <c r="J42" s="64">
        <v>129</v>
      </c>
      <c r="K42" s="18">
        <v>50</v>
      </c>
      <c r="L42" s="25">
        <v>15</v>
      </c>
      <c r="M42" s="42" t="s">
        <v>98</v>
      </c>
      <c r="N42" s="17" t="s">
        <v>67</v>
      </c>
      <c r="O42" s="22" t="s">
        <v>18</v>
      </c>
      <c r="P42" s="25" t="s">
        <v>112</v>
      </c>
    </row>
    <row r="43" spans="1:16" ht="27.6" customHeight="1">
      <c r="A43" s="15" t="s">
        <v>63</v>
      </c>
      <c r="B43" s="16">
        <v>2</v>
      </c>
      <c r="C43" s="17" t="s">
        <v>64</v>
      </c>
      <c r="D43" s="22" t="s">
        <v>11</v>
      </c>
      <c r="E43" s="19">
        <v>22</v>
      </c>
      <c r="F43" s="43" t="s">
        <v>113</v>
      </c>
      <c r="G43" s="64">
        <v>28</v>
      </c>
      <c r="H43" s="18">
        <v>50</v>
      </c>
      <c r="I43" s="25">
        <v>13.9</v>
      </c>
      <c r="J43" s="64">
        <v>129</v>
      </c>
      <c r="K43" s="18">
        <v>0</v>
      </c>
      <c r="L43" s="25">
        <v>3.4</v>
      </c>
      <c r="M43" s="42" t="s">
        <v>114</v>
      </c>
      <c r="N43" s="17" t="s">
        <v>67</v>
      </c>
      <c r="O43" s="22" t="s">
        <v>18</v>
      </c>
      <c r="P43" s="25" t="s">
        <v>115</v>
      </c>
    </row>
    <row r="44" spans="1:16" ht="27.6" customHeight="1">
      <c r="A44" s="15" t="s">
        <v>63</v>
      </c>
      <c r="B44" s="16">
        <v>2</v>
      </c>
      <c r="C44" s="17" t="s">
        <v>64</v>
      </c>
      <c r="D44" s="22" t="s">
        <v>11</v>
      </c>
      <c r="E44" s="19">
        <v>23</v>
      </c>
      <c r="F44" s="43" t="s">
        <v>116</v>
      </c>
      <c r="G44" s="64">
        <v>28</v>
      </c>
      <c r="H44" s="18">
        <v>47</v>
      </c>
      <c r="I44" s="25">
        <v>55.7</v>
      </c>
      <c r="J44" s="64">
        <v>128</v>
      </c>
      <c r="K44" s="18">
        <v>59</v>
      </c>
      <c r="L44" s="25">
        <v>4.5</v>
      </c>
      <c r="M44" s="42" t="s">
        <v>117</v>
      </c>
      <c r="N44" s="17" t="s">
        <v>67</v>
      </c>
      <c r="O44" s="22" t="s">
        <v>18</v>
      </c>
      <c r="P44" s="25" t="s">
        <v>107</v>
      </c>
    </row>
    <row r="45" spans="1:16" ht="27.6" customHeight="1">
      <c r="A45" s="15" t="s">
        <v>63</v>
      </c>
      <c r="B45" s="16">
        <v>2</v>
      </c>
      <c r="C45" s="17" t="s">
        <v>64</v>
      </c>
      <c r="D45" s="22" t="s">
        <v>11</v>
      </c>
      <c r="E45" s="19">
        <v>24</v>
      </c>
      <c r="F45" s="43" t="s">
        <v>118</v>
      </c>
      <c r="G45" s="21">
        <v>29</v>
      </c>
      <c r="H45" s="467">
        <v>8</v>
      </c>
      <c r="I45" s="592">
        <v>33.1</v>
      </c>
      <c r="J45" s="468">
        <v>129</v>
      </c>
      <c r="K45" s="467">
        <v>11</v>
      </c>
      <c r="L45" s="592">
        <v>45.3</v>
      </c>
      <c r="M45" s="42"/>
      <c r="N45" s="17" t="s">
        <v>119</v>
      </c>
      <c r="O45" s="22" t="s">
        <v>18</v>
      </c>
      <c r="P45" s="25" t="s">
        <v>850</v>
      </c>
    </row>
    <row r="46" spans="1:16" ht="27.6" customHeight="1">
      <c r="A46" s="15" t="s">
        <v>63</v>
      </c>
      <c r="B46" s="16">
        <v>2</v>
      </c>
      <c r="C46" s="17" t="s">
        <v>64</v>
      </c>
      <c r="D46" s="22" t="s">
        <v>11</v>
      </c>
      <c r="E46" s="19">
        <v>25</v>
      </c>
      <c r="F46" s="43" t="s">
        <v>120</v>
      </c>
      <c r="G46" s="21">
        <v>29</v>
      </c>
      <c r="H46" s="467">
        <v>26</v>
      </c>
      <c r="I46" s="592">
        <v>41.3</v>
      </c>
      <c r="J46" s="468">
        <v>129</v>
      </c>
      <c r="K46" s="467">
        <v>36</v>
      </c>
      <c r="L46" s="592">
        <v>27.8</v>
      </c>
      <c r="M46" s="42" t="s">
        <v>121</v>
      </c>
      <c r="N46" s="17" t="s">
        <v>119</v>
      </c>
      <c r="O46" s="22" t="s">
        <v>18</v>
      </c>
      <c r="P46" s="25" t="s">
        <v>1185</v>
      </c>
    </row>
    <row r="47" spans="1:16" ht="27.6" customHeight="1">
      <c r="A47" s="15" t="s">
        <v>63</v>
      </c>
      <c r="B47" s="16">
        <v>2</v>
      </c>
      <c r="C47" s="17" t="s">
        <v>64</v>
      </c>
      <c r="D47" s="22" t="s">
        <v>11</v>
      </c>
      <c r="E47" s="19">
        <v>26</v>
      </c>
      <c r="F47" s="43" t="s">
        <v>1112</v>
      </c>
      <c r="G47" s="120">
        <v>29</v>
      </c>
      <c r="H47" s="469">
        <v>50</v>
      </c>
      <c r="I47" s="593">
        <v>41.4</v>
      </c>
      <c r="J47" s="471">
        <v>129</v>
      </c>
      <c r="K47" s="469">
        <v>53</v>
      </c>
      <c r="L47" s="593">
        <v>48.2</v>
      </c>
      <c r="M47" s="472" t="s">
        <v>1177</v>
      </c>
      <c r="N47" s="47" t="s">
        <v>1066</v>
      </c>
      <c r="O47" s="121" t="s">
        <v>18</v>
      </c>
      <c r="P47" s="52" t="s">
        <v>1180</v>
      </c>
    </row>
    <row r="48" spans="1:16" ht="27.6" customHeight="1">
      <c r="A48" s="15" t="s">
        <v>63</v>
      </c>
      <c r="B48" s="16">
        <v>2</v>
      </c>
      <c r="C48" s="17" t="s">
        <v>64</v>
      </c>
      <c r="D48" s="22" t="s">
        <v>11</v>
      </c>
      <c r="E48" s="19">
        <v>27</v>
      </c>
      <c r="F48" s="43" t="s">
        <v>1191</v>
      </c>
      <c r="G48" s="21">
        <v>29</v>
      </c>
      <c r="H48" s="467">
        <v>58</v>
      </c>
      <c r="I48" s="592">
        <v>7.9</v>
      </c>
      <c r="J48" s="468">
        <v>129</v>
      </c>
      <c r="K48" s="467">
        <v>54</v>
      </c>
      <c r="L48" s="592">
        <v>17.399999999999999</v>
      </c>
      <c r="M48" s="42" t="s">
        <v>1178</v>
      </c>
      <c r="N48" s="17" t="s">
        <v>1066</v>
      </c>
      <c r="O48" s="22" t="s">
        <v>18</v>
      </c>
      <c r="P48" s="25" t="s">
        <v>1181</v>
      </c>
    </row>
    <row r="49" spans="1:16" ht="27.6" customHeight="1">
      <c r="A49" s="15" t="s">
        <v>63</v>
      </c>
      <c r="B49" s="16">
        <v>2</v>
      </c>
      <c r="C49" s="17" t="s">
        <v>64</v>
      </c>
      <c r="D49" s="22" t="s">
        <v>11</v>
      </c>
      <c r="E49" s="19">
        <v>28</v>
      </c>
      <c r="F49" s="43" t="s">
        <v>1113</v>
      </c>
      <c r="G49" s="21">
        <v>29</v>
      </c>
      <c r="H49" s="467">
        <v>58</v>
      </c>
      <c r="I49" s="592">
        <v>27.1</v>
      </c>
      <c r="J49" s="468">
        <v>129</v>
      </c>
      <c r="K49" s="467">
        <v>53</v>
      </c>
      <c r="L49" s="592">
        <v>58.8</v>
      </c>
      <c r="M49" s="42" t="s">
        <v>1179</v>
      </c>
      <c r="N49" s="17" t="s">
        <v>1066</v>
      </c>
      <c r="O49" s="22" t="s">
        <v>18</v>
      </c>
      <c r="P49" s="25" t="s">
        <v>1181</v>
      </c>
    </row>
    <row r="50" spans="1:16" ht="27.6" customHeight="1">
      <c r="A50" s="15" t="s">
        <v>63</v>
      </c>
      <c r="B50" s="16">
        <v>2</v>
      </c>
      <c r="C50" s="17" t="s">
        <v>64</v>
      </c>
      <c r="D50" s="22" t="s">
        <v>11</v>
      </c>
      <c r="E50" s="19">
        <v>29</v>
      </c>
      <c r="F50" s="43" t="s">
        <v>1114</v>
      </c>
      <c r="G50" s="21">
        <v>29</v>
      </c>
      <c r="H50" s="467">
        <v>58</v>
      </c>
      <c r="I50" s="592">
        <v>50.6</v>
      </c>
      <c r="J50" s="468">
        <v>129</v>
      </c>
      <c r="K50" s="467">
        <v>54</v>
      </c>
      <c r="L50" s="592">
        <v>5.7</v>
      </c>
      <c r="M50" s="42" t="s">
        <v>1178</v>
      </c>
      <c r="N50" s="17" t="s">
        <v>1066</v>
      </c>
      <c r="O50" s="22" t="s">
        <v>18</v>
      </c>
      <c r="P50" s="25" t="s">
        <v>1182</v>
      </c>
    </row>
    <row r="51" spans="1:16" ht="27.6" customHeight="1">
      <c r="A51" s="15" t="s">
        <v>63</v>
      </c>
      <c r="B51" s="16">
        <v>2</v>
      </c>
      <c r="C51" s="17" t="s">
        <v>64</v>
      </c>
      <c r="D51" s="22" t="s">
        <v>11</v>
      </c>
      <c r="E51" s="19">
        <v>30</v>
      </c>
      <c r="F51" s="43" t="s">
        <v>1115</v>
      </c>
      <c r="G51" s="21">
        <v>29</v>
      </c>
      <c r="H51" s="467">
        <v>59</v>
      </c>
      <c r="I51" s="592">
        <v>25.2</v>
      </c>
      <c r="J51" s="468">
        <v>129</v>
      </c>
      <c r="K51" s="467">
        <v>55</v>
      </c>
      <c r="L51" s="592">
        <v>26.5</v>
      </c>
      <c r="M51" s="42" t="s">
        <v>1177</v>
      </c>
      <c r="N51" s="17" t="s">
        <v>1066</v>
      </c>
      <c r="O51" s="22" t="s">
        <v>18</v>
      </c>
      <c r="P51" s="25" t="s">
        <v>1183</v>
      </c>
    </row>
    <row r="52" spans="1:16" ht="27.6" customHeight="1" thickBot="1">
      <c r="A52" s="429" t="s">
        <v>63</v>
      </c>
      <c r="B52" s="44">
        <v>2</v>
      </c>
      <c r="C52" s="135" t="s">
        <v>64</v>
      </c>
      <c r="D52" s="108" t="s">
        <v>11</v>
      </c>
      <c r="E52" s="84">
        <v>31</v>
      </c>
      <c r="F52" s="136" t="s">
        <v>1116</v>
      </c>
      <c r="G52" s="107">
        <v>29</v>
      </c>
      <c r="H52" s="473">
        <v>59</v>
      </c>
      <c r="I52" s="594">
        <v>49.8</v>
      </c>
      <c r="J52" s="474">
        <v>129</v>
      </c>
      <c r="K52" s="473">
        <v>54</v>
      </c>
      <c r="L52" s="594">
        <v>37.1</v>
      </c>
      <c r="M52" s="475" t="s">
        <v>1178</v>
      </c>
      <c r="N52" s="135" t="s">
        <v>1066</v>
      </c>
      <c r="O52" s="108" t="s">
        <v>18</v>
      </c>
      <c r="P52" s="85" t="s">
        <v>1184</v>
      </c>
    </row>
    <row r="53" spans="1:16" ht="27.6" customHeight="1" thickTop="1">
      <c r="A53" s="45" t="s">
        <v>122</v>
      </c>
      <c r="B53" s="46">
        <v>3</v>
      </c>
      <c r="C53" s="47" t="s">
        <v>123</v>
      </c>
      <c r="D53" s="48" t="s">
        <v>124</v>
      </c>
      <c r="E53" s="49">
        <v>1</v>
      </c>
      <c r="F53" s="50" t="s">
        <v>125</v>
      </c>
      <c r="G53" s="120">
        <v>28</v>
      </c>
      <c r="H53" s="121">
        <v>28</v>
      </c>
      <c r="I53" s="122">
        <v>15.9</v>
      </c>
      <c r="J53" s="120">
        <v>129</v>
      </c>
      <c r="K53" s="51">
        <v>38</v>
      </c>
      <c r="L53" s="52">
        <v>53.3</v>
      </c>
      <c r="M53" s="53" t="s">
        <v>126</v>
      </c>
      <c r="N53" s="54" t="s">
        <v>127</v>
      </c>
      <c r="O53" s="51" t="s">
        <v>18</v>
      </c>
      <c r="P53" s="52" t="s">
        <v>128</v>
      </c>
    </row>
    <row r="54" spans="1:16" ht="27.6" customHeight="1">
      <c r="A54" s="15" t="s">
        <v>122</v>
      </c>
      <c r="B54" s="16">
        <v>3</v>
      </c>
      <c r="C54" s="17" t="s">
        <v>123</v>
      </c>
      <c r="D54" s="18" t="s">
        <v>124</v>
      </c>
      <c r="E54" s="19">
        <v>2</v>
      </c>
      <c r="F54" s="55" t="s">
        <v>129</v>
      </c>
      <c r="G54" s="21">
        <v>28</v>
      </c>
      <c r="H54" s="22">
        <v>24</v>
      </c>
      <c r="I54" s="23">
        <v>38.700000000000003</v>
      </c>
      <c r="J54" s="21">
        <v>129</v>
      </c>
      <c r="K54" s="24">
        <v>41</v>
      </c>
      <c r="L54" s="25">
        <v>24.1</v>
      </c>
      <c r="M54" s="26" t="s">
        <v>130</v>
      </c>
      <c r="N54" s="27" t="s">
        <v>131</v>
      </c>
      <c r="O54" s="24" t="s">
        <v>18</v>
      </c>
      <c r="P54" s="25" t="s">
        <v>128</v>
      </c>
    </row>
    <row r="55" spans="1:16" ht="27.6" customHeight="1">
      <c r="A55" s="15" t="s">
        <v>122</v>
      </c>
      <c r="B55" s="16">
        <v>3</v>
      </c>
      <c r="C55" s="17" t="s">
        <v>123</v>
      </c>
      <c r="D55" s="18" t="s">
        <v>124</v>
      </c>
      <c r="E55" s="19">
        <v>3</v>
      </c>
      <c r="F55" s="55" t="s">
        <v>132</v>
      </c>
      <c r="G55" s="21">
        <v>28</v>
      </c>
      <c r="H55" s="22">
        <v>24</v>
      </c>
      <c r="I55" s="23">
        <v>9.3000000000000007</v>
      </c>
      <c r="J55" s="21">
        <v>129</v>
      </c>
      <c r="K55" s="24">
        <v>38</v>
      </c>
      <c r="L55" s="23">
        <v>15</v>
      </c>
      <c r="M55" s="26" t="s">
        <v>130</v>
      </c>
      <c r="N55" s="27" t="s">
        <v>131</v>
      </c>
      <c r="O55" s="24" t="s">
        <v>18</v>
      </c>
      <c r="P55" s="25" t="s">
        <v>133</v>
      </c>
    </row>
    <row r="56" spans="1:16" ht="27.6" customHeight="1">
      <c r="A56" s="15" t="s">
        <v>122</v>
      </c>
      <c r="B56" s="16">
        <v>3</v>
      </c>
      <c r="C56" s="17" t="s">
        <v>123</v>
      </c>
      <c r="D56" s="18" t="s">
        <v>124</v>
      </c>
      <c r="E56" s="19">
        <v>4</v>
      </c>
      <c r="F56" s="55" t="s">
        <v>134</v>
      </c>
      <c r="G56" s="21">
        <v>28</v>
      </c>
      <c r="H56" s="22">
        <v>25</v>
      </c>
      <c r="I56" s="23">
        <v>45.1</v>
      </c>
      <c r="J56" s="21">
        <v>129</v>
      </c>
      <c r="K56" s="24">
        <v>35</v>
      </c>
      <c r="L56" s="25">
        <v>53.8</v>
      </c>
      <c r="M56" s="26" t="s">
        <v>135</v>
      </c>
      <c r="N56" s="27" t="s">
        <v>136</v>
      </c>
      <c r="O56" s="24" t="s">
        <v>18</v>
      </c>
      <c r="P56" s="25" t="s">
        <v>35</v>
      </c>
    </row>
    <row r="57" spans="1:16" ht="27.6" customHeight="1">
      <c r="A57" s="15" t="s">
        <v>122</v>
      </c>
      <c r="B57" s="16">
        <v>3</v>
      </c>
      <c r="C57" s="17" t="s">
        <v>123</v>
      </c>
      <c r="D57" s="18" t="s">
        <v>124</v>
      </c>
      <c r="E57" s="19">
        <v>5</v>
      </c>
      <c r="F57" s="55" t="s">
        <v>137</v>
      </c>
      <c r="G57" s="21">
        <v>28</v>
      </c>
      <c r="H57" s="22">
        <v>28</v>
      </c>
      <c r="I57" s="23">
        <v>39.6</v>
      </c>
      <c r="J57" s="21">
        <v>129</v>
      </c>
      <c r="K57" s="24">
        <v>36</v>
      </c>
      <c r="L57" s="25">
        <v>35.299999999999997</v>
      </c>
      <c r="M57" s="26" t="s">
        <v>130</v>
      </c>
      <c r="N57" s="27" t="s">
        <v>131</v>
      </c>
      <c r="O57" s="24" t="s">
        <v>18</v>
      </c>
      <c r="P57" s="25" t="s">
        <v>133</v>
      </c>
    </row>
    <row r="58" spans="1:16" ht="27.6" customHeight="1">
      <c r="A58" s="15" t="s">
        <v>122</v>
      </c>
      <c r="B58" s="16">
        <v>3</v>
      </c>
      <c r="C58" s="17" t="s">
        <v>123</v>
      </c>
      <c r="D58" s="18" t="s">
        <v>124</v>
      </c>
      <c r="E58" s="19">
        <v>6</v>
      </c>
      <c r="F58" s="55" t="s">
        <v>138</v>
      </c>
      <c r="G58" s="21">
        <v>28</v>
      </c>
      <c r="H58" s="22">
        <v>20</v>
      </c>
      <c r="I58" s="23">
        <v>15.2</v>
      </c>
      <c r="J58" s="21">
        <v>129</v>
      </c>
      <c r="K58" s="24">
        <v>34</v>
      </c>
      <c r="L58" s="25">
        <v>2.9</v>
      </c>
      <c r="M58" s="26" t="s">
        <v>139</v>
      </c>
      <c r="N58" s="27" t="s">
        <v>127</v>
      </c>
      <c r="O58" s="24" t="s">
        <v>18</v>
      </c>
      <c r="P58" s="25" t="s">
        <v>35</v>
      </c>
    </row>
    <row r="59" spans="1:16" ht="27.6" customHeight="1">
      <c r="A59" s="15" t="s">
        <v>122</v>
      </c>
      <c r="B59" s="16">
        <v>3</v>
      </c>
      <c r="C59" s="17" t="s">
        <v>123</v>
      </c>
      <c r="D59" s="18" t="s">
        <v>124</v>
      </c>
      <c r="E59" s="19">
        <v>7</v>
      </c>
      <c r="F59" s="55" t="s">
        <v>1643</v>
      </c>
      <c r="G59" s="21">
        <v>28</v>
      </c>
      <c r="H59" s="22">
        <v>20</v>
      </c>
      <c r="I59" s="23">
        <v>0.2</v>
      </c>
      <c r="J59" s="21">
        <v>129</v>
      </c>
      <c r="K59" s="24">
        <v>33</v>
      </c>
      <c r="L59" s="25">
        <v>17.399999999999999</v>
      </c>
      <c r="M59" s="26" t="s">
        <v>140</v>
      </c>
      <c r="N59" s="27" t="s">
        <v>131</v>
      </c>
      <c r="O59" s="24" t="s">
        <v>18</v>
      </c>
      <c r="P59" s="25" t="s">
        <v>35</v>
      </c>
    </row>
    <row r="60" spans="1:16" ht="27.6" customHeight="1">
      <c r="A60" s="15" t="s">
        <v>122</v>
      </c>
      <c r="B60" s="16">
        <v>3</v>
      </c>
      <c r="C60" s="17" t="s">
        <v>123</v>
      </c>
      <c r="D60" s="18" t="s">
        <v>124</v>
      </c>
      <c r="E60" s="19">
        <v>8</v>
      </c>
      <c r="F60" s="55" t="s">
        <v>141</v>
      </c>
      <c r="G60" s="21">
        <v>28</v>
      </c>
      <c r="H60" s="22">
        <v>24</v>
      </c>
      <c r="I60" s="23">
        <v>46.2</v>
      </c>
      <c r="J60" s="21">
        <v>129</v>
      </c>
      <c r="K60" s="24">
        <v>27</v>
      </c>
      <c r="L60" s="25">
        <v>40.5</v>
      </c>
      <c r="M60" s="26" t="s">
        <v>130</v>
      </c>
      <c r="N60" s="27" t="s">
        <v>131</v>
      </c>
      <c r="O60" s="24" t="s">
        <v>18</v>
      </c>
      <c r="P60" s="25" t="s">
        <v>133</v>
      </c>
    </row>
    <row r="61" spans="1:16" ht="27.6" customHeight="1">
      <c r="A61" s="15" t="s">
        <v>122</v>
      </c>
      <c r="B61" s="16">
        <v>3</v>
      </c>
      <c r="C61" s="17" t="s">
        <v>123</v>
      </c>
      <c r="D61" s="18" t="s">
        <v>124</v>
      </c>
      <c r="E61" s="19">
        <v>9</v>
      </c>
      <c r="F61" s="55" t="s">
        <v>142</v>
      </c>
      <c r="G61" s="21">
        <v>28</v>
      </c>
      <c r="H61" s="22">
        <v>24</v>
      </c>
      <c r="I61" s="23">
        <v>8.1</v>
      </c>
      <c r="J61" s="21">
        <v>129</v>
      </c>
      <c r="K61" s="24">
        <v>27</v>
      </c>
      <c r="L61" s="25">
        <v>10.9</v>
      </c>
      <c r="M61" s="26" t="s">
        <v>126</v>
      </c>
      <c r="N61" s="27" t="s">
        <v>127</v>
      </c>
      <c r="O61" s="24" t="s">
        <v>18</v>
      </c>
      <c r="P61" s="25" t="s">
        <v>128</v>
      </c>
    </row>
    <row r="62" spans="1:16" ht="27.6" customHeight="1">
      <c r="A62" s="15" t="s">
        <v>122</v>
      </c>
      <c r="B62" s="16">
        <v>3</v>
      </c>
      <c r="C62" s="17" t="s">
        <v>123</v>
      </c>
      <c r="D62" s="18" t="s">
        <v>124</v>
      </c>
      <c r="E62" s="19">
        <v>10</v>
      </c>
      <c r="F62" s="55" t="s">
        <v>143</v>
      </c>
      <c r="G62" s="21">
        <v>28</v>
      </c>
      <c r="H62" s="22">
        <v>20</v>
      </c>
      <c r="I62" s="23">
        <v>46</v>
      </c>
      <c r="J62" s="21">
        <v>129</v>
      </c>
      <c r="K62" s="24">
        <v>18</v>
      </c>
      <c r="L62" s="25">
        <v>45.5</v>
      </c>
      <c r="M62" s="26" t="s">
        <v>126</v>
      </c>
      <c r="N62" s="27" t="s">
        <v>127</v>
      </c>
      <c r="O62" s="24" t="s">
        <v>18</v>
      </c>
      <c r="P62" s="25" t="s">
        <v>128</v>
      </c>
    </row>
    <row r="63" spans="1:16" ht="27.6" customHeight="1">
      <c r="A63" s="15" t="s">
        <v>122</v>
      </c>
      <c r="B63" s="16">
        <v>3</v>
      </c>
      <c r="C63" s="17" t="s">
        <v>123</v>
      </c>
      <c r="D63" s="18" t="s">
        <v>124</v>
      </c>
      <c r="E63" s="19">
        <v>11</v>
      </c>
      <c r="F63" s="55" t="s">
        <v>144</v>
      </c>
      <c r="G63" s="21">
        <v>28</v>
      </c>
      <c r="H63" s="22">
        <v>17</v>
      </c>
      <c r="I63" s="23">
        <v>33.4</v>
      </c>
      <c r="J63" s="21">
        <v>129</v>
      </c>
      <c r="K63" s="24">
        <v>28</v>
      </c>
      <c r="L63" s="25">
        <v>31.6</v>
      </c>
      <c r="M63" s="26" t="s">
        <v>126</v>
      </c>
      <c r="N63" s="27" t="s">
        <v>127</v>
      </c>
      <c r="O63" s="24" t="s">
        <v>18</v>
      </c>
      <c r="P63" s="25" t="s">
        <v>133</v>
      </c>
    </row>
    <row r="64" spans="1:16" ht="27.6" customHeight="1">
      <c r="A64" s="15" t="s">
        <v>122</v>
      </c>
      <c r="B64" s="16">
        <v>3</v>
      </c>
      <c r="C64" s="17" t="s">
        <v>123</v>
      </c>
      <c r="D64" s="18" t="s">
        <v>124</v>
      </c>
      <c r="E64" s="19">
        <v>12</v>
      </c>
      <c r="F64" s="55" t="s">
        <v>145</v>
      </c>
      <c r="G64" s="21">
        <v>28</v>
      </c>
      <c r="H64" s="22">
        <v>11</v>
      </c>
      <c r="I64" s="23">
        <v>59.3</v>
      </c>
      <c r="J64" s="21">
        <v>129</v>
      </c>
      <c r="K64" s="24">
        <v>12</v>
      </c>
      <c r="L64" s="23">
        <v>8</v>
      </c>
      <c r="M64" s="26" t="s">
        <v>126</v>
      </c>
      <c r="N64" s="27" t="s">
        <v>127</v>
      </c>
      <c r="O64" s="24" t="s">
        <v>18</v>
      </c>
      <c r="P64" s="25" t="s">
        <v>133</v>
      </c>
    </row>
    <row r="65" spans="1:16" ht="27.6" customHeight="1">
      <c r="A65" s="15" t="s">
        <v>122</v>
      </c>
      <c r="B65" s="16">
        <v>3</v>
      </c>
      <c r="C65" s="17" t="s">
        <v>123</v>
      </c>
      <c r="D65" s="18" t="s">
        <v>124</v>
      </c>
      <c r="E65" s="19">
        <v>13</v>
      </c>
      <c r="F65" s="55" t="s">
        <v>146</v>
      </c>
      <c r="G65" s="21">
        <v>28</v>
      </c>
      <c r="H65" s="22">
        <v>11</v>
      </c>
      <c r="I65" s="23">
        <v>19.600000000000001</v>
      </c>
      <c r="J65" s="21">
        <v>129</v>
      </c>
      <c r="K65" s="24">
        <v>14</v>
      </c>
      <c r="L65" s="25">
        <v>37.799999999999997</v>
      </c>
      <c r="M65" s="26" t="s">
        <v>126</v>
      </c>
      <c r="N65" s="27" t="s">
        <v>127</v>
      </c>
      <c r="O65" s="24" t="s">
        <v>18</v>
      </c>
      <c r="P65" s="25" t="s">
        <v>128</v>
      </c>
    </row>
    <row r="66" spans="1:16" ht="27.6" customHeight="1">
      <c r="A66" s="15" t="s">
        <v>122</v>
      </c>
      <c r="B66" s="16">
        <v>3</v>
      </c>
      <c r="C66" s="17" t="s">
        <v>123</v>
      </c>
      <c r="D66" s="18" t="s">
        <v>124</v>
      </c>
      <c r="E66" s="19">
        <v>14</v>
      </c>
      <c r="F66" s="55" t="s">
        <v>147</v>
      </c>
      <c r="G66" s="21">
        <v>28</v>
      </c>
      <c r="H66" s="22">
        <v>9</v>
      </c>
      <c r="I66" s="23">
        <v>37.200000000000003</v>
      </c>
      <c r="J66" s="21">
        <v>129</v>
      </c>
      <c r="K66" s="24">
        <v>17</v>
      </c>
      <c r="L66" s="25">
        <v>35.1</v>
      </c>
      <c r="M66" s="26" t="s">
        <v>135</v>
      </c>
      <c r="N66" s="27" t="s">
        <v>148</v>
      </c>
      <c r="O66" s="24" t="s">
        <v>18</v>
      </c>
      <c r="P66" s="25" t="s">
        <v>96</v>
      </c>
    </row>
    <row r="67" spans="1:16" ht="27.6" customHeight="1" thickBot="1">
      <c r="A67" s="30" t="s">
        <v>122</v>
      </c>
      <c r="B67" s="31">
        <v>3</v>
      </c>
      <c r="C67" s="32" t="s">
        <v>123</v>
      </c>
      <c r="D67" s="33" t="s">
        <v>124</v>
      </c>
      <c r="E67" s="89">
        <v>15</v>
      </c>
      <c r="F67" s="56" t="s">
        <v>149</v>
      </c>
      <c r="G67" s="124">
        <v>28</v>
      </c>
      <c r="H67" s="57">
        <v>6</v>
      </c>
      <c r="I67" s="119">
        <v>42.2</v>
      </c>
      <c r="J67" s="124">
        <v>129</v>
      </c>
      <c r="K67" s="37">
        <v>20</v>
      </c>
      <c r="L67" s="38">
        <v>49.4</v>
      </c>
      <c r="M67" s="35" t="s">
        <v>126</v>
      </c>
      <c r="N67" s="36" t="s">
        <v>127</v>
      </c>
      <c r="O67" s="37" t="s">
        <v>18</v>
      </c>
      <c r="P67" s="38" t="s">
        <v>150</v>
      </c>
    </row>
    <row r="68" spans="1:16" ht="27.6" customHeight="1" thickTop="1">
      <c r="A68" s="90" t="s">
        <v>151</v>
      </c>
      <c r="B68" s="91">
        <v>4</v>
      </c>
      <c r="C68" s="41" t="s">
        <v>152</v>
      </c>
      <c r="D68" s="80" t="s">
        <v>153</v>
      </c>
      <c r="E68" s="71">
        <v>1</v>
      </c>
      <c r="F68" s="58" t="s">
        <v>1508</v>
      </c>
      <c r="G68" s="476">
        <v>26</v>
      </c>
      <c r="H68" s="477">
        <v>4</v>
      </c>
      <c r="I68" s="478">
        <v>32.9</v>
      </c>
      <c r="J68" s="476">
        <v>127</v>
      </c>
      <c r="K68" s="479">
        <v>40</v>
      </c>
      <c r="L68" s="478">
        <v>28.3</v>
      </c>
      <c r="M68" s="61" t="s">
        <v>851</v>
      </c>
      <c r="N68" s="62" t="s">
        <v>154</v>
      </c>
      <c r="O68" s="59" t="s">
        <v>852</v>
      </c>
      <c r="P68" s="60" t="s">
        <v>155</v>
      </c>
    </row>
    <row r="69" spans="1:16" ht="27.6" customHeight="1">
      <c r="A69" s="15" t="s">
        <v>151</v>
      </c>
      <c r="B69" s="16">
        <v>4</v>
      </c>
      <c r="C69" s="22" t="s">
        <v>152</v>
      </c>
      <c r="D69" s="18" t="s">
        <v>153</v>
      </c>
      <c r="E69" s="19">
        <v>2</v>
      </c>
      <c r="F69" s="55" t="s">
        <v>1509</v>
      </c>
      <c r="G69" s="480">
        <v>26</v>
      </c>
      <c r="H69" s="481">
        <v>5</v>
      </c>
      <c r="I69" s="482">
        <v>16</v>
      </c>
      <c r="J69" s="480">
        <v>127</v>
      </c>
      <c r="K69" s="483">
        <v>42</v>
      </c>
      <c r="L69" s="482">
        <v>33.700000000000003</v>
      </c>
      <c r="M69" s="26" t="s">
        <v>853</v>
      </c>
      <c r="N69" s="27" t="s">
        <v>156</v>
      </c>
      <c r="O69" s="24" t="s">
        <v>852</v>
      </c>
      <c r="P69" s="25" t="s">
        <v>157</v>
      </c>
    </row>
    <row r="70" spans="1:16" ht="27.6" customHeight="1">
      <c r="A70" s="15" t="s">
        <v>151</v>
      </c>
      <c r="B70" s="16">
        <v>4</v>
      </c>
      <c r="C70" s="22" t="s">
        <v>152</v>
      </c>
      <c r="D70" s="18" t="s">
        <v>153</v>
      </c>
      <c r="E70" s="19">
        <v>3</v>
      </c>
      <c r="F70" s="55" t="s">
        <v>1510</v>
      </c>
      <c r="G70" s="480">
        <v>26</v>
      </c>
      <c r="H70" s="481">
        <v>5</v>
      </c>
      <c r="I70" s="482">
        <v>9.3000000000000007</v>
      </c>
      <c r="J70" s="480">
        <v>127</v>
      </c>
      <c r="K70" s="483">
        <v>42</v>
      </c>
      <c r="L70" s="482">
        <v>24</v>
      </c>
      <c r="M70" s="26" t="s">
        <v>851</v>
      </c>
      <c r="N70" s="27" t="s">
        <v>158</v>
      </c>
      <c r="O70" s="24" t="s">
        <v>852</v>
      </c>
      <c r="P70" s="25" t="s">
        <v>112</v>
      </c>
    </row>
    <row r="71" spans="1:16" ht="27.6" customHeight="1">
      <c r="A71" s="15" t="s">
        <v>151</v>
      </c>
      <c r="B71" s="16">
        <v>4</v>
      </c>
      <c r="C71" s="22" t="s">
        <v>152</v>
      </c>
      <c r="D71" s="18" t="s">
        <v>153</v>
      </c>
      <c r="E71" s="19">
        <v>4</v>
      </c>
      <c r="F71" s="55" t="s">
        <v>1511</v>
      </c>
      <c r="G71" s="480">
        <v>26</v>
      </c>
      <c r="H71" s="481">
        <v>5</v>
      </c>
      <c r="I71" s="482">
        <v>15.2</v>
      </c>
      <c r="J71" s="480">
        <v>127</v>
      </c>
      <c r="K71" s="483">
        <v>43</v>
      </c>
      <c r="L71" s="482">
        <v>9.8000000000000007</v>
      </c>
      <c r="M71" s="26" t="s">
        <v>851</v>
      </c>
      <c r="N71" s="27" t="s">
        <v>159</v>
      </c>
      <c r="O71" s="24" t="s">
        <v>852</v>
      </c>
      <c r="P71" s="25" t="s">
        <v>112</v>
      </c>
    </row>
    <row r="72" spans="1:16" ht="27.6" customHeight="1">
      <c r="A72" s="15" t="s">
        <v>151</v>
      </c>
      <c r="B72" s="16">
        <v>4</v>
      </c>
      <c r="C72" s="22" t="s">
        <v>152</v>
      </c>
      <c r="D72" s="18" t="s">
        <v>153</v>
      </c>
      <c r="E72" s="19">
        <v>5</v>
      </c>
      <c r="F72" s="55" t="s">
        <v>1512</v>
      </c>
      <c r="G72" s="480">
        <v>26</v>
      </c>
      <c r="H72" s="481">
        <v>7</v>
      </c>
      <c r="I72" s="482">
        <v>29.3</v>
      </c>
      <c r="J72" s="480">
        <v>127</v>
      </c>
      <c r="K72" s="483">
        <v>46</v>
      </c>
      <c r="L72" s="482">
        <v>19.8</v>
      </c>
      <c r="M72" s="26" t="s">
        <v>853</v>
      </c>
      <c r="N72" s="27" t="s">
        <v>154</v>
      </c>
      <c r="O72" s="24" t="s">
        <v>852</v>
      </c>
      <c r="P72" s="25" t="s">
        <v>157</v>
      </c>
    </row>
    <row r="73" spans="1:16" ht="27.6" customHeight="1">
      <c r="A73" s="15" t="s">
        <v>151</v>
      </c>
      <c r="B73" s="16">
        <v>4</v>
      </c>
      <c r="C73" s="22" t="s">
        <v>152</v>
      </c>
      <c r="D73" s="18" t="s">
        <v>153</v>
      </c>
      <c r="E73" s="19">
        <v>6</v>
      </c>
      <c r="F73" s="55" t="s">
        <v>1513</v>
      </c>
      <c r="G73" s="480">
        <v>26</v>
      </c>
      <c r="H73" s="481">
        <v>7</v>
      </c>
      <c r="I73" s="482">
        <v>22.3</v>
      </c>
      <c r="J73" s="480">
        <v>127</v>
      </c>
      <c r="K73" s="483">
        <v>46</v>
      </c>
      <c r="L73" s="482">
        <v>20.6</v>
      </c>
      <c r="M73" s="26" t="s">
        <v>851</v>
      </c>
      <c r="N73" s="27" t="s">
        <v>154</v>
      </c>
      <c r="O73" s="24" t="s">
        <v>852</v>
      </c>
      <c r="P73" s="25" t="s">
        <v>112</v>
      </c>
    </row>
    <row r="74" spans="1:16" ht="27.6" customHeight="1">
      <c r="A74" s="15" t="s">
        <v>151</v>
      </c>
      <c r="B74" s="16">
        <v>4</v>
      </c>
      <c r="C74" s="22" t="s">
        <v>152</v>
      </c>
      <c r="D74" s="18" t="s">
        <v>153</v>
      </c>
      <c r="E74" s="19">
        <v>7</v>
      </c>
      <c r="F74" s="55" t="s">
        <v>1514</v>
      </c>
      <c r="G74" s="480">
        <v>26</v>
      </c>
      <c r="H74" s="481">
        <v>8</v>
      </c>
      <c r="I74" s="482">
        <v>29.6</v>
      </c>
      <c r="J74" s="480">
        <v>127</v>
      </c>
      <c r="K74" s="483">
        <v>51</v>
      </c>
      <c r="L74" s="482">
        <v>3.9</v>
      </c>
      <c r="M74" s="26" t="s">
        <v>851</v>
      </c>
      <c r="N74" s="27" t="s">
        <v>158</v>
      </c>
      <c r="O74" s="24" t="s">
        <v>852</v>
      </c>
      <c r="P74" s="25" t="s">
        <v>160</v>
      </c>
    </row>
    <row r="75" spans="1:16" ht="27.6" customHeight="1">
      <c r="A75" s="15" t="s">
        <v>151</v>
      </c>
      <c r="B75" s="16">
        <v>4</v>
      </c>
      <c r="C75" s="22" t="s">
        <v>152</v>
      </c>
      <c r="D75" s="18" t="s">
        <v>153</v>
      </c>
      <c r="E75" s="19">
        <v>8</v>
      </c>
      <c r="F75" s="55" t="s">
        <v>1515</v>
      </c>
      <c r="G75" s="480">
        <v>26</v>
      </c>
      <c r="H75" s="481">
        <v>9</v>
      </c>
      <c r="I75" s="482">
        <v>4.5</v>
      </c>
      <c r="J75" s="480">
        <v>127</v>
      </c>
      <c r="K75" s="483">
        <v>53</v>
      </c>
      <c r="L75" s="482">
        <v>19.399999999999999</v>
      </c>
      <c r="M75" s="26" t="s">
        <v>851</v>
      </c>
      <c r="N75" s="27" t="s">
        <v>158</v>
      </c>
      <c r="O75" s="24" t="s">
        <v>852</v>
      </c>
      <c r="P75" s="25" t="s">
        <v>112</v>
      </c>
    </row>
    <row r="76" spans="1:16" ht="27.6" customHeight="1">
      <c r="A76" s="15" t="s">
        <v>151</v>
      </c>
      <c r="B76" s="16">
        <v>4</v>
      </c>
      <c r="C76" s="22" t="s">
        <v>152</v>
      </c>
      <c r="D76" s="18" t="s">
        <v>153</v>
      </c>
      <c r="E76" s="19">
        <v>9</v>
      </c>
      <c r="F76" s="55" t="s">
        <v>1516</v>
      </c>
      <c r="G76" s="480">
        <v>26</v>
      </c>
      <c r="H76" s="481">
        <v>10</v>
      </c>
      <c r="I76" s="482">
        <v>39.9</v>
      </c>
      <c r="J76" s="480">
        <v>127</v>
      </c>
      <c r="K76" s="483">
        <v>55</v>
      </c>
      <c r="L76" s="482">
        <v>45.1</v>
      </c>
      <c r="M76" s="26" t="s">
        <v>851</v>
      </c>
      <c r="N76" s="27" t="s">
        <v>158</v>
      </c>
      <c r="O76" s="24" t="s">
        <v>852</v>
      </c>
      <c r="P76" s="25" t="s">
        <v>112</v>
      </c>
    </row>
    <row r="77" spans="1:16" ht="27.6" customHeight="1">
      <c r="A77" s="15" t="s">
        <v>151</v>
      </c>
      <c r="B77" s="16">
        <v>4</v>
      </c>
      <c r="C77" s="22" t="s">
        <v>152</v>
      </c>
      <c r="D77" s="18" t="s">
        <v>153</v>
      </c>
      <c r="E77" s="19">
        <v>10</v>
      </c>
      <c r="F77" s="55" t="s">
        <v>1517</v>
      </c>
      <c r="G77" s="480">
        <v>26</v>
      </c>
      <c r="H77" s="481">
        <v>14</v>
      </c>
      <c r="I77" s="482">
        <v>32.9</v>
      </c>
      <c r="J77" s="480">
        <v>127</v>
      </c>
      <c r="K77" s="483">
        <v>57</v>
      </c>
      <c r="L77" s="482">
        <v>4.4000000000000004</v>
      </c>
      <c r="M77" s="26" t="s">
        <v>851</v>
      </c>
      <c r="N77" s="27" t="s">
        <v>158</v>
      </c>
      <c r="O77" s="24" t="s">
        <v>852</v>
      </c>
      <c r="P77" s="25" t="s">
        <v>164</v>
      </c>
    </row>
    <row r="78" spans="1:16" ht="27.6" customHeight="1">
      <c r="A78" s="15" t="s">
        <v>151</v>
      </c>
      <c r="B78" s="16">
        <v>4</v>
      </c>
      <c r="C78" s="22" t="s">
        <v>152</v>
      </c>
      <c r="D78" s="18" t="s">
        <v>153</v>
      </c>
      <c r="E78" s="19">
        <v>11</v>
      </c>
      <c r="F78" s="55" t="s">
        <v>165</v>
      </c>
      <c r="G78" s="480">
        <v>26</v>
      </c>
      <c r="H78" s="481">
        <v>16</v>
      </c>
      <c r="I78" s="482">
        <v>46.4</v>
      </c>
      <c r="J78" s="480">
        <v>127</v>
      </c>
      <c r="K78" s="481">
        <v>57</v>
      </c>
      <c r="L78" s="482">
        <v>40.200000000000003</v>
      </c>
      <c r="M78" s="64" t="s">
        <v>167</v>
      </c>
      <c r="N78" s="22" t="s">
        <v>168</v>
      </c>
      <c r="O78" s="24" t="s">
        <v>852</v>
      </c>
      <c r="P78" s="25" t="s">
        <v>164</v>
      </c>
    </row>
    <row r="79" spans="1:16" ht="27.6" customHeight="1">
      <c r="A79" s="15" t="s">
        <v>151</v>
      </c>
      <c r="B79" s="16">
        <v>4</v>
      </c>
      <c r="C79" s="22" t="s">
        <v>152</v>
      </c>
      <c r="D79" s="18" t="s">
        <v>153</v>
      </c>
      <c r="E79" s="19">
        <v>12</v>
      </c>
      <c r="F79" s="55" t="s">
        <v>1518</v>
      </c>
      <c r="G79" s="480">
        <v>26</v>
      </c>
      <c r="H79" s="481">
        <v>17</v>
      </c>
      <c r="I79" s="482">
        <v>6.2</v>
      </c>
      <c r="J79" s="480">
        <v>127</v>
      </c>
      <c r="K79" s="483">
        <v>58</v>
      </c>
      <c r="L79" s="482">
        <v>55.5</v>
      </c>
      <c r="M79" s="26" t="s">
        <v>851</v>
      </c>
      <c r="N79" s="27" t="s">
        <v>158</v>
      </c>
      <c r="O79" s="24" t="s">
        <v>852</v>
      </c>
      <c r="P79" s="25" t="s">
        <v>164</v>
      </c>
    </row>
    <row r="80" spans="1:16" ht="27.6" customHeight="1">
      <c r="A80" s="15" t="s">
        <v>151</v>
      </c>
      <c r="B80" s="16">
        <v>4</v>
      </c>
      <c r="C80" s="22" t="s">
        <v>152</v>
      </c>
      <c r="D80" s="18" t="s">
        <v>153</v>
      </c>
      <c r="E80" s="19">
        <v>13</v>
      </c>
      <c r="F80" s="55" t="s">
        <v>1519</v>
      </c>
      <c r="G80" s="480">
        <v>26</v>
      </c>
      <c r="H80" s="481">
        <v>18</v>
      </c>
      <c r="I80" s="482">
        <v>22.7</v>
      </c>
      <c r="J80" s="480">
        <v>128</v>
      </c>
      <c r="K80" s="481">
        <v>0</v>
      </c>
      <c r="L80" s="482">
        <v>9.1</v>
      </c>
      <c r="M80" s="64" t="s">
        <v>167</v>
      </c>
      <c r="N80" s="27" t="s">
        <v>169</v>
      </c>
      <c r="O80" s="24" t="s">
        <v>852</v>
      </c>
      <c r="P80" s="25" t="s">
        <v>160</v>
      </c>
    </row>
    <row r="81" spans="1:16" ht="27.6" customHeight="1">
      <c r="A81" s="15" t="s">
        <v>151</v>
      </c>
      <c r="B81" s="16">
        <v>4</v>
      </c>
      <c r="C81" s="22" t="s">
        <v>152</v>
      </c>
      <c r="D81" s="18" t="s">
        <v>153</v>
      </c>
      <c r="E81" s="19">
        <v>14</v>
      </c>
      <c r="F81" s="55" t="s">
        <v>1520</v>
      </c>
      <c r="G81" s="480">
        <v>26</v>
      </c>
      <c r="H81" s="481">
        <v>23</v>
      </c>
      <c r="I81" s="482">
        <v>0.7</v>
      </c>
      <c r="J81" s="480">
        <v>128</v>
      </c>
      <c r="K81" s="483">
        <v>0</v>
      </c>
      <c r="L81" s="482">
        <v>2.2999999999999998</v>
      </c>
      <c r="M81" s="26" t="s">
        <v>854</v>
      </c>
      <c r="N81" s="27" t="s">
        <v>171</v>
      </c>
      <c r="O81" s="24" t="s">
        <v>852</v>
      </c>
      <c r="P81" s="25" t="s">
        <v>157</v>
      </c>
    </row>
    <row r="82" spans="1:16" ht="27.6" customHeight="1">
      <c r="A82" s="15" t="s">
        <v>151</v>
      </c>
      <c r="B82" s="16">
        <v>4</v>
      </c>
      <c r="C82" s="22" t="s">
        <v>152</v>
      </c>
      <c r="D82" s="18" t="s">
        <v>153</v>
      </c>
      <c r="E82" s="19">
        <v>15</v>
      </c>
      <c r="F82" s="55" t="s">
        <v>1521</v>
      </c>
      <c r="G82" s="480">
        <v>26</v>
      </c>
      <c r="H82" s="481">
        <v>23</v>
      </c>
      <c r="I82" s="482">
        <v>2.8</v>
      </c>
      <c r="J82" s="480">
        <v>128</v>
      </c>
      <c r="K82" s="483">
        <v>0</v>
      </c>
      <c r="L82" s="482">
        <v>13.8</v>
      </c>
      <c r="M82" s="26" t="s">
        <v>851</v>
      </c>
      <c r="N82" s="27" t="s">
        <v>158</v>
      </c>
      <c r="O82" s="24" t="s">
        <v>852</v>
      </c>
      <c r="P82" s="25" t="s">
        <v>173</v>
      </c>
    </row>
    <row r="83" spans="1:16" ht="27.6" customHeight="1">
      <c r="A83" s="15" t="s">
        <v>151</v>
      </c>
      <c r="B83" s="16">
        <v>4</v>
      </c>
      <c r="C83" s="22" t="s">
        <v>152</v>
      </c>
      <c r="D83" s="18" t="s">
        <v>153</v>
      </c>
      <c r="E83" s="19">
        <v>16</v>
      </c>
      <c r="F83" s="55" t="s">
        <v>1522</v>
      </c>
      <c r="G83" s="480">
        <v>26</v>
      </c>
      <c r="H83" s="481">
        <v>36</v>
      </c>
      <c r="I83" s="482">
        <v>2.4</v>
      </c>
      <c r="J83" s="480">
        <v>128</v>
      </c>
      <c r="K83" s="483">
        <v>9</v>
      </c>
      <c r="L83" s="482">
        <v>16.399999999999999</v>
      </c>
      <c r="M83" s="26" t="s">
        <v>851</v>
      </c>
      <c r="N83" s="27" t="s">
        <v>174</v>
      </c>
      <c r="O83" s="24" t="s">
        <v>852</v>
      </c>
      <c r="P83" s="25" t="s">
        <v>157</v>
      </c>
    </row>
    <row r="84" spans="1:16" ht="27.6" customHeight="1">
      <c r="A84" s="15" t="s">
        <v>151</v>
      </c>
      <c r="B84" s="16">
        <v>4</v>
      </c>
      <c r="C84" s="22" t="s">
        <v>152</v>
      </c>
      <c r="D84" s="18" t="s">
        <v>153</v>
      </c>
      <c r="E84" s="19">
        <v>17</v>
      </c>
      <c r="F84" s="55" t="s">
        <v>175</v>
      </c>
      <c r="G84" s="480">
        <v>26</v>
      </c>
      <c r="H84" s="481">
        <v>36</v>
      </c>
      <c r="I84" s="482">
        <v>53.2</v>
      </c>
      <c r="J84" s="480">
        <v>128</v>
      </c>
      <c r="K84" s="483">
        <v>10</v>
      </c>
      <c r="L84" s="482">
        <v>50.1</v>
      </c>
      <c r="M84" s="26" t="s">
        <v>851</v>
      </c>
      <c r="N84" s="27" t="s">
        <v>174</v>
      </c>
      <c r="O84" s="24" t="s">
        <v>852</v>
      </c>
      <c r="P84" s="25" t="s">
        <v>164</v>
      </c>
    </row>
    <row r="85" spans="1:16" ht="27.6" customHeight="1">
      <c r="A85" s="15" t="s">
        <v>151</v>
      </c>
      <c r="B85" s="16">
        <v>4</v>
      </c>
      <c r="C85" s="22" t="s">
        <v>152</v>
      </c>
      <c r="D85" s="18" t="s">
        <v>153</v>
      </c>
      <c r="E85" s="19">
        <v>18</v>
      </c>
      <c r="F85" s="55" t="s">
        <v>1523</v>
      </c>
      <c r="G85" s="480">
        <v>26</v>
      </c>
      <c r="H85" s="481">
        <v>40</v>
      </c>
      <c r="I85" s="482">
        <v>6.5</v>
      </c>
      <c r="J85" s="480">
        <v>128</v>
      </c>
      <c r="K85" s="483">
        <v>16</v>
      </c>
      <c r="L85" s="482">
        <v>12.4</v>
      </c>
      <c r="M85" s="26" t="s">
        <v>851</v>
      </c>
      <c r="N85" s="27" t="s">
        <v>159</v>
      </c>
      <c r="O85" s="24" t="s">
        <v>852</v>
      </c>
      <c r="P85" s="25" t="s">
        <v>112</v>
      </c>
    </row>
    <row r="86" spans="1:16" ht="27.6" customHeight="1">
      <c r="A86" s="15" t="s">
        <v>151</v>
      </c>
      <c r="B86" s="16">
        <v>4</v>
      </c>
      <c r="C86" s="22" t="s">
        <v>152</v>
      </c>
      <c r="D86" s="18" t="s">
        <v>153</v>
      </c>
      <c r="E86" s="19">
        <v>19</v>
      </c>
      <c r="F86" s="55" t="s">
        <v>1524</v>
      </c>
      <c r="G86" s="480">
        <v>26</v>
      </c>
      <c r="H86" s="481">
        <v>42</v>
      </c>
      <c r="I86" s="482">
        <v>26.2</v>
      </c>
      <c r="J86" s="480">
        <v>128</v>
      </c>
      <c r="K86" s="483">
        <v>17</v>
      </c>
      <c r="L86" s="482">
        <v>39.1</v>
      </c>
      <c r="M86" s="26" t="s">
        <v>851</v>
      </c>
      <c r="N86" s="27" t="s">
        <v>171</v>
      </c>
      <c r="O86" s="24" t="s">
        <v>852</v>
      </c>
      <c r="P86" s="25" t="s">
        <v>112</v>
      </c>
    </row>
    <row r="87" spans="1:16" ht="27.6" customHeight="1">
      <c r="A87" s="15" t="s">
        <v>151</v>
      </c>
      <c r="B87" s="16">
        <v>4</v>
      </c>
      <c r="C87" s="22" t="s">
        <v>152</v>
      </c>
      <c r="D87" s="18" t="s">
        <v>153</v>
      </c>
      <c r="E87" s="19">
        <v>20</v>
      </c>
      <c r="F87" s="55" t="s">
        <v>1525</v>
      </c>
      <c r="G87" s="480">
        <v>26</v>
      </c>
      <c r="H87" s="481">
        <v>43</v>
      </c>
      <c r="I87" s="482">
        <v>8.4</v>
      </c>
      <c r="J87" s="480">
        <v>128</v>
      </c>
      <c r="K87" s="483">
        <v>18</v>
      </c>
      <c r="L87" s="482">
        <v>9.8000000000000007</v>
      </c>
      <c r="M87" s="26" t="s">
        <v>851</v>
      </c>
      <c r="N87" s="27" t="s">
        <v>174</v>
      </c>
      <c r="O87" s="24" t="s">
        <v>852</v>
      </c>
      <c r="P87" s="25" t="s">
        <v>164</v>
      </c>
    </row>
    <row r="88" spans="1:16" ht="27.6" customHeight="1">
      <c r="A88" s="15" t="s">
        <v>151</v>
      </c>
      <c r="B88" s="16">
        <v>4</v>
      </c>
      <c r="C88" s="22" t="s">
        <v>152</v>
      </c>
      <c r="D88" s="18" t="s">
        <v>153</v>
      </c>
      <c r="E88" s="19">
        <v>21</v>
      </c>
      <c r="F88" s="55" t="s">
        <v>1526</v>
      </c>
      <c r="G88" s="480">
        <v>26</v>
      </c>
      <c r="H88" s="481">
        <v>43</v>
      </c>
      <c r="I88" s="482">
        <v>49.2</v>
      </c>
      <c r="J88" s="480">
        <v>128</v>
      </c>
      <c r="K88" s="483">
        <v>18</v>
      </c>
      <c r="L88" s="482">
        <v>52.1</v>
      </c>
      <c r="M88" s="26" t="s">
        <v>851</v>
      </c>
      <c r="N88" s="27" t="s">
        <v>154</v>
      </c>
      <c r="O88" s="24" t="s">
        <v>852</v>
      </c>
      <c r="P88" s="25" t="s">
        <v>164</v>
      </c>
    </row>
    <row r="89" spans="1:16" ht="27.6" customHeight="1">
      <c r="A89" s="15" t="s">
        <v>151</v>
      </c>
      <c r="B89" s="16">
        <v>4</v>
      </c>
      <c r="C89" s="22" t="s">
        <v>152</v>
      </c>
      <c r="D89" s="18" t="s">
        <v>153</v>
      </c>
      <c r="E89" s="19">
        <v>22</v>
      </c>
      <c r="F89" s="55" t="s">
        <v>1527</v>
      </c>
      <c r="G89" s="480">
        <v>26</v>
      </c>
      <c r="H89" s="481">
        <v>44</v>
      </c>
      <c r="I89" s="482">
        <v>20.2</v>
      </c>
      <c r="J89" s="480">
        <v>128</v>
      </c>
      <c r="K89" s="483">
        <v>20</v>
      </c>
      <c r="L89" s="482">
        <v>15.6</v>
      </c>
      <c r="M89" s="26" t="s">
        <v>851</v>
      </c>
      <c r="N89" s="27" t="s">
        <v>154</v>
      </c>
      <c r="O89" s="24" t="s">
        <v>852</v>
      </c>
      <c r="P89" s="25" t="s">
        <v>160</v>
      </c>
    </row>
    <row r="90" spans="1:16" ht="27.6" customHeight="1">
      <c r="A90" s="15" t="s">
        <v>151</v>
      </c>
      <c r="B90" s="16">
        <v>4</v>
      </c>
      <c r="C90" s="22" t="s">
        <v>152</v>
      </c>
      <c r="D90" s="18" t="s">
        <v>153</v>
      </c>
      <c r="E90" s="19">
        <v>23</v>
      </c>
      <c r="F90" s="55" t="s">
        <v>1528</v>
      </c>
      <c r="G90" s="480">
        <v>26</v>
      </c>
      <c r="H90" s="481">
        <v>49</v>
      </c>
      <c r="I90" s="482">
        <v>18.5</v>
      </c>
      <c r="J90" s="480">
        <v>128</v>
      </c>
      <c r="K90" s="483">
        <v>18</v>
      </c>
      <c r="L90" s="482">
        <v>50.8</v>
      </c>
      <c r="M90" s="26" t="s">
        <v>854</v>
      </c>
      <c r="N90" s="27" t="s">
        <v>158</v>
      </c>
      <c r="O90" s="24" t="s">
        <v>852</v>
      </c>
      <c r="P90" s="25" t="s">
        <v>157</v>
      </c>
    </row>
    <row r="91" spans="1:16" ht="27.6" customHeight="1">
      <c r="A91" s="15" t="s">
        <v>151</v>
      </c>
      <c r="B91" s="16">
        <v>4</v>
      </c>
      <c r="C91" s="22" t="s">
        <v>152</v>
      </c>
      <c r="D91" s="18" t="s">
        <v>153</v>
      </c>
      <c r="E91" s="19">
        <v>24</v>
      </c>
      <c r="F91" s="55" t="s">
        <v>1529</v>
      </c>
      <c r="G91" s="480">
        <v>26</v>
      </c>
      <c r="H91" s="481">
        <v>49</v>
      </c>
      <c r="I91" s="482">
        <v>24.4</v>
      </c>
      <c r="J91" s="480">
        <v>128</v>
      </c>
      <c r="K91" s="483">
        <v>19</v>
      </c>
      <c r="L91" s="482">
        <v>0.9</v>
      </c>
      <c r="M91" s="26" t="s">
        <v>851</v>
      </c>
      <c r="N91" s="27" t="s">
        <v>174</v>
      </c>
      <c r="O91" s="24" t="s">
        <v>852</v>
      </c>
      <c r="P91" s="25" t="s">
        <v>173</v>
      </c>
    </row>
    <row r="92" spans="1:16" ht="27.6" customHeight="1">
      <c r="A92" s="15" t="s">
        <v>151</v>
      </c>
      <c r="B92" s="16">
        <v>4</v>
      </c>
      <c r="C92" s="22" t="s">
        <v>152</v>
      </c>
      <c r="D92" s="18" t="s">
        <v>153</v>
      </c>
      <c r="E92" s="19">
        <v>25</v>
      </c>
      <c r="F92" s="55" t="s">
        <v>1530</v>
      </c>
      <c r="G92" s="480">
        <v>26</v>
      </c>
      <c r="H92" s="481">
        <v>50</v>
      </c>
      <c r="I92" s="482">
        <v>56.6</v>
      </c>
      <c r="J92" s="480">
        <v>128</v>
      </c>
      <c r="K92" s="483">
        <v>17</v>
      </c>
      <c r="L92" s="482">
        <v>16.899999999999999</v>
      </c>
      <c r="M92" s="26" t="s">
        <v>851</v>
      </c>
      <c r="N92" s="27" t="s">
        <v>158</v>
      </c>
      <c r="O92" s="24" t="s">
        <v>852</v>
      </c>
      <c r="P92" s="25" t="s">
        <v>173</v>
      </c>
    </row>
    <row r="93" spans="1:16" ht="27.6" customHeight="1">
      <c r="A93" s="15" t="s">
        <v>151</v>
      </c>
      <c r="B93" s="16">
        <v>4</v>
      </c>
      <c r="C93" s="22" t="s">
        <v>152</v>
      </c>
      <c r="D93" s="18" t="s">
        <v>153</v>
      </c>
      <c r="E93" s="19">
        <v>26</v>
      </c>
      <c r="F93" s="23" t="s">
        <v>1531</v>
      </c>
      <c r="G93" s="480">
        <v>26</v>
      </c>
      <c r="H93" s="481">
        <v>51</v>
      </c>
      <c r="I93" s="482">
        <v>56.5</v>
      </c>
      <c r="J93" s="480">
        <v>128</v>
      </c>
      <c r="K93" s="481">
        <v>15</v>
      </c>
      <c r="L93" s="482">
        <v>58.5</v>
      </c>
      <c r="M93" s="26" t="s">
        <v>851</v>
      </c>
      <c r="N93" s="27" t="s">
        <v>168</v>
      </c>
      <c r="O93" s="24" t="s">
        <v>852</v>
      </c>
      <c r="P93" s="25" t="s">
        <v>173</v>
      </c>
    </row>
    <row r="94" spans="1:16" ht="27.6" customHeight="1">
      <c r="A94" s="15" t="s">
        <v>151</v>
      </c>
      <c r="B94" s="16">
        <v>4</v>
      </c>
      <c r="C94" s="22" t="s">
        <v>152</v>
      </c>
      <c r="D94" s="18" t="s">
        <v>153</v>
      </c>
      <c r="E94" s="19">
        <v>27</v>
      </c>
      <c r="F94" s="23" t="s">
        <v>1532</v>
      </c>
      <c r="G94" s="480">
        <v>26</v>
      </c>
      <c r="H94" s="481">
        <v>45</v>
      </c>
      <c r="I94" s="482">
        <v>18.3</v>
      </c>
      <c r="J94" s="480">
        <v>128</v>
      </c>
      <c r="K94" s="481">
        <v>19</v>
      </c>
      <c r="L94" s="482">
        <v>51.5</v>
      </c>
      <c r="M94" s="26" t="s">
        <v>167</v>
      </c>
      <c r="N94" s="27" t="s">
        <v>168</v>
      </c>
      <c r="O94" s="24" t="s">
        <v>852</v>
      </c>
      <c r="P94" s="25" t="s">
        <v>160</v>
      </c>
    </row>
    <row r="95" spans="1:16" ht="27.6" customHeight="1">
      <c r="A95" s="15" t="s">
        <v>151</v>
      </c>
      <c r="B95" s="16">
        <v>4</v>
      </c>
      <c r="C95" s="22" t="s">
        <v>152</v>
      </c>
      <c r="D95" s="18" t="s">
        <v>153</v>
      </c>
      <c r="E95" s="19">
        <v>28</v>
      </c>
      <c r="F95" s="55" t="s">
        <v>1533</v>
      </c>
      <c r="G95" s="480">
        <v>26</v>
      </c>
      <c r="H95" s="481">
        <v>36</v>
      </c>
      <c r="I95" s="482">
        <v>2</v>
      </c>
      <c r="J95" s="480">
        <v>128</v>
      </c>
      <c r="K95" s="483">
        <v>9</v>
      </c>
      <c r="L95" s="482">
        <v>24.8</v>
      </c>
      <c r="M95" s="26" t="s">
        <v>851</v>
      </c>
      <c r="N95" s="27" t="s">
        <v>174</v>
      </c>
      <c r="O95" s="24" t="s">
        <v>852</v>
      </c>
      <c r="P95" s="25" t="s">
        <v>164</v>
      </c>
    </row>
    <row r="96" spans="1:16" ht="27.6" customHeight="1">
      <c r="A96" s="15" t="s">
        <v>151</v>
      </c>
      <c r="B96" s="16">
        <v>4</v>
      </c>
      <c r="C96" s="22" t="s">
        <v>152</v>
      </c>
      <c r="D96" s="18" t="s">
        <v>153</v>
      </c>
      <c r="E96" s="65">
        <v>29</v>
      </c>
      <c r="F96" s="55" t="s">
        <v>178</v>
      </c>
      <c r="G96" s="480">
        <v>26</v>
      </c>
      <c r="H96" s="481">
        <v>18</v>
      </c>
      <c r="I96" s="482">
        <v>30.3</v>
      </c>
      <c r="J96" s="480">
        <v>127</v>
      </c>
      <c r="K96" s="483">
        <v>51</v>
      </c>
      <c r="L96" s="482">
        <v>38.9</v>
      </c>
      <c r="M96" s="26" t="s">
        <v>179</v>
      </c>
      <c r="N96" s="488" t="s">
        <v>180</v>
      </c>
      <c r="O96" s="489" t="s">
        <v>181</v>
      </c>
      <c r="P96" s="490" t="s">
        <v>157</v>
      </c>
    </row>
    <row r="97" spans="1:16" ht="27.6" customHeight="1">
      <c r="A97" s="15" t="s">
        <v>151</v>
      </c>
      <c r="B97" s="16">
        <v>4</v>
      </c>
      <c r="C97" s="22" t="s">
        <v>152</v>
      </c>
      <c r="D97" s="18" t="s">
        <v>153</v>
      </c>
      <c r="E97" s="65">
        <v>30</v>
      </c>
      <c r="F97" s="491" t="s">
        <v>182</v>
      </c>
      <c r="G97" s="498">
        <v>26</v>
      </c>
      <c r="H97" s="499">
        <v>18</v>
      </c>
      <c r="I97" s="500">
        <v>30.3</v>
      </c>
      <c r="J97" s="498">
        <v>127</v>
      </c>
      <c r="K97" s="501">
        <v>51</v>
      </c>
      <c r="L97" s="500">
        <v>38.9</v>
      </c>
      <c r="M97" s="492" t="s">
        <v>167</v>
      </c>
      <c r="N97" s="766" t="s">
        <v>180</v>
      </c>
      <c r="O97" s="767" t="s">
        <v>181</v>
      </c>
      <c r="P97" s="505" t="s">
        <v>157</v>
      </c>
    </row>
    <row r="98" spans="1:16" ht="27.6" customHeight="1">
      <c r="A98" s="30" t="s">
        <v>151</v>
      </c>
      <c r="B98" s="31">
        <v>4</v>
      </c>
      <c r="C98" s="57" t="s">
        <v>152</v>
      </c>
      <c r="D98" s="33" t="s">
        <v>153</v>
      </c>
      <c r="E98" s="493">
        <v>31</v>
      </c>
      <c r="F98" s="56" t="s">
        <v>183</v>
      </c>
      <c r="G98" s="484">
        <v>26</v>
      </c>
      <c r="H98" s="485">
        <v>31</v>
      </c>
      <c r="I98" s="486">
        <v>45.7</v>
      </c>
      <c r="J98" s="484">
        <v>128</v>
      </c>
      <c r="K98" s="487">
        <v>4</v>
      </c>
      <c r="L98" s="486">
        <v>25.3</v>
      </c>
      <c r="M98" s="35" t="s">
        <v>167</v>
      </c>
      <c r="N98" s="36" t="s">
        <v>154</v>
      </c>
      <c r="O98" s="37" t="s">
        <v>184</v>
      </c>
      <c r="P98" s="38" t="s">
        <v>173</v>
      </c>
    </row>
    <row r="99" spans="1:16" ht="27.6" customHeight="1">
      <c r="A99" s="15" t="s">
        <v>151</v>
      </c>
      <c r="B99" s="16">
        <v>4</v>
      </c>
      <c r="C99" s="22" t="s">
        <v>152</v>
      </c>
      <c r="D99" s="18" t="s">
        <v>153</v>
      </c>
      <c r="E99" s="65">
        <v>32</v>
      </c>
      <c r="F99" s="55" t="s">
        <v>185</v>
      </c>
      <c r="G99" s="480">
        <v>26</v>
      </c>
      <c r="H99" s="481">
        <v>4</v>
      </c>
      <c r="I99" s="482">
        <v>43.4</v>
      </c>
      <c r="J99" s="480">
        <v>127</v>
      </c>
      <c r="K99" s="483">
        <v>39</v>
      </c>
      <c r="L99" s="482">
        <v>50.6</v>
      </c>
      <c r="M99" s="26" t="s">
        <v>167</v>
      </c>
      <c r="N99" s="27" t="s">
        <v>154</v>
      </c>
      <c r="O99" s="24" t="s">
        <v>184</v>
      </c>
      <c r="P99" s="25" t="s">
        <v>155</v>
      </c>
    </row>
    <row r="100" spans="1:16" ht="27.6" customHeight="1">
      <c r="A100" s="15" t="s">
        <v>151</v>
      </c>
      <c r="B100" s="16">
        <v>4</v>
      </c>
      <c r="C100" s="22" t="s">
        <v>152</v>
      </c>
      <c r="D100" s="18" t="s">
        <v>153</v>
      </c>
      <c r="E100" s="493">
        <v>33</v>
      </c>
      <c r="F100" s="55" t="s">
        <v>186</v>
      </c>
      <c r="G100" s="480">
        <v>26</v>
      </c>
      <c r="H100" s="481">
        <v>5</v>
      </c>
      <c r="I100" s="482">
        <v>4.3</v>
      </c>
      <c r="J100" s="480">
        <v>127</v>
      </c>
      <c r="K100" s="483">
        <v>41</v>
      </c>
      <c r="L100" s="482">
        <v>53.4</v>
      </c>
      <c r="M100" s="26" t="s">
        <v>167</v>
      </c>
      <c r="N100" s="27" t="s">
        <v>154</v>
      </c>
      <c r="O100" s="24" t="s">
        <v>184</v>
      </c>
      <c r="P100" s="25" t="s">
        <v>155</v>
      </c>
    </row>
    <row r="101" spans="1:16" ht="27.6" customHeight="1">
      <c r="A101" s="15" t="s">
        <v>151</v>
      </c>
      <c r="B101" s="16">
        <v>4</v>
      </c>
      <c r="C101" s="22" t="s">
        <v>152</v>
      </c>
      <c r="D101" s="18" t="s">
        <v>153</v>
      </c>
      <c r="E101" s="65">
        <v>34</v>
      </c>
      <c r="F101" s="55" t="s">
        <v>187</v>
      </c>
      <c r="G101" s="480">
        <v>26</v>
      </c>
      <c r="H101" s="481">
        <v>6</v>
      </c>
      <c r="I101" s="482">
        <v>44.2</v>
      </c>
      <c r="J101" s="480">
        <v>127</v>
      </c>
      <c r="K101" s="483">
        <v>44</v>
      </c>
      <c r="L101" s="482">
        <v>36.200000000000003</v>
      </c>
      <c r="M101" s="26" t="s">
        <v>179</v>
      </c>
      <c r="N101" s="763" t="s">
        <v>1652</v>
      </c>
      <c r="O101" s="764" t="s">
        <v>184</v>
      </c>
      <c r="P101" s="765" t="s">
        <v>157</v>
      </c>
    </row>
    <row r="102" spans="1:16" ht="27.6" customHeight="1">
      <c r="A102" s="15" t="s">
        <v>151</v>
      </c>
      <c r="B102" s="16">
        <v>4</v>
      </c>
      <c r="C102" s="22" t="s">
        <v>152</v>
      </c>
      <c r="D102" s="18" t="s">
        <v>153</v>
      </c>
      <c r="E102" s="493">
        <v>35</v>
      </c>
      <c r="F102" s="55" t="s">
        <v>188</v>
      </c>
      <c r="G102" s="494">
        <v>26</v>
      </c>
      <c r="H102" s="495">
        <v>6</v>
      </c>
      <c r="I102" s="496">
        <v>37.299999999999997</v>
      </c>
      <c r="J102" s="494">
        <v>127</v>
      </c>
      <c r="K102" s="497">
        <v>44</v>
      </c>
      <c r="L102" s="496">
        <v>42.4</v>
      </c>
      <c r="M102" s="53" t="s">
        <v>167</v>
      </c>
      <c r="N102" s="763" t="s">
        <v>154</v>
      </c>
      <c r="O102" s="764" t="s">
        <v>184</v>
      </c>
      <c r="P102" s="765" t="s">
        <v>1187</v>
      </c>
    </row>
    <row r="103" spans="1:16" ht="27.6" customHeight="1">
      <c r="A103" s="15" t="s">
        <v>151</v>
      </c>
      <c r="B103" s="16">
        <v>4</v>
      </c>
      <c r="C103" s="22" t="s">
        <v>152</v>
      </c>
      <c r="D103" s="18" t="s">
        <v>153</v>
      </c>
      <c r="E103" s="65">
        <v>36</v>
      </c>
      <c r="F103" s="55" t="s">
        <v>189</v>
      </c>
      <c r="G103" s="480">
        <v>26</v>
      </c>
      <c r="H103" s="481">
        <v>7</v>
      </c>
      <c r="I103" s="482">
        <v>1.1000000000000001</v>
      </c>
      <c r="J103" s="480">
        <v>127</v>
      </c>
      <c r="K103" s="483">
        <v>45</v>
      </c>
      <c r="L103" s="482">
        <v>2.5</v>
      </c>
      <c r="M103" s="26" t="s">
        <v>167</v>
      </c>
      <c r="N103" s="27" t="s">
        <v>154</v>
      </c>
      <c r="O103" s="24" t="s">
        <v>184</v>
      </c>
      <c r="P103" s="25" t="s">
        <v>155</v>
      </c>
    </row>
    <row r="104" spans="1:16" ht="27.6" customHeight="1">
      <c r="A104" s="15" t="s">
        <v>151</v>
      </c>
      <c r="B104" s="16">
        <v>4</v>
      </c>
      <c r="C104" s="22" t="s">
        <v>152</v>
      </c>
      <c r="D104" s="18" t="s">
        <v>153</v>
      </c>
      <c r="E104" s="19">
        <v>37</v>
      </c>
      <c r="F104" s="55" t="s">
        <v>1534</v>
      </c>
      <c r="G104" s="480">
        <v>26</v>
      </c>
      <c r="H104" s="481">
        <v>32</v>
      </c>
      <c r="I104" s="482">
        <v>17.7</v>
      </c>
      <c r="J104" s="480">
        <v>128</v>
      </c>
      <c r="K104" s="483">
        <v>4</v>
      </c>
      <c r="L104" s="482">
        <v>45.9</v>
      </c>
      <c r="M104" s="26" t="s">
        <v>167</v>
      </c>
      <c r="N104" s="27" t="s">
        <v>154</v>
      </c>
      <c r="O104" s="24" t="s">
        <v>184</v>
      </c>
      <c r="P104" s="25" t="s">
        <v>173</v>
      </c>
    </row>
    <row r="105" spans="1:16" ht="27.6" customHeight="1">
      <c r="A105" s="30" t="s">
        <v>191</v>
      </c>
      <c r="B105" s="31">
        <v>4</v>
      </c>
      <c r="C105" s="57" t="s">
        <v>192</v>
      </c>
      <c r="D105" s="18" t="s">
        <v>193</v>
      </c>
      <c r="E105" s="89">
        <v>38</v>
      </c>
      <c r="F105" s="56" t="s">
        <v>194</v>
      </c>
      <c r="G105" s="484">
        <v>26</v>
      </c>
      <c r="H105" s="485">
        <v>5</v>
      </c>
      <c r="I105" s="486">
        <v>18.899999999999999</v>
      </c>
      <c r="J105" s="484">
        <v>127</v>
      </c>
      <c r="K105" s="487">
        <v>42</v>
      </c>
      <c r="L105" s="486">
        <v>24.7</v>
      </c>
      <c r="M105" s="35" t="s">
        <v>195</v>
      </c>
      <c r="N105" s="36" t="s">
        <v>180</v>
      </c>
      <c r="O105" s="37" t="s">
        <v>184</v>
      </c>
      <c r="P105" s="38" t="s">
        <v>157</v>
      </c>
    </row>
    <row r="106" spans="1:16" ht="27.6" customHeight="1">
      <c r="A106" s="15" t="s">
        <v>191</v>
      </c>
      <c r="B106" s="16">
        <v>4</v>
      </c>
      <c r="C106" s="22" t="s">
        <v>192</v>
      </c>
      <c r="D106" s="18" t="s">
        <v>193</v>
      </c>
      <c r="E106" s="19">
        <v>39</v>
      </c>
      <c r="F106" s="491" t="s">
        <v>196</v>
      </c>
      <c r="G106" s="498">
        <v>26</v>
      </c>
      <c r="H106" s="499">
        <v>51</v>
      </c>
      <c r="I106" s="500">
        <v>53.5</v>
      </c>
      <c r="J106" s="498">
        <v>128</v>
      </c>
      <c r="K106" s="501">
        <v>16</v>
      </c>
      <c r="L106" s="500">
        <v>1.5</v>
      </c>
      <c r="M106" s="502" t="s">
        <v>167</v>
      </c>
      <c r="N106" s="503" t="s">
        <v>154</v>
      </c>
      <c r="O106" s="504" t="s">
        <v>184</v>
      </c>
      <c r="P106" s="505" t="s">
        <v>173</v>
      </c>
    </row>
    <row r="107" spans="1:16" ht="27.6" customHeight="1">
      <c r="A107" s="15" t="s">
        <v>191</v>
      </c>
      <c r="B107" s="16">
        <v>4</v>
      </c>
      <c r="C107" s="22" t="s">
        <v>192</v>
      </c>
      <c r="D107" s="18" t="s">
        <v>193</v>
      </c>
      <c r="E107" s="19">
        <v>40</v>
      </c>
      <c r="F107" s="506" t="s">
        <v>1535</v>
      </c>
      <c r="G107" s="480">
        <v>26</v>
      </c>
      <c r="H107" s="481">
        <v>18</v>
      </c>
      <c r="I107" s="482">
        <v>15.1</v>
      </c>
      <c r="J107" s="480">
        <v>128</v>
      </c>
      <c r="K107" s="483">
        <v>0</v>
      </c>
      <c r="L107" s="482">
        <v>44.9</v>
      </c>
      <c r="M107" s="26" t="s">
        <v>851</v>
      </c>
      <c r="N107" s="27" t="s">
        <v>148</v>
      </c>
      <c r="O107" s="24" t="s">
        <v>184</v>
      </c>
      <c r="P107" s="25" t="s">
        <v>255</v>
      </c>
    </row>
    <row r="108" spans="1:16" ht="27.6" customHeight="1">
      <c r="A108" s="507" t="s">
        <v>191</v>
      </c>
      <c r="B108" s="508">
        <v>4</v>
      </c>
      <c r="C108" s="509" t="s">
        <v>192</v>
      </c>
      <c r="D108" s="510" t="s">
        <v>193</v>
      </c>
      <c r="E108" s="511">
        <v>41</v>
      </c>
      <c r="F108" s="512" t="s">
        <v>1248</v>
      </c>
      <c r="G108" s="513">
        <v>26</v>
      </c>
      <c r="H108" s="514">
        <v>38</v>
      </c>
      <c r="I108" s="515">
        <v>21.1</v>
      </c>
      <c r="J108" s="513">
        <v>128</v>
      </c>
      <c r="K108" s="516">
        <v>14</v>
      </c>
      <c r="L108" s="515">
        <v>51.2</v>
      </c>
      <c r="M108" s="517" t="s">
        <v>241</v>
      </c>
      <c r="N108" s="518" t="s">
        <v>168</v>
      </c>
      <c r="O108" s="519" t="s">
        <v>184</v>
      </c>
      <c r="P108" s="520" t="s">
        <v>1032</v>
      </c>
    </row>
    <row r="109" spans="1:16" ht="27.6" customHeight="1">
      <c r="A109" s="15" t="s">
        <v>191</v>
      </c>
      <c r="B109" s="16">
        <v>4</v>
      </c>
      <c r="C109" s="22" t="s">
        <v>192</v>
      </c>
      <c r="D109" s="18" t="s">
        <v>193</v>
      </c>
      <c r="E109" s="19">
        <v>42</v>
      </c>
      <c r="F109" s="144" t="s">
        <v>1536</v>
      </c>
      <c r="G109" s="480">
        <v>26</v>
      </c>
      <c r="H109" s="481">
        <v>13</v>
      </c>
      <c r="I109" s="482">
        <v>2.2999999999999998</v>
      </c>
      <c r="J109" s="480">
        <v>127</v>
      </c>
      <c r="K109" s="483">
        <v>53</v>
      </c>
      <c r="L109" s="482">
        <v>57.1</v>
      </c>
      <c r="M109" s="26" t="s">
        <v>1052</v>
      </c>
      <c r="N109" s="27" t="s">
        <v>168</v>
      </c>
      <c r="O109" s="24" t="s">
        <v>184</v>
      </c>
      <c r="P109" s="25" t="s">
        <v>1055</v>
      </c>
    </row>
    <row r="110" spans="1:16" ht="27.6" customHeight="1">
      <c r="A110" s="30" t="s">
        <v>191</v>
      </c>
      <c r="B110" s="31">
        <v>4</v>
      </c>
      <c r="C110" s="57" t="s">
        <v>192</v>
      </c>
      <c r="D110" s="33" t="s">
        <v>193</v>
      </c>
      <c r="E110" s="89">
        <v>43</v>
      </c>
      <c r="F110" s="145" t="s">
        <v>1249</v>
      </c>
      <c r="G110" s="484">
        <v>26</v>
      </c>
      <c r="H110" s="485">
        <v>37</v>
      </c>
      <c r="I110" s="486">
        <v>19</v>
      </c>
      <c r="J110" s="484">
        <v>128</v>
      </c>
      <c r="K110" s="487">
        <v>8</v>
      </c>
      <c r="L110" s="486">
        <v>50</v>
      </c>
      <c r="M110" s="35" t="s">
        <v>1053</v>
      </c>
      <c r="N110" s="36" t="s">
        <v>1054</v>
      </c>
      <c r="O110" s="37" t="s">
        <v>184</v>
      </c>
      <c r="P110" s="38" t="s">
        <v>1056</v>
      </c>
    </row>
    <row r="111" spans="1:16" ht="27.6" customHeight="1">
      <c r="A111" s="15" t="s">
        <v>191</v>
      </c>
      <c r="B111" s="16">
        <v>4</v>
      </c>
      <c r="C111" s="22" t="s">
        <v>192</v>
      </c>
      <c r="D111" s="18" t="s">
        <v>193</v>
      </c>
      <c r="E111" s="19">
        <v>44</v>
      </c>
      <c r="F111" s="18" t="s">
        <v>1537</v>
      </c>
      <c r="G111" s="480">
        <v>26</v>
      </c>
      <c r="H111" s="481">
        <v>17</v>
      </c>
      <c r="I111" s="482">
        <v>10.9</v>
      </c>
      <c r="J111" s="481">
        <v>127</v>
      </c>
      <c r="K111" s="483">
        <v>58</v>
      </c>
      <c r="L111" s="521">
        <v>44</v>
      </c>
      <c r="M111" s="26" t="s">
        <v>167</v>
      </c>
      <c r="N111" s="27" t="s">
        <v>168</v>
      </c>
      <c r="O111" s="37" t="s">
        <v>184</v>
      </c>
      <c r="P111" s="25" t="s">
        <v>1032</v>
      </c>
    </row>
    <row r="112" spans="1:16" ht="27.6" customHeight="1">
      <c r="A112" s="30" t="s">
        <v>191</v>
      </c>
      <c r="B112" s="31">
        <v>4</v>
      </c>
      <c r="C112" s="57" t="s">
        <v>192</v>
      </c>
      <c r="D112" s="33" t="s">
        <v>193</v>
      </c>
      <c r="E112" s="89">
        <v>45</v>
      </c>
      <c r="F112" s="33" t="s">
        <v>1538</v>
      </c>
      <c r="G112" s="484">
        <v>26</v>
      </c>
      <c r="H112" s="485">
        <v>36</v>
      </c>
      <c r="I112" s="486">
        <v>33.299999999999997</v>
      </c>
      <c r="J112" s="485">
        <v>128</v>
      </c>
      <c r="K112" s="487">
        <v>9</v>
      </c>
      <c r="L112" s="522">
        <v>29</v>
      </c>
      <c r="M112" s="35" t="s">
        <v>167</v>
      </c>
      <c r="N112" s="36" t="s">
        <v>168</v>
      </c>
      <c r="O112" s="37" t="s">
        <v>184</v>
      </c>
      <c r="P112" s="38" t="s">
        <v>164</v>
      </c>
    </row>
    <row r="113" spans="1:16" ht="27.6" customHeight="1">
      <c r="A113" s="15" t="s">
        <v>191</v>
      </c>
      <c r="B113" s="16">
        <v>4</v>
      </c>
      <c r="C113" s="22" t="s">
        <v>192</v>
      </c>
      <c r="D113" s="18" t="s">
        <v>193</v>
      </c>
      <c r="E113" s="19">
        <v>46</v>
      </c>
      <c r="F113" s="610" t="s">
        <v>1156</v>
      </c>
      <c r="G113" s="480">
        <v>26</v>
      </c>
      <c r="H113" s="481">
        <v>19</v>
      </c>
      <c r="I113" s="482">
        <v>7.3</v>
      </c>
      <c r="J113" s="611">
        <v>127</v>
      </c>
      <c r="K113" s="483">
        <v>56</v>
      </c>
      <c r="L113" s="521">
        <v>45.6</v>
      </c>
      <c r="M113" s="26" t="s">
        <v>1186</v>
      </c>
      <c r="N113" s="27" t="s">
        <v>180</v>
      </c>
      <c r="O113" s="24" t="s">
        <v>184</v>
      </c>
      <c r="P113" s="25" t="s">
        <v>1187</v>
      </c>
    </row>
    <row r="114" spans="1:16" ht="27.6" customHeight="1">
      <c r="A114" s="15" t="s">
        <v>191</v>
      </c>
      <c r="B114" s="16">
        <v>4</v>
      </c>
      <c r="C114" s="22" t="s">
        <v>192</v>
      </c>
      <c r="D114" s="18" t="s">
        <v>193</v>
      </c>
      <c r="E114" s="612">
        <v>47</v>
      </c>
      <c r="F114" s="613" t="s">
        <v>1632</v>
      </c>
      <c r="G114" s="480">
        <v>26</v>
      </c>
      <c r="H114" s="481">
        <v>10</v>
      </c>
      <c r="I114" s="482">
        <v>26.6</v>
      </c>
      <c r="J114" s="611">
        <v>127</v>
      </c>
      <c r="K114" s="483">
        <v>50</v>
      </c>
      <c r="L114" s="521">
        <v>32.5</v>
      </c>
      <c r="M114" s="26" t="s">
        <v>95</v>
      </c>
      <c r="N114" s="27" t="s">
        <v>1644</v>
      </c>
      <c r="O114" s="24" t="s">
        <v>184</v>
      </c>
      <c r="P114" s="25" t="s">
        <v>1645</v>
      </c>
    </row>
    <row r="115" spans="1:16" ht="27.6" customHeight="1" thickBot="1">
      <c r="A115" s="429" t="s">
        <v>191</v>
      </c>
      <c r="B115" s="44">
        <v>4</v>
      </c>
      <c r="C115" s="108" t="s">
        <v>192</v>
      </c>
      <c r="D115" s="83" t="s">
        <v>193</v>
      </c>
      <c r="E115" s="614">
        <v>48</v>
      </c>
      <c r="F115" s="615" t="s">
        <v>1633</v>
      </c>
      <c r="G115" s="523">
        <v>26</v>
      </c>
      <c r="H115" s="524">
        <v>9</v>
      </c>
      <c r="I115" s="525">
        <v>43.3</v>
      </c>
      <c r="J115" s="526">
        <v>127</v>
      </c>
      <c r="K115" s="527">
        <v>50</v>
      </c>
      <c r="L115" s="528">
        <v>25.5</v>
      </c>
      <c r="M115" s="87" t="s">
        <v>95</v>
      </c>
      <c r="N115" s="88" t="s">
        <v>1644</v>
      </c>
      <c r="O115" s="86" t="s">
        <v>184</v>
      </c>
      <c r="P115" s="85" t="s">
        <v>1646</v>
      </c>
    </row>
    <row r="116" spans="1:16" ht="27.6" customHeight="1" thickTop="1">
      <c r="A116" s="45" t="s">
        <v>198</v>
      </c>
      <c r="B116" s="46">
        <v>5</v>
      </c>
      <c r="C116" s="121" t="s">
        <v>199</v>
      </c>
      <c r="D116" s="48" t="s">
        <v>153</v>
      </c>
      <c r="E116" s="49">
        <v>1</v>
      </c>
      <c r="F116" s="50" t="s">
        <v>200</v>
      </c>
      <c r="G116" s="494">
        <v>26</v>
      </c>
      <c r="H116" s="495">
        <v>5</v>
      </c>
      <c r="I116" s="496">
        <v>54.6</v>
      </c>
      <c r="J116" s="494">
        <v>127</v>
      </c>
      <c r="K116" s="497">
        <v>38</v>
      </c>
      <c r="L116" s="496">
        <v>44</v>
      </c>
      <c r="M116" s="53" t="s">
        <v>167</v>
      </c>
      <c r="N116" s="54" t="s">
        <v>154</v>
      </c>
      <c r="O116" s="51" t="s">
        <v>181</v>
      </c>
      <c r="P116" s="52" t="s">
        <v>35</v>
      </c>
    </row>
    <row r="117" spans="1:16" ht="27.6" customHeight="1">
      <c r="A117" s="15" t="s">
        <v>198</v>
      </c>
      <c r="B117" s="16">
        <v>5</v>
      </c>
      <c r="C117" s="22" t="s">
        <v>199</v>
      </c>
      <c r="D117" s="18" t="s">
        <v>153</v>
      </c>
      <c r="E117" s="19">
        <v>2</v>
      </c>
      <c r="F117" s="55" t="s">
        <v>1539</v>
      </c>
      <c r="G117" s="480">
        <v>26</v>
      </c>
      <c r="H117" s="481">
        <v>12</v>
      </c>
      <c r="I117" s="482">
        <v>36.700000000000003</v>
      </c>
      <c r="J117" s="480">
        <v>127</v>
      </c>
      <c r="K117" s="483">
        <v>38</v>
      </c>
      <c r="L117" s="482">
        <v>20.3</v>
      </c>
      <c r="M117" s="26" t="s">
        <v>130</v>
      </c>
      <c r="N117" s="27" t="s">
        <v>202</v>
      </c>
      <c r="O117" s="24" t="s">
        <v>181</v>
      </c>
      <c r="P117" s="25" t="s">
        <v>128</v>
      </c>
    </row>
    <row r="118" spans="1:16" ht="27.6" customHeight="1">
      <c r="A118" s="15" t="s">
        <v>198</v>
      </c>
      <c r="B118" s="16">
        <v>5</v>
      </c>
      <c r="C118" s="22" t="s">
        <v>199</v>
      </c>
      <c r="D118" s="18" t="s">
        <v>153</v>
      </c>
      <c r="E118" s="19">
        <v>3</v>
      </c>
      <c r="F118" s="55" t="s">
        <v>1540</v>
      </c>
      <c r="G118" s="480">
        <v>26</v>
      </c>
      <c r="H118" s="481">
        <v>12</v>
      </c>
      <c r="I118" s="482">
        <v>51.8</v>
      </c>
      <c r="J118" s="480">
        <v>127</v>
      </c>
      <c r="K118" s="483">
        <v>38</v>
      </c>
      <c r="L118" s="482">
        <v>35.700000000000003</v>
      </c>
      <c r="M118" s="26" t="s">
        <v>167</v>
      </c>
      <c r="N118" s="27" t="s">
        <v>154</v>
      </c>
      <c r="O118" s="24" t="s">
        <v>181</v>
      </c>
      <c r="P118" s="25" t="s">
        <v>35</v>
      </c>
    </row>
    <row r="119" spans="1:16" ht="27.6" customHeight="1">
      <c r="A119" s="15" t="s">
        <v>198</v>
      </c>
      <c r="B119" s="16">
        <v>5</v>
      </c>
      <c r="C119" s="22" t="s">
        <v>199</v>
      </c>
      <c r="D119" s="18" t="s">
        <v>153</v>
      </c>
      <c r="E119" s="19">
        <v>4</v>
      </c>
      <c r="F119" s="55" t="s">
        <v>204</v>
      </c>
      <c r="G119" s="480">
        <v>26</v>
      </c>
      <c r="H119" s="481">
        <v>14</v>
      </c>
      <c r="I119" s="482">
        <v>40.9</v>
      </c>
      <c r="J119" s="480">
        <v>127</v>
      </c>
      <c r="K119" s="483">
        <v>33</v>
      </c>
      <c r="L119" s="482">
        <v>39.200000000000003</v>
      </c>
      <c r="M119" s="26" t="s">
        <v>167</v>
      </c>
      <c r="N119" s="27" t="s">
        <v>154</v>
      </c>
      <c r="O119" s="24" t="s">
        <v>181</v>
      </c>
      <c r="P119" s="25" t="s">
        <v>35</v>
      </c>
    </row>
    <row r="120" spans="1:16" ht="27.6" customHeight="1">
      <c r="A120" s="15" t="s">
        <v>198</v>
      </c>
      <c r="B120" s="16">
        <v>5</v>
      </c>
      <c r="C120" s="22" t="s">
        <v>199</v>
      </c>
      <c r="D120" s="18" t="s">
        <v>153</v>
      </c>
      <c r="E120" s="19">
        <v>5</v>
      </c>
      <c r="F120" s="55" t="s">
        <v>1541</v>
      </c>
      <c r="G120" s="480">
        <v>26</v>
      </c>
      <c r="H120" s="481">
        <v>15</v>
      </c>
      <c r="I120" s="482">
        <v>19.600000000000001</v>
      </c>
      <c r="J120" s="480">
        <v>127</v>
      </c>
      <c r="K120" s="483">
        <v>34</v>
      </c>
      <c r="L120" s="482">
        <v>47.5</v>
      </c>
      <c r="M120" s="26" t="s">
        <v>167</v>
      </c>
      <c r="N120" s="27" t="s">
        <v>154</v>
      </c>
      <c r="O120" s="24" t="s">
        <v>181</v>
      </c>
      <c r="P120" s="25" t="s">
        <v>35</v>
      </c>
    </row>
    <row r="121" spans="1:16" ht="27.6" customHeight="1">
      <c r="A121" s="15" t="s">
        <v>198</v>
      </c>
      <c r="B121" s="16">
        <v>5</v>
      </c>
      <c r="C121" s="22" t="s">
        <v>199</v>
      </c>
      <c r="D121" s="18" t="s">
        <v>153</v>
      </c>
      <c r="E121" s="19">
        <v>6</v>
      </c>
      <c r="F121" s="55" t="s">
        <v>1542</v>
      </c>
      <c r="G121" s="480">
        <v>26</v>
      </c>
      <c r="H121" s="481">
        <v>15</v>
      </c>
      <c r="I121" s="482">
        <v>22.8</v>
      </c>
      <c r="J121" s="480">
        <v>127</v>
      </c>
      <c r="K121" s="483">
        <v>32</v>
      </c>
      <c r="L121" s="482">
        <v>23.7</v>
      </c>
      <c r="M121" s="26" t="s">
        <v>167</v>
      </c>
      <c r="N121" s="27" t="s">
        <v>154</v>
      </c>
      <c r="O121" s="24" t="s">
        <v>181</v>
      </c>
      <c r="P121" s="25" t="s">
        <v>35</v>
      </c>
    </row>
    <row r="122" spans="1:16" ht="27.6" customHeight="1">
      <c r="A122" s="15" t="s">
        <v>198</v>
      </c>
      <c r="B122" s="16">
        <v>5</v>
      </c>
      <c r="C122" s="22" t="s">
        <v>199</v>
      </c>
      <c r="D122" s="18" t="s">
        <v>153</v>
      </c>
      <c r="E122" s="19">
        <v>7</v>
      </c>
      <c r="F122" s="55" t="s">
        <v>207</v>
      </c>
      <c r="G122" s="480">
        <v>26</v>
      </c>
      <c r="H122" s="481">
        <v>16</v>
      </c>
      <c r="I122" s="482">
        <v>12.9</v>
      </c>
      <c r="J122" s="480">
        <v>127</v>
      </c>
      <c r="K122" s="481">
        <v>31</v>
      </c>
      <c r="L122" s="482">
        <v>26.8</v>
      </c>
      <c r="M122" s="26" t="s">
        <v>167</v>
      </c>
      <c r="N122" s="27" t="s">
        <v>154</v>
      </c>
      <c r="O122" s="24" t="s">
        <v>181</v>
      </c>
      <c r="P122" s="25" t="s">
        <v>35</v>
      </c>
    </row>
    <row r="123" spans="1:16" ht="27.6" customHeight="1">
      <c r="A123" s="15" t="s">
        <v>198</v>
      </c>
      <c r="B123" s="16">
        <v>5</v>
      </c>
      <c r="C123" s="22" t="s">
        <v>199</v>
      </c>
      <c r="D123" s="18" t="s">
        <v>153</v>
      </c>
      <c r="E123" s="19">
        <v>8</v>
      </c>
      <c r="F123" s="55" t="s">
        <v>1543</v>
      </c>
      <c r="G123" s="480">
        <v>26</v>
      </c>
      <c r="H123" s="481">
        <v>16</v>
      </c>
      <c r="I123" s="482">
        <v>26.8</v>
      </c>
      <c r="J123" s="480">
        <v>127</v>
      </c>
      <c r="K123" s="483">
        <v>33</v>
      </c>
      <c r="L123" s="482">
        <v>2.8</v>
      </c>
      <c r="M123" s="26" t="s">
        <v>167</v>
      </c>
      <c r="N123" s="27" t="s">
        <v>154</v>
      </c>
      <c r="O123" s="24" t="s">
        <v>181</v>
      </c>
      <c r="P123" s="25" t="s">
        <v>35</v>
      </c>
    </row>
    <row r="124" spans="1:16" ht="27.6" customHeight="1">
      <c r="A124" s="15" t="s">
        <v>198</v>
      </c>
      <c r="B124" s="16">
        <v>5</v>
      </c>
      <c r="C124" s="22" t="s">
        <v>199</v>
      </c>
      <c r="D124" s="18" t="s">
        <v>153</v>
      </c>
      <c r="E124" s="19">
        <v>9</v>
      </c>
      <c r="F124" s="55" t="s">
        <v>1544</v>
      </c>
      <c r="G124" s="480">
        <v>26</v>
      </c>
      <c r="H124" s="481">
        <v>16</v>
      </c>
      <c r="I124" s="482">
        <v>19.399999999999999</v>
      </c>
      <c r="J124" s="480">
        <v>127</v>
      </c>
      <c r="K124" s="483">
        <v>41</v>
      </c>
      <c r="L124" s="482">
        <v>40</v>
      </c>
      <c r="M124" s="26" t="s">
        <v>167</v>
      </c>
      <c r="N124" s="27" t="s">
        <v>154</v>
      </c>
      <c r="O124" s="24" t="s">
        <v>181</v>
      </c>
      <c r="P124" s="25" t="s">
        <v>35</v>
      </c>
    </row>
    <row r="125" spans="1:16" ht="27.6" customHeight="1">
      <c r="A125" s="15" t="s">
        <v>198</v>
      </c>
      <c r="B125" s="16">
        <v>5</v>
      </c>
      <c r="C125" s="22" t="s">
        <v>199</v>
      </c>
      <c r="D125" s="18" t="s">
        <v>153</v>
      </c>
      <c r="E125" s="19">
        <v>10</v>
      </c>
      <c r="F125" s="55" t="s">
        <v>1545</v>
      </c>
      <c r="G125" s="480">
        <v>26</v>
      </c>
      <c r="H125" s="481">
        <v>17</v>
      </c>
      <c r="I125" s="482">
        <v>46.2</v>
      </c>
      <c r="J125" s="480">
        <v>127</v>
      </c>
      <c r="K125" s="483">
        <v>44</v>
      </c>
      <c r="L125" s="482">
        <v>41</v>
      </c>
      <c r="M125" s="26" t="s">
        <v>167</v>
      </c>
      <c r="N125" s="27" t="s">
        <v>154</v>
      </c>
      <c r="O125" s="24" t="s">
        <v>181</v>
      </c>
      <c r="P125" s="25" t="s">
        <v>128</v>
      </c>
    </row>
    <row r="126" spans="1:16" ht="27.6" customHeight="1">
      <c r="A126" s="15" t="s">
        <v>198</v>
      </c>
      <c r="B126" s="16">
        <v>5</v>
      </c>
      <c r="C126" s="22" t="s">
        <v>199</v>
      </c>
      <c r="D126" s="18" t="s">
        <v>153</v>
      </c>
      <c r="E126" s="19">
        <v>11</v>
      </c>
      <c r="F126" s="55" t="s">
        <v>1546</v>
      </c>
      <c r="G126" s="480">
        <v>26</v>
      </c>
      <c r="H126" s="481">
        <v>19</v>
      </c>
      <c r="I126" s="482">
        <v>45.2</v>
      </c>
      <c r="J126" s="480">
        <v>127</v>
      </c>
      <c r="K126" s="483">
        <v>44</v>
      </c>
      <c r="L126" s="482">
        <v>31.6</v>
      </c>
      <c r="M126" s="26" t="s">
        <v>167</v>
      </c>
      <c r="N126" s="27" t="s">
        <v>154</v>
      </c>
      <c r="O126" s="24" t="s">
        <v>181</v>
      </c>
      <c r="P126" s="25" t="s">
        <v>160</v>
      </c>
    </row>
    <row r="127" spans="1:16" ht="27.6" customHeight="1">
      <c r="A127" s="15" t="s">
        <v>198</v>
      </c>
      <c r="B127" s="16">
        <v>5</v>
      </c>
      <c r="C127" s="22" t="s">
        <v>199</v>
      </c>
      <c r="D127" s="18" t="s">
        <v>153</v>
      </c>
      <c r="E127" s="19">
        <v>12</v>
      </c>
      <c r="F127" s="55" t="s">
        <v>1547</v>
      </c>
      <c r="G127" s="480">
        <v>26</v>
      </c>
      <c r="H127" s="481">
        <v>21</v>
      </c>
      <c r="I127" s="482">
        <v>48.6</v>
      </c>
      <c r="J127" s="480">
        <v>127</v>
      </c>
      <c r="K127" s="483">
        <v>44</v>
      </c>
      <c r="L127" s="482">
        <v>4.0999999999999996</v>
      </c>
      <c r="M127" s="26" t="s">
        <v>167</v>
      </c>
      <c r="N127" s="27" t="s">
        <v>154</v>
      </c>
      <c r="O127" s="24" t="s">
        <v>181</v>
      </c>
      <c r="P127" s="25" t="s">
        <v>173</v>
      </c>
    </row>
    <row r="128" spans="1:16" ht="27.6" customHeight="1">
      <c r="A128" s="15" t="s">
        <v>198</v>
      </c>
      <c r="B128" s="16">
        <v>5</v>
      </c>
      <c r="C128" s="22" t="s">
        <v>199</v>
      </c>
      <c r="D128" s="18" t="s">
        <v>153</v>
      </c>
      <c r="E128" s="19">
        <v>13</v>
      </c>
      <c r="F128" s="55" t="s">
        <v>1548</v>
      </c>
      <c r="G128" s="480">
        <v>26</v>
      </c>
      <c r="H128" s="481">
        <v>26</v>
      </c>
      <c r="I128" s="482">
        <v>12.1</v>
      </c>
      <c r="J128" s="480">
        <v>127</v>
      </c>
      <c r="K128" s="483">
        <v>42</v>
      </c>
      <c r="L128" s="482">
        <v>34.799999999999997</v>
      </c>
      <c r="M128" s="26" t="s">
        <v>130</v>
      </c>
      <c r="N128" s="27" t="s">
        <v>180</v>
      </c>
      <c r="O128" s="24" t="s">
        <v>181</v>
      </c>
      <c r="P128" s="25" t="s">
        <v>213</v>
      </c>
    </row>
    <row r="129" spans="1:16" ht="27.6" customHeight="1">
      <c r="A129" s="15" t="s">
        <v>198</v>
      </c>
      <c r="B129" s="16">
        <v>5</v>
      </c>
      <c r="C129" s="22" t="s">
        <v>199</v>
      </c>
      <c r="D129" s="18" t="s">
        <v>153</v>
      </c>
      <c r="E129" s="19">
        <v>14</v>
      </c>
      <c r="F129" s="55" t="s">
        <v>1549</v>
      </c>
      <c r="G129" s="480">
        <v>26</v>
      </c>
      <c r="H129" s="481">
        <v>26</v>
      </c>
      <c r="I129" s="482">
        <v>19.100000000000001</v>
      </c>
      <c r="J129" s="480">
        <v>127</v>
      </c>
      <c r="K129" s="483">
        <v>42</v>
      </c>
      <c r="L129" s="482">
        <v>33.6</v>
      </c>
      <c r="M129" s="26" t="s">
        <v>167</v>
      </c>
      <c r="N129" s="27" t="s">
        <v>154</v>
      </c>
      <c r="O129" s="24" t="s">
        <v>181</v>
      </c>
      <c r="P129" s="25" t="s">
        <v>173</v>
      </c>
    </row>
    <row r="130" spans="1:16" ht="27.6" customHeight="1">
      <c r="A130" s="15" t="s">
        <v>198</v>
      </c>
      <c r="B130" s="16">
        <v>5</v>
      </c>
      <c r="C130" s="22" t="s">
        <v>199</v>
      </c>
      <c r="D130" s="18" t="s">
        <v>153</v>
      </c>
      <c r="E130" s="19">
        <v>15</v>
      </c>
      <c r="F130" s="55" t="s">
        <v>1550</v>
      </c>
      <c r="G130" s="480">
        <v>26</v>
      </c>
      <c r="H130" s="481">
        <v>26</v>
      </c>
      <c r="I130" s="482">
        <v>36</v>
      </c>
      <c r="J130" s="480">
        <v>127</v>
      </c>
      <c r="K130" s="483">
        <v>46</v>
      </c>
      <c r="L130" s="482">
        <v>6.3</v>
      </c>
      <c r="M130" s="26" t="s">
        <v>130</v>
      </c>
      <c r="N130" s="27" t="s">
        <v>154</v>
      </c>
      <c r="O130" s="24" t="s">
        <v>181</v>
      </c>
      <c r="P130" s="25" t="s">
        <v>157</v>
      </c>
    </row>
    <row r="131" spans="1:16" ht="27.6" customHeight="1">
      <c r="A131" s="15" t="s">
        <v>198</v>
      </c>
      <c r="B131" s="16">
        <v>5</v>
      </c>
      <c r="C131" s="22" t="s">
        <v>199</v>
      </c>
      <c r="D131" s="18" t="s">
        <v>153</v>
      </c>
      <c r="E131" s="19">
        <v>16</v>
      </c>
      <c r="F131" s="55" t="s">
        <v>1551</v>
      </c>
      <c r="G131" s="480">
        <v>26</v>
      </c>
      <c r="H131" s="481">
        <v>26</v>
      </c>
      <c r="I131" s="482">
        <v>43.2</v>
      </c>
      <c r="J131" s="480">
        <v>127</v>
      </c>
      <c r="K131" s="483">
        <v>46</v>
      </c>
      <c r="L131" s="482">
        <v>4.5</v>
      </c>
      <c r="M131" s="26" t="s">
        <v>167</v>
      </c>
      <c r="N131" s="27" t="s">
        <v>154</v>
      </c>
      <c r="O131" s="24" t="s">
        <v>181</v>
      </c>
      <c r="P131" s="25" t="s">
        <v>173</v>
      </c>
    </row>
    <row r="132" spans="1:16" ht="27.6" customHeight="1">
      <c r="A132" s="15" t="s">
        <v>198</v>
      </c>
      <c r="B132" s="16">
        <v>5</v>
      </c>
      <c r="C132" s="22" t="s">
        <v>199</v>
      </c>
      <c r="D132" s="18" t="s">
        <v>153</v>
      </c>
      <c r="E132" s="19">
        <v>17</v>
      </c>
      <c r="F132" s="55" t="s">
        <v>1552</v>
      </c>
      <c r="G132" s="480">
        <v>26</v>
      </c>
      <c r="H132" s="481">
        <v>29</v>
      </c>
      <c r="I132" s="482">
        <v>38.1</v>
      </c>
      <c r="J132" s="480">
        <v>127</v>
      </c>
      <c r="K132" s="483">
        <v>50</v>
      </c>
      <c r="L132" s="482">
        <v>23.8</v>
      </c>
      <c r="M132" s="26" t="s">
        <v>130</v>
      </c>
      <c r="N132" s="27" t="s">
        <v>154</v>
      </c>
      <c r="O132" s="24" t="s">
        <v>181</v>
      </c>
      <c r="P132" s="25" t="s">
        <v>217</v>
      </c>
    </row>
    <row r="133" spans="1:16" ht="27.6" customHeight="1">
      <c r="A133" s="15" t="s">
        <v>198</v>
      </c>
      <c r="B133" s="16">
        <v>5</v>
      </c>
      <c r="C133" s="22" t="s">
        <v>199</v>
      </c>
      <c r="D133" s="18" t="s">
        <v>153</v>
      </c>
      <c r="E133" s="19">
        <v>18</v>
      </c>
      <c r="F133" s="55" t="s">
        <v>1553</v>
      </c>
      <c r="G133" s="480">
        <v>26</v>
      </c>
      <c r="H133" s="481">
        <v>29</v>
      </c>
      <c r="I133" s="482">
        <v>45.5</v>
      </c>
      <c r="J133" s="480">
        <v>127</v>
      </c>
      <c r="K133" s="483">
        <v>50</v>
      </c>
      <c r="L133" s="482">
        <v>16</v>
      </c>
      <c r="M133" s="26" t="s">
        <v>167</v>
      </c>
      <c r="N133" s="27" t="s">
        <v>154</v>
      </c>
      <c r="O133" s="24" t="s">
        <v>181</v>
      </c>
      <c r="P133" s="25" t="s">
        <v>173</v>
      </c>
    </row>
    <row r="134" spans="1:16" ht="27.6" customHeight="1">
      <c r="A134" s="15" t="s">
        <v>198</v>
      </c>
      <c r="B134" s="16">
        <v>5</v>
      </c>
      <c r="C134" s="22" t="s">
        <v>199</v>
      </c>
      <c r="D134" s="18" t="s">
        <v>153</v>
      </c>
      <c r="E134" s="19">
        <v>19</v>
      </c>
      <c r="F134" s="55" t="s">
        <v>1554</v>
      </c>
      <c r="G134" s="480">
        <v>26</v>
      </c>
      <c r="H134" s="481">
        <v>30</v>
      </c>
      <c r="I134" s="482">
        <v>27.7</v>
      </c>
      <c r="J134" s="480">
        <v>127</v>
      </c>
      <c r="K134" s="481">
        <v>52</v>
      </c>
      <c r="L134" s="482">
        <v>54.7</v>
      </c>
      <c r="M134" s="26" t="s">
        <v>130</v>
      </c>
      <c r="N134" s="27" t="s">
        <v>154</v>
      </c>
      <c r="O134" s="24" t="s">
        <v>181</v>
      </c>
      <c r="P134" s="25" t="s">
        <v>160</v>
      </c>
    </row>
    <row r="135" spans="1:16" ht="27.6" customHeight="1">
      <c r="A135" s="15" t="s">
        <v>198</v>
      </c>
      <c r="B135" s="16">
        <v>5</v>
      </c>
      <c r="C135" s="22" t="s">
        <v>199</v>
      </c>
      <c r="D135" s="18" t="s">
        <v>153</v>
      </c>
      <c r="E135" s="19">
        <v>20</v>
      </c>
      <c r="F135" s="55" t="s">
        <v>1555</v>
      </c>
      <c r="G135" s="480">
        <v>26</v>
      </c>
      <c r="H135" s="481">
        <v>32</v>
      </c>
      <c r="I135" s="482">
        <v>21.7</v>
      </c>
      <c r="J135" s="480">
        <v>127</v>
      </c>
      <c r="K135" s="483">
        <v>55</v>
      </c>
      <c r="L135" s="482">
        <v>48.1</v>
      </c>
      <c r="M135" s="26" t="s">
        <v>167</v>
      </c>
      <c r="N135" s="27" t="s">
        <v>154</v>
      </c>
      <c r="O135" s="24" t="s">
        <v>181</v>
      </c>
      <c r="P135" s="25" t="s">
        <v>160</v>
      </c>
    </row>
    <row r="136" spans="1:16" ht="27.6" customHeight="1">
      <c r="A136" s="15" t="s">
        <v>198</v>
      </c>
      <c r="B136" s="16">
        <v>5</v>
      </c>
      <c r="C136" s="22" t="s">
        <v>199</v>
      </c>
      <c r="D136" s="18" t="s">
        <v>153</v>
      </c>
      <c r="E136" s="19">
        <v>21</v>
      </c>
      <c r="F136" s="55" t="s">
        <v>1556</v>
      </c>
      <c r="G136" s="480">
        <v>26</v>
      </c>
      <c r="H136" s="481">
        <v>37</v>
      </c>
      <c r="I136" s="482">
        <v>31</v>
      </c>
      <c r="J136" s="480">
        <v>127</v>
      </c>
      <c r="K136" s="483">
        <v>51</v>
      </c>
      <c r="L136" s="482">
        <v>30.4</v>
      </c>
      <c r="M136" s="26" t="s">
        <v>167</v>
      </c>
      <c r="N136" s="27" t="s">
        <v>154</v>
      </c>
      <c r="O136" s="24" t="s">
        <v>181</v>
      </c>
      <c r="P136" s="25" t="s">
        <v>112</v>
      </c>
    </row>
    <row r="137" spans="1:16" ht="27.6" customHeight="1">
      <c r="A137" s="15" t="s">
        <v>198</v>
      </c>
      <c r="B137" s="16">
        <v>5</v>
      </c>
      <c r="C137" s="22" t="s">
        <v>199</v>
      </c>
      <c r="D137" s="18" t="s">
        <v>153</v>
      </c>
      <c r="E137" s="19">
        <v>22</v>
      </c>
      <c r="F137" s="55" t="s">
        <v>222</v>
      </c>
      <c r="G137" s="480">
        <v>26</v>
      </c>
      <c r="H137" s="481">
        <v>40</v>
      </c>
      <c r="I137" s="482">
        <v>33</v>
      </c>
      <c r="J137" s="480">
        <v>127</v>
      </c>
      <c r="K137" s="481">
        <v>52</v>
      </c>
      <c r="L137" s="482">
        <v>34.799999999999997</v>
      </c>
      <c r="M137" s="26" t="s">
        <v>223</v>
      </c>
      <c r="N137" s="27" t="s">
        <v>154</v>
      </c>
      <c r="O137" s="24" t="s">
        <v>181</v>
      </c>
      <c r="P137" s="25" t="s">
        <v>99</v>
      </c>
    </row>
    <row r="138" spans="1:16" ht="27.6" customHeight="1">
      <c r="A138" s="15" t="s">
        <v>198</v>
      </c>
      <c r="B138" s="16">
        <v>5</v>
      </c>
      <c r="C138" s="22" t="s">
        <v>199</v>
      </c>
      <c r="D138" s="18" t="s">
        <v>153</v>
      </c>
      <c r="E138" s="19" t="s">
        <v>1557</v>
      </c>
      <c r="F138" s="55" t="s">
        <v>1558</v>
      </c>
      <c r="G138" s="480">
        <v>26</v>
      </c>
      <c r="H138" s="481">
        <v>39</v>
      </c>
      <c r="I138" s="482">
        <v>48.2</v>
      </c>
      <c r="J138" s="480">
        <v>127</v>
      </c>
      <c r="K138" s="481">
        <v>52</v>
      </c>
      <c r="L138" s="482">
        <v>26.9</v>
      </c>
      <c r="M138" s="26" t="s">
        <v>1648</v>
      </c>
      <c r="N138" s="27" t="s">
        <v>154</v>
      </c>
      <c r="O138" s="24" t="s">
        <v>184</v>
      </c>
      <c r="P138" s="25" t="s">
        <v>1649</v>
      </c>
    </row>
    <row r="139" spans="1:16" ht="27.6" customHeight="1">
      <c r="A139" s="15" t="s">
        <v>198</v>
      </c>
      <c r="B139" s="16">
        <v>5</v>
      </c>
      <c r="C139" s="22" t="s">
        <v>199</v>
      </c>
      <c r="D139" s="18" t="s">
        <v>153</v>
      </c>
      <c r="E139" s="19">
        <v>23</v>
      </c>
      <c r="F139" s="55" t="s">
        <v>1559</v>
      </c>
      <c r="G139" s="480">
        <v>26</v>
      </c>
      <c r="H139" s="481">
        <v>41</v>
      </c>
      <c r="I139" s="482">
        <v>35.4</v>
      </c>
      <c r="J139" s="480">
        <v>127</v>
      </c>
      <c r="K139" s="483">
        <v>52</v>
      </c>
      <c r="L139" s="482">
        <v>21.6</v>
      </c>
      <c r="M139" s="26" t="s">
        <v>167</v>
      </c>
      <c r="N139" s="27" t="s">
        <v>154</v>
      </c>
      <c r="O139" s="24" t="s">
        <v>181</v>
      </c>
      <c r="P139" s="25" t="s">
        <v>112</v>
      </c>
    </row>
    <row r="140" spans="1:16" ht="27.6" customHeight="1">
      <c r="A140" s="15" t="s">
        <v>198</v>
      </c>
      <c r="B140" s="16">
        <v>5</v>
      </c>
      <c r="C140" s="22" t="s">
        <v>199</v>
      </c>
      <c r="D140" s="18" t="s">
        <v>153</v>
      </c>
      <c r="E140" s="19">
        <v>24</v>
      </c>
      <c r="F140" s="55" t="s">
        <v>1560</v>
      </c>
      <c r="G140" s="480">
        <v>26</v>
      </c>
      <c r="H140" s="481">
        <v>42</v>
      </c>
      <c r="I140" s="482">
        <v>35.4</v>
      </c>
      <c r="J140" s="480">
        <v>127</v>
      </c>
      <c r="K140" s="483">
        <v>52</v>
      </c>
      <c r="L140" s="482">
        <v>47.5</v>
      </c>
      <c r="M140" s="26" t="s">
        <v>130</v>
      </c>
      <c r="N140" s="27" t="s">
        <v>154</v>
      </c>
      <c r="O140" s="24" t="s">
        <v>181</v>
      </c>
      <c r="P140" s="25" t="s">
        <v>157</v>
      </c>
    </row>
    <row r="141" spans="1:16" ht="27.6" customHeight="1">
      <c r="A141" s="15" t="s">
        <v>198</v>
      </c>
      <c r="B141" s="16">
        <v>5</v>
      </c>
      <c r="C141" s="22" t="s">
        <v>199</v>
      </c>
      <c r="D141" s="18" t="s">
        <v>153</v>
      </c>
      <c r="E141" s="19">
        <v>25</v>
      </c>
      <c r="F141" s="55" t="s">
        <v>1561</v>
      </c>
      <c r="G141" s="480">
        <v>26</v>
      </c>
      <c r="H141" s="481">
        <v>42</v>
      </c>
      <c r="I141" s="482">
        <v>41.8</v>
      </c>
      <c r="J141" s="480">
        <v>127</v>
      </c>
      <c r="K141" s="483">
        <v>52</v>
      </c>
      <c r="L141" s="482">
        <v>54.2</v>
      </c>
      <c r="M141" s="26" t="s">
        <v>167</v>
      </c>
      <c r="N141" s="27" t="s">
        <v>154</v>
      </c>
      <c r="O141" s="24" t="s">
        <v>181</v>
      </c>
      <c r="P141" s="25" t="s">
        <v>112</v>
      </c>
    </row>
    <row r="142" spans="1:16" ht="27.6" customHeight="1">
      <c r="A142" s="15" t="s">
        <v>198</v>
      </c>
      <c r="B142" s="16">
        <v>5</v>
      </c>
      <c r="C142" s="22" t="s">
        <v>199</v>
      </c>
      <c r="D142" s="18" t="s">
        <v>153</v>
      </c>
      <c r="E142" s="19">
        <v>26</v>
      </c>
      <c r="F142" s="55" t="s">
        <v>1562</v>
      </c>
      <c r="G142" s="480">
        <v>26</v>
      </c>
      <c r="H142" s="481">
        <v>42</v>
      </c>
      <c r="I142" s="482">
        <v>28.9</v>
      </c>
      <c r="J142" s="480">
        <v>127</v>
      </c>
      <c r="K142" s="483">
        <v>56</v>
      </c>
      <c r="L142" s="482">
        <v>52.6</v>
      </c>
      <c r="M142" s="26" t="s">
        <v>130</v>
      </c>
      <c r="N142" s="27" t="s">
        <v>227</v>
      </c>
      <c r="O142" s="24" t="s">
        <v>181</v>
      </c>
      <c r="P142" s="25" t="s">
        <v>157</v>
      </c>
    </row>
    <row r="143" spans="1:16" ht="27.6" customHeight="1">
      <c r="A143" s="15" t="s">
        <v>198</v>
      </c>
      <c r="B143" s="16">
        <v>5</v>
      </c>
      <c r="C143" s="22" t="s">
        <v>199</v>
      </c>
      <c r="D143" s="18" t="s">
        <v>153</v>
      </c>
      <c r="E143" s="19">
        <v>27</v>
      </c>
      <c r="F143" s="55" t="s">
        <v>1563</v>
      </c>
      <c r="G143" s="480">
        <v>26</v>
      </c>
      <c r="H143" s="481">
        <v>42</v>
      </c>
      <c r="I143" s="482">
        <v>38.299999999999997</v>
      </c>
      <c r="J143" s="480">
        <v>127</v>
      </c>
      <c r="K143" s="483">
        <v>56</v>
      </c>
      <c r="L143" s="482">
        <v>52.7</v>
      </c>
      <c r="M143" s="26" t="s">
        <v>167</v>
      </c>
      <c r="N143" s="27" t="s">
        <v>154</v>
      </c>
      <c r="O143" s="24" t="s">
        <v>181</v>
      </c>
      <c r="P143" s="25" t="s">
        <v>173</v>
      </c>
    </row>
    <row r="144" spans="1:16" ht="27.6" customHeight="1">
      <c r="A144" s="15" t="s">
        <v>198</v>
      </c>
      <c r="B144" s="16">
        <v>5</v>
      </c>
      <c r="C144" s="22" t="s">
        <v>199</v>
      </c>
      <c r="D144" s="18" t="s">
        <v>153</v>
      </c>
      <c r="E144" s="19">
        <v>28</v>
      </c>
      <c r="F144" s="55" t="s">
        <v>1564</v>
      </c>
      <c r="G144" s="480">
        <v>26</v>
      </c>
      <c r="H144" s="481">
        <v>42</v>
      </c>
      <c r="I144" s="482">
        <v>47.8</v>
      </c>
      <c r="J144" s="480">
        <v>128</v>
      </c>
      <c r="K144" s="483">
        <v>1</v>
      </c>
      <c r="L144" s="482">
        <v>15.7</v>
      </c>
      <c r="M144" s="26" t="s">
        <v>130</v>
      </c>
      <c r="N144" s="27" t="s">
        <v>154</v>
      </c>
      <c r="O144" s="24" t="s">
        <v>181</v>
      </c>
      <c r="P144" s="25" t="s">
        <v>157</v>
      </c>
    </row>
    <row r="145" spans="1:16" ht="27.6" customHeight="1">
      <c r="A145" s="15" t="s">
        <v>198</v>
      </c>
      <c r="B145" s="16">
        <v>5</v>
      </c>
      <c r="C145" s="22" t="s">
        <v>199</v>
      </c>
      <c r="D145" s="18" t="s">
        <v>153</v>
      </c>
      <c r="E145" s="19">
        <v>29</v>
      </c>
      <c r="F145" s="55" t="s">
        <v>1565</v>
      </c>
      <c r="G145" s="480">
        <v>26</v>
      </c>
      <c r="H145" s="481">
        <v>42</v>
      </c>
      <c r="I145" s="482">
        <v>55</v>
      </c>
      <c r="J145" s="480">
        <v>128</v>
      </c>
      <c r="K145" s="483">
        <v>1</v>
      </c>
      <c r="L145" s="482">
        <v>16.600000000000001</v>
      </c>
      <c r="M145" s="26" t="s">
        <v>167</v>
      </c>
      <c r="N145" s="27" t="s">
        <v>154</v>
      </c>
      <c r="O145" s="24" t="s">
        <v>181</v>
      </c>
      <c r="P145" s="25" t="s">
        <v>173</v>
      </c>
    </row>
    <row r="146" spans="1:16" ht="27.6" customHeight="1">
      <c r="A146" s="15" t="s">
        <v>198</v>
      </c>
      <c r="B146" s="16">
        <v>5</v>
      </c>
      <c r="C146" s="22" t="s">
        <v>199</v>
      </c>
      <c r="D146" s="18" t="s">
        <v>153</v>
      </c>
      <c r="E146" s="19">
        <v>30</v>
      </c>
      <c r="F146" s="55" t="s">
        <v>228</v>
      </c>
      <c r="G146" s="480">
        <v>26</v>
      </c>
      <c r="H146" s="481">
        <v>5</v>
      </c>
      <c r="I146" s="482">
        <v>44.7</v>
      </c>
      <c r="J146" s="480">
        <v>127</v>
      </c>
      <c r="K146" s="483">
        <v>38</v>
      </c>
      <c r="L146" s="482">
        <v>12.3</v>
      </c>
      <c r="M146" s="26" t="s">
        <v>223</v>
      </c>
      <c r="N146" s="27" t="s">
        <v>154</v>
      </c>
      <c r="O146" s="24" t="s">
        <v>181</v>
      </c>
      <c r="P146" s="25" t="s">
        <v>35</v>
      </c>
    </row>
    <row r="147" spans="1:16" ht="27.6" customHeight="1">
      <c r="A147" s="15" t="s">
        <v>198</v>
      </c>
      <c r="B147" s="16">
        <v>5</v>
      </c>
      <c r="C147" s="22" t="s">
        <v>199</v>
      </c>
      <c r="D147" s="18" t="s">
        <v>153</v>
      </c>
      <c r="E147" s="19">
        <v>31</v>
      </c>
      <c r="F147" s="55" t="s">
        <v>229</v>
      </c>
      <c r="G147" s="480">
        <v>26</v>
      </c>
      <c r="H147" s="481">
        <v>11</v>
      </c>
      <c r="I147" s="482">
        <v>32.700000000000003</v>
      </c>
      <c r="J147" s="480">
        <v>127</v>
      </c>
      <c r="K147" s="483">
        <v>36</v>
      </c>
      <c r="L147" s="482">
        <v>52.5</v>
      </c>
      <c r="M147" s="26" t="s">
        <v>66</v>
      </c>
      <c r="N147" s="27" t="s">
        <v>230</v>
      </c>
      <c r="O147" s="24" t="s">
        <v>181</v>
      </c>
      <c r="P147" s="25" t="s">
        <v>35</v>
      </c>
    </row>
    <row r="148" spans="1:16" ht="27.6" customHeight="1">
      <c r="A148" s="15" t="s">
        <v>198</v>
      </c>
      <c r="B148" s="16">
        <v>5</v>
      </c>
      <c r="C148" s="22" t="s">
        <v>199</v>
      </c>
      <c r="D148" s="18" t="s">
        <v>153</v>
      </c>
      <c r="E148" s="19">
        <v>32</v>
      </c>
      <c r="F148" s="55" t="s">
        <v>1566</v>
      </c>
      <c r="G148" s="480">
        <v>26</v>
      </c>
      <c r="H148" s="481">
        <v>21</v>
      </c>
      <c r="I148" s="482">
        <v>36.4</v>
      </c>
      <c r="J148" s="480">
        <v>127</v>
      </c>
      <c r="K148" s="483">
        <v>44</v>
      </c>
      <c r="L148" s="482">
        <v>21.2</v>
      </c>
      <c r="M148" s="26" t="s">
        <v>130</v>
      </c>
      <c r="N148" s="27" t="s">
        <v>154</v>
      </c>
      <c r="O148" s="24" t="s">
        <v>181</v>
      </c>
      <c r="P148" s="25" t="s">
        <v>173</v>
      </c>
    </row>
    <row r="149" spans="1:16" ht="27.6" customHeight="1">
      <c r="A149" s="15" t="s">
        <v>198</v>
      </c>
      <c r="B149" s="16">
        <v>5</v>
      </c>
      <c r="C149" s="22" t="s">
        <v>199</v>
      </c>
      <c r="D149" s="18" t="s">
        <v>153</v>
      </c>
      <c r="E149" s="89">
        <v>33</v>
      </c>
      <c r="F149" s="56" t="s">
        <v>1567</v>
      </c>
      <c r="G149" s="484">
        <v>26</v>
      </c>
      <c r="H149" s="485">
        <v>21</v>
      </c>
      <c r="I149" s="486">
        <v>38.299999999999997</v>
      </c>
      <c r="J149" s="484">
        <v>127</v>
      </c>
      <c r="K149" s="487">
        <v>44</v>
      </c>
      <c r="L149" s="486">
        <v>19.3</v>
      </c>
      <c r="M149" s="35" t="s">
        <v>167</v>
      </c>
      <c r="N149" s="36" t="s">
        <v>154</v>
      </c>
      <c r="O149" s="37" t="s">
        <v>181</v>
      </c>
      <c r="P149" s="38" t="s">
        <v>173</v>
      </c>
    </row>
    <row r="150" spans="1:16" ht="27.6" customHeight="1">
      <c r="A150" s="15" t="s">
        <v>198</v>
      </c>
      <c r="B150" s="16">
        <v>5</v>
      </c>
      <c r="C150" s="22" t="s">
        <v>199</v>
      </c>
      <c r="D150" s="18" t="s">
        <v>153</v>
      </c>
      <c r="E150" s="19">
        <v>34</v>
      </c>
      <c r="F150" s="55" t="s">
        <v>1568</v>
      </c>
      <c r="G150" s="480">
        <v>26</v>
      </c>
      <c r="H150" s="481">
        <v>15</v>
      </c>
      <c r="I150" s="482">
        <v>27.8</v>
      </c>
      <c r="J150" s="480">
        <v>127</v>
      </c>
      <c r="K150" s="483">
        <v>41</v>
      </c>
      <c r="L150" s="482">
        <v>0.7</v>
      </c>
      <c r="M150" s="26" t="s">
        <v>130</v>
      </c>
      <c r="N150" s="27" t="s">
        <v>856</v>
      </c>
      <c r="O150" s="24" t="s">
        <v>181</v>
      </c>
      <c r="P150" s="25" t="s">
        <v>157</v>
      </c>
    </row>
    <row r="151" spans="1:16" ht="27.6" customHeight="1">
      <c r="A151" s="15" t="s">
        <v>198</v>
      </c>
      <c r="B151" s="16">
        <v>5</v>
      </c>
      <c r="C151" s="22" t="s">
        <v>199</v>
      </c>
      <c r="D151" s="18" t="s">
        <v>153</v>
      </c>
      <c r="E151" s="19">
        <v>35</v>
      </c>
      <c r="F151" s="55" t="s">
        <v>232</v>
      </c>
      <c r="G151" s="480">
        <v>26</v>
      </c>
      <c r="H151" s="481">
        <v>15</v>
      </c>
      <c r="I151" s="482">
        <v>27</v>
      </c>
      <c r="J151" s="480">
        <v>127</v>
      </c>
      <c r="K151" s="481">
        <v>40</v>
      </c>
      <c r="L151" s="482">
        <v>45</v>
      </c>
      <c r="M151" s="26" t="s">
        <v>167</v>
      </c>
      <c r="N151" s="54" t="s">
        <v>154</v>
      </c>
      <c r="O151" s="51" t="s">
        <v>181</v>
      </c>
      <c r="P151" s="52" t="s">
        <v>112</v>
      </c>
    </row>
    <row r="152" spans="1:16" ht="27.6" customHeight="1">
      <c r="A152" s="15" t="s">
        <v>198</v>
      </c>
      <c r="B152" s="16">
        <v>5</v>
      </c>
      <c r="C152" s="22" t="s">
        <v>199</v>
      </c>
      <c r="D152" s="18" t="s">
        <v>153</v>
      </c>
      <c r="E152" s="49">
        <v>36</v>
      </c>
      <c r="F152" s="50" t="s">
        <v>1569</v>
      </c>
      <c r="G152" s="494">
        <v>26</v>
      </c>
      <c r="H152" s="495">
        <v>13</v>
      </c>
      <c r="I152" s="496">
        <v>34.6</v>
      </c>
      <c r="J152" s="494">
        <v>127</v>
      </c>
      <c r="K152" s="495">
        <v>40</v>
      </c>
      <c r="L152" s="496">
        <v>37.700000000000003</v>
      </c>
      <c r="M152" s="53" t="s">
        <v>167</v>
      </c>
      <c r="N152" s="54" t="s">
        <v>154</v>
      </c>
      <c r="O152" s="51" t="s">
        <v>233</v>
      </c>
      <c r="P152" s="52" t="s">
        <v>112</v>
      </c>
    </row>
    <row r="153" spans="1:16" ht="27.6" customHeight="1">
      <c r="A153" s="15" t="s">
        <v>198</v>
      </c>
      <c r="B153" s="16">
        <v>5</v>
      </c>
      <c r="C153" s="22" t="s">
        <v>199</v>
      </c>
      <c r="D153" s="18" t="s">
        <v>153</v>
      </c>
      <c r="E153" s="19">
        <v>37</v>
      </c>
      <c r="F153" s="55" t="s">
        <v>234</v>
      </c>
      <c r="G153" s="480">
        <v>26</v>
      </c>
      <c r="H153" s="481">
        <v>39</v>
      </c>
      <c r="I153" s="482">
        <v>14.2</v>
      </c>
      <c r="J153" s="480">
        <v>127</v>
      </c>
      <c r="K153" s="481">
        <v>52</v>
      </c>
      <c r="L153" s="482">
        <v>19.2</v>
      </c>
      <c r="M153" s="26" t="s">
        <v>167</v>
      </c>
      <c r="N153" s="27" t="s">
        <v>159</v>
      </c>
      <c r="O153" s="24" t="s">
        <v>184</v>
      </c>
      <c r="P153" s="25" t="s">
        <v>173</v>
      </c>
    </row>
    <row r="154" spans="1:16" ht="27.6" customHeight="1">
      <c r="A154" s="15" t="s">
        <v>198</v>
      </c>
      <c r="B154" s="16">
        <v>5</v>
      </c>
      <c r="C154" s="22" t="s">
        <v>199</v>
      </c>
      <c r="D154" s="18" t="s">
        <v>153</v>
      </c>
      <c r="E154" s="19">
        <v>38</v>
      </c>
      <c r="F154" s="55" t="s">
        <v>1570</v>
      </c>
      <c r="G154" s="480">
        <v>26</v>
      </c>
      <c r="H154" s="481">
        <v>13</v>
      </c>
      <c r="I154" s="482">
        <v>58.2</v>
      </c>
      <c r="J154" s="480">
        <v>127</v>
      </c>
      <c r="K154" s="481">
        <v>39</v>
      </c>
      <c r="L154" s="482">
        <v>12.1</v>
      </c>
      <c r="M154" s="26" t="s">
        <v>167</v>
      </c>
      <c r="N154" s="27" t="s">
        <v>168</v>
      </c>
      <c r="O154" s="24" t="s">
        <v>181</v>
      </c>
      <c r="P154" s="25" t="s">
        <v>112</v>
      </c>
    </row>
    <row r="155" spans="1:16" ht="27.6" customHeight="1">
      <c r="A155" s="15" t="s">
        <v>198</v>
      </c>
      <c r="B155" s="16">
        <v>5</v>
      </c>
      <c r="C155" s="22" t="s">
        <v>199</v>
      </c>
      <c r="D155" s="18" t="s">
        <v>153</v>
      </c>
      <c r="E155" s="19">
        <v>39</v>
      </c>
      <c r="F155" s="55" t="s">
        <v>1571</v>
      </c>
      <c r="G155" s="480">
        <v>26</v>
      </c>
      <c r="H155" s="481">
        <v>13</v>
      </c>
      <c r="I155" s="482">
        <v>9.1</v>
      </c>
      <c r="J155" s="480">
        <v>127</v>
      </c>
      <c r="K155" s="481">
        <v>38</v>
      </c>
      <c r="L155" s="482">
        <v>33.1</v>
      </c>
      <c r="M155" s="26" t="s">
        <v>167</v>
      </c>
      <c r="N155" s="27" t="s">
        <v>168</v>
      </c>
      <c r="O155" s="24" t="s">
        <v>181</v>
      </c>
      <c r="P155" s="25" t="s">
        <v>112</v>
      </c>
    </row>
    <row r="156" spans="1:16" ht="27.6" customHeight="1">
      <c r="A156" s="30" t="s">
        <v>198</v>
      </c>
      <c r="B156" s="31">
        <v>5</v>
      </c>
      <c r="C156" s="57" t="s">
        <v>199</v>
      </c>
      <c r="D156" s="33" t="s">
        <v>153</v>
      </c>
      <c r="E156" s="89">
        <v>40</v>
      </c>
      <c r="F156" s="56" t="s">
        <v>1572</v>
      </c>
      <c r="G156" s="484">
        <v>26</v>
      </c>
      <c r="H156" s="485">
        <v>17</v>
      </c>
      <c r="I156" s="486">
        <v>13.7</v>
      </c>
      <c r="J156" s="484">
        <v>127</v>
      </c>
      <c r="K156" s="485">
        <v>43</v>
      </c>
      <c r="L156" s="486">
        <v>3.1</v>
      </c>
      <c r="M156" s="35" t="s">
        <v>167</v>
      </c>
      <c r="N156" s="36" t="s">
        <v>168</v>
      </c>
      <c r="O156" s="37" t="s">
        <v>181</v>
      </c>
      <c r="P156" s="38" t="s">
        <v>35</v>
      </c>
    </row>
    <row r="157" spans="1:16" ht="27.6" customHeight="1">
      <c r="A157" s="15" t="s">
        <v>198</v>
      </c>
      <c r="B157" s="16">
        <v>5</v>
      </c>
      <c r="C157" s="22" t="s">
        <v>199</v>
      </c>
      <c r="D157" s="18" t="s">
        <v>153</v>
      </c>
      <c r="E157" s="19">
        <v>41</v>
      </c>
      <c r="F157" s="55" t="s">
        <v>237</v>
      </c>
      <c r="G157" s="480">
        <v>26</v>
      </c>
      <c r="H157" s="481">
        <v>4</v>
      </c>
      <c r="I157" s="482">
        <v>57</v>
      </c>
      <c r="J157" s="480">
        <v>127</v>
      </c>
      <c r="K157" s="481">
        <v>39</v>
      </c>
      <c r="L157" s="482">
        <v>18.3</v>
      </c>
      <c r="M157" s="26" t="s">
        <v>238</v>
      </c>
      <c r="N157" s="27" t="s">
        <v>239</v>
      </c>
      <c r="O157" s="24" t="s">
        <v>184</v>
      </c>
      <c r="P157" s="25" t="s">
        <v>157</v>
      </c>
    </row>
    <row r="158" spans="1:16" ht="27.6" customHeight="1">
      <c r="A158" s="15" t="s">
        <v>198</v>
      </c>
      <c r="B158" s="16">
        <v>5</v>
      </c>
      <c r="C158" s="22" t="s">
        <v>199</v>
      </c>
      <c r="D158" s="18" t="s">
        <v>153</v>
      </c>
      <c r="E158" s="19">
        <v>42</v>
      </c>
      <c r="F158" s="55" t="s">
        <v>1573</v>
      </c>
      <c r="G158" s="480">
        <v>26</v>
      </c>
      <c r="H158" s="481">
        <v>4</v>
      </c>
      <c r="I158" s="482">
        <v>56</v>
      </c>
      <c r="J158" s="480">
        <v>127</v>
      </c>
      <c r="K158" s="481">
        <v>39</v>
      </c>
      <c r="L158" s="482">
        <v>4.9000000000000004</v>
      </c>
      <c r="M158" s="26" t="s">
        <v>241</v>
      </c>
      <c r="N158" s="27" t="s">
        <v>1650</v>
      </c>
      <c r="O158" s="24" t="s">
        <v>184</v>
      </c>
      <c r="P158" s="25" t="s">
        <v>1651</v>
      </c>
    </row>
    <row r="159" spans="1:16" ht="27.6" customHeight="1">
      <c r="A159" s="529" t="s">
        <v>198</v>
      </c>
      <c r="B159" s="67">
        <v>5</v>
      </c>
      <c r="C159" s="530" t="s">
        <v>199</v>
      </c>
      <c r="D159" s="531" t="s">
        <v>153</v>
      </c>
      <c r="E159" s="191">
        <v>43</v>
      </c>
      <c r="F159" s="55" t="s">
        <v>1574</v>
      </c>
      <c r="G159" s="532">
        <v>26</v>
      </c>
      <c r="H159" s="533">
        <v>26</v>
      </c>
      <c r="I159" s="534">
        <v>33.700000000000003</v>
      </c>
      <c r="J159" s="532">
        <v>127</v>
      </c>
      <c r="K159" s="533">
        <v>46</v>
      </c>
      <c r="L159" s="534">
        <v>2.8</v>
      </c>
      <c r="M159" s="529" t="s">
        <v>853</v>
      </c>
      <c r="N159" s="535" t="s">
        <v>857</v>
      </c>
      <c r="O159" s="531" t="s">
        <v>184</v>
      </c>
      <c r="P159" s="536" t="s">
        <v>157</v>
      </c>
    </row>
    <row r="160" spans="1:16" ht="27.6" customHeight="1">
      <c r="A160" s="537" t="s">
        <v>198</v>
      </c>
      <c r="B160" s="374">
        <v>5</v>
      </c>
      <c r="C160" s="538" t="s">
        <v>199</v>
      </c>
      <c r="D160" s="539" t="s">
        <v>153</v>
      </c>
      <c r="E160" s="361">
        <v>44</v>
      </c>
      <c r="F160" s="540" t="s">
        <v>242</v>
      </c>
      <c r="G160" s="541">
        <v>26</v>
      </c>
      <c r="H160" s="542">
        <v>19</v>
      </c>
      <c r="I160" s="543">
        <v>28.2</v>
      </c>
      <c r="J160" s="541">
        <v>127</v>
      </c>
      <c r="K160" s="542">
        <v>44</v>
      </c>
      <c r="L160" s="543">
        <v>39.4</v>
      </c>
      <c r="M160" s="544" t="s">
        <v>167</v>
      </c>
      <c r="N160" s="545" t="s">
        <v>154</v>
      </c>
      <c r="O160" s="546" t="s">
        <v>184</v>
      </c>
      <c r="P160" s="547" t="s">
        <v>858</v>
      </c>
    </row>
    <row r="161" spans="1:16" ht="27.6" customHeight="1">
      <c r="A161" s="537" t="s">
        <v>198</v>
      </c>
      <c r="B161" s="374">
        <v>5</v>
      </c>
      <c r="C161" s="538" t="s">
        <v>199</v>
      </c>
      <c r="D161" s="539" t="s">
        <v>153</v>
      </c>
      <c r="E161" s="361">
        <v>45</v>
      </c>
      <c r="F161" s="548" t="s">
        <v>243</v>
      </c>
      <c r="G161" s="549">
        <v>26</v>
      </c>
      <c r="H161" s="550">
        <v>16</v>
      </c>
      <c r="I161" s="551">
        <v>2.8</v>
      </c>
      <c r="J161" s="549">
        <v>127</v>
      </c>
      <c r="K161" s="550">
        <v>34</v>
      </c>
      <c r="L161" s="551">
        <v>29.8</v>
      </c>
      <c r="M161" s="537" t="s">
        <v>167</v>
      </c>
      <c r="N161" s="552" t="s">
        <v>154</v>
      </c>
      <c r="O161" s="539" t="s">
        <v>859</v>
      </c>
      <c r="P161" s="553" t="s">
        <v>860</v>
      </c>
    </row>
    <row r="162" spans="1:16" ht="27.6" customHeight="1">
      <c r="A162" s="537" t="s">
        <v>198</v>
      </c>
      <c r="B162" s="374">
        <v>5</v>
      </c>
      <c r="C162" s="538" t="s">
        <v>199</v>
      </c>
      <c r="D162" s="539" t="s">
        <v>153</v>
      </c>
      <c r="E162" s="361">
        <v>46</v>
      </c>
      <c r="F162" s="548" t="s">
        <v>244</v>
      </c>
      <c r="G162" s="549">
        <v>26</v>
      </c>
      <c r="H162" s="550">
        <v>26</v>
      </c>
      <c r="I162" s="551">
        <v>18.899999999999999</v>
      </c>
      <c r="J162" s="549">
        <v>127</v>
      </c>
      <c r="K162" s="550">
        <v>47</v>
      </c>
      <c r="L162" s="551">
        <v>2.4</v>
      </c>
      <c r="M162" s="537" t="s">
        <v>167</v>
      </c>
      <c r="N162" s="552" t="s">
        <v>154</v>
      </c>
      <c r="O162" s="539" t="s">
        <v>859</v>
      </c>
      <c r="P162" s="553" t="s">
        <v>861</v>
      </c>
    </row>
    <row r="163" spans="1:16" ht="27.6" customHeight="1">
      <c r="A163" s="537" t="s">
        <v>198</v>
      </c>
      <c r="B163" s="374">
        <v>5</v>
      </c>
      <c r="C163" s="538" t="s">
        <v>199</v>
      </c>
      <c r="D163" s="539" t="s">
        <v>153</v>
      </c>
      <c r="E163" s="361">
        <v>47</v>
      </c>
      <c r="F163" s="554" t="s">
        <v>958</v>
      </c>
      <c r="G163" s="549">
        <v>26</v>
      </c>
      <c r="H163" s="550">
        <v>8</v>
      </c>
      <c r="I163" s="551">
        <v>29.8</v>
      </c>
      <c r="J163" s="549">
        <v>127</v>
      </c>
      <c r="K163" s="550">
        <v>38</v>
      </c>
      <c r="L163" s="551">
        <v>11.9</v>
      </c>
      <c r="M163" s="537" t="s">
        <v>241</v>
      </c>
      <c r="N163" s="552" t="s">
        <v>168</v>
      </c>
      <c r="O163" s="539" t="s">
        <v>859</v>
      </c>
      <c r="P163" s="553" t="s">
        <v>860</v>
      </c>
    </row>
    <row r="164" spans="1:16" ht="27.6" customHeight="1">
      <c r="A164" s="537" t="s">
        <v>198</v>
      </c>
      <c r="B164" s="374">
        <v>5</v>
      </c>
      <c r="C164" s="538" t="s">
        <v>199</v>
      </c>
      <c r="D164" s="539" t="s">
        <v>153</v>
      </c>
      <c r="E164" s="361">
        <v>48</v>
      </c>
      <c r="F164" s="554" t="s">
        <v>906</v>
      </c>
      <c r="G164" s="549">
        <v>26</v>
      </c>
      <c r="H164" s="550">
        <v>7</v>
      </c>
      <c r="I164" s="551">
        <v>11.4</v>
      </c>
      <c r="J164" s="549">
        <v>127</v>
      </c>
      <c r="K164" s="550">
        <v>39</v>
      </c>
      <c r="L164" s="551">
        <v>5.4</v>
      </c>
      <c r="M164" s="537" t="s">
        <v>130</v>
      </c>
      <c r="N164" s="552" t="s">
        <v>908</v>
      </c>
      <c r="O164" s="539" t="s">
        <v>184</v>
      </c>
      <c r="P164" s="553" t="s">
        <v>1034</v>
      </c>
    </row>
    <row r="165" spans="1:16" ht="27.6" customHeight="1">
      <c r="A165" s="537" t="s">
        <v>198</v>
      </c>
      <c r="B165" s="374">
        <v>5</v>
      </c>
      <c r="C165" s="538" t="s">
        <v>199</v>
      </c>
      <c r="D165" s="539" t="s">
        <v>153</v>
      </c>
      <c r="E165" s="361">
        <v>49</v>
      </c>
      <c r="F165" s="554" t="s">
        <v>907</v>
      </c>
      <c r="G165" s="549">
        <v>26</v>
      </c>
      <c r="H165" s="550">
        <v>42</v>
      </c>
      <c r="I165" s="551">
        <v>25.7</v>
      </c>
      <c r="J165" s="549">
        <v>127</v>
      </c>
      <c r="K165" s="550">
        <v>57</v>
      </c>
      <c r="L165" s="551">
        <v>48.2</v>
      </c>
      <c r="M165" s="537" t="s">
        <v>167</v>
      </c>
      <c r="N165" s="552" t="s">
        <v>908</v>
      </c>
      <c r="O165" s="539" t="s">
        <v>184</v>
      </c>
      <c r="P165" s="553" t="s">
        <v>1035</v>
      </c>
    </row>
    <row r="166" spans="1:16" ht="27.6" customHeight="1">
      <c r="A166" s="537" t="s">
        <v>198</v>
      </c>
      <c r="B166" s="374">
        <v>5</v>
      </c>
      <c r="C166" s="538" t="s">
        <v>199</v>
      </c>
      <c r="D166" s="539" t="s">
        <v>153</v>
      </c>
      <c r="E166" s="361">
        <v>50</v>
      </c>
      <c r="F166" s="554" t="s">
        <v>1251</v>
      </c>
      <c r="G166" s="549">
        <v>26</v>
      </c>
      <c r="H166" s="550">
        <v>16</v>
      </c>
      <c r="I166" s="551">
        <v>3</v>
      </c>
      <c r="J166" s="549">
        <v>127</v>
      </c>
      <c r="K166" s="550">
        <v>41</v>
      </c>
      <c r="L166" s="551">
        <v>27.7</v>
      </c>
      <c r="M166" s="537" t="s">
        <v>241</v>
      </c>
      <c r="N166" s="552" t="s">
        <v>168</v>
      </c>
      <c r="O166" s="539" t="s">
        <v>184</v>
      </c>
      <c r="P166" s="553" t="s">
        <v>877</v>
      </c>
    </row>
    <row r="167" spans="1:16" ht="27.6" customHeight="1">
      <c r="A167" s="537" t="s">
        <v>198</v>
      </c>
      <c r="B167" s="374">
        <v>5</v>
      </c>
      <c r="C167" s="538" t="s">
        <v>199</v>
      </c>
      <c r="D167" s="539" t="s">
        <v>153</v>
      </c>
      <c r="E167" s="361">
        <v>51</v>
      </c>
      <c r="F167" s="554" t="s">
        <v>1072</v>
      </c>
      <c r="G167" s="549">
        <v>26</v>
      </c>
      <c r="H167" s="550">
        <v>30</v>
      </c>
      <c r="I167" s="551">
        <v>32</v>
      </c>
      <c r="J167" s="549">
        <v>127</v>
      </c>
      <c r="K167" s="550">
        <v>51</v>
      </c>
      <c r="L167" s="551">
        <v>14.7</v>
      </c>
      <c r="M167" s="537" t="s">
        <v>241</v>
      </c>
      <c r="N167" s="552" t="s">
        <v>168</v>
      </c>
      <c r="O167" s="539" t="s">
        <v>184</v>
      </c>
      <c r="P167" s="553" t="s">
        <v>861</v>
      </c>
    </row>
    <row r="168" spans="1:16" ht="27.6" customHeight="1">
      <c r="A168" s="537" t="s">
        <v>198</v>
      </c>
      <c r="B168" s="374">
        <v>5</v>
      </c>
      <c r="C168" s="538" t="s">
        <v>199</v>
      </c>
      <c r="D168" s="539" t="s">
        <v>153</v>
      </c>
      <c r="E168" s="361">
        <v>52</v>
      </c>
      <c r="F168" s="554" t="s">
        <v>1575</v>
      </c>
      <c r="G168" s="549">
        <v>26</v>
      </c>
      <c r="H168" s="550">
        <v>36</v>
      </c>
      <c r="I168" s="551">
        <v>22.5</v>
      </c>
      <c r="J168" s="549">
        <v>127</v>
      </c>
      <c r="K168" s="550">
        <v>53</v>
      </c>
      <c r="L168" s="551">
        <v>30.7</v>
      </c>
      <c r="M168" s="537" t="s">
        <v>241</v>
      </c>
      <c r="N168" s="552" t="s">
        <v>168</v>
      </c>
      <c r="O168" s="539" t="s">
        <v>184</v>
      </c>
      <c r="P168" s="553" t="s">
        <v>861</v>
      </c>
    </row>
    <row r="169" spans="1:16" ht="27.6" customHeight="1">
      <c r="A169" s="537" t="s">
        <v>198</v>
      </c>
      <c r="B169" s="374">
        <v>5</v>
      </c>
      <c r="C169" s="538" t="s">
        <v>199</v>
      </c>
      <c r="D169" s="539" t="s">
        <v>153</v>
      </c>
      <c r="E169" s="361">
        <v>53</v>
      </c>
      <c r="F169" s="554" t="s">
        <v>1576</v>
      </c>
      <c r="G169" s="549">
        <v>26</v>
      </c>
      <c r="H169" s="550">
        <v>15</v>
      </c>
      <c r="I169" s="551">
        <v>16.600000000000001</v>
      </c>
      <c r="J169" s="549">
        <v>127</v>
      </c>
      <c r="K169" s="550">
        <v>32</v>
      </c>
      <c r="L169" s="551">
        <v>18.600000000000001</v>
      </c>
      <c r="M169" s="537" t="s">
        <v>167</v>
      </c>
      <c r="N169" s="552" t="s">
        <v>154</v>
      </c>
      <c r="O169" s="539" t="s">
        <v>184</v>
      </c>
      <c r="P169" s="553" t="s">
        <v>1188</v>
      </c>
    </row>
    <row r="170" spans="1:16" ht="27.6" customHeight="1">
      <c r="A170" s="537" t="s">
        <v>198</v>
      </c>
      <c r="B170" s="374">
        <v>5</v>
      </c>
      <c r="C170" s="538" t="s">
        <v>199</v>
      </c>
      <c r="D170" s="539" t="s">
        <v>153</v>
      </c>
      <c r="E170" s="361">
        <v>54</v>
      </c>
      <c r="F170" s="554" t="s">
        <v>1577</v>
      </c>
      <c r="G170" s="549">
        <v>26</v>
      </c>
      <c r="H170" s="550">
        <v>17</v>
      </c>
      <c r="I170" s="551">
        <v>8.4</v>
      </c>
      <c r="J170" s="549">
        <v>127</v>
      </c>
      <c r="K170" s="550">
        <v>44</v>
      </c>
      <c r="L170" s="551">
        <v>25</v>
      </c>
      <c r="M170" s="537" t="s">
        <v>167</v>
      </c>
      <c r="N170" s="552" t="s">
        <v>154</v>
      </c>
      <c r="O170" s="539" t="s">
        <v>233</v>
      </c>
      <c r="P170" s="553" t="s">
        <v>1189</v>
      </c>
    </row>
    <row r="171" spans="1:16" ht="27.6" customHeight="1">
      <c r="A171" s="537" t="s">
        <v>198</v>
      </c>
      <c r="B171" s="374">
        <v>5</v>
      </c>
      <c r="C171" s="538" t="s">
        <v>199</v>
      </c>
      <c r="D171" s="539" t="s">
        <v>153</v>
      </c>
      <c r="E171" s="361">
        <v>55</v>
      </c>
      <c r="F171" s="554" t="s">
        <v>1578</v>
      </c>
      <c r="G171" s="549">
        <v>26</v>
      </c>
      <c r="H171" s="550">
        <v>22</v>
      </c>
      <c r="I171" s="551">
        <v>2.6</v>
      </c>
      <c r="J171" s="549">
        <v>127</v>
      </c>
      <c r="K171" s="550">
        <v>43</v>
      </c>
      <c r="L171" s="551">
        <v>12.2</v>
      </c>
      <c r="M171" s="537" t="s">
        <v>167</v>
      </c>
      <c r="N171" s="552" t="s">
        <v>154</v>
      </c>
      <c r="O171" s="539" t="s">
        <v>184</v>
      </c>
      <c r="P171" s="553" t="s">
        <v>1188</v>
      </c>
    </row>
    <row r="172" spans="1:16" ht="27.6" customHeight="1">
      <c r="A172" s="537" t="s">
        <v>198</v>
      </c>
      <c r="B172" s="374">
        <v>5</v>
      </c>
      <c r="C172" s="538" t="s">
        <v>199</v>
      </c>
      <c r="D172" s="539" t="s">
        <v>153</v>
      </c>
      <c r="E172" s="361">
        <v>56</v>
      </c>
      <c r="F172" s="554" t="s">
        <v>1579</v>
      </c>
      <c r="G172" s="549">
        <v>26</v>
      </c>
      <c r="H172" s="550">
        <v>28</v>
      </c>
      <c r="I172" s="551">
        <v>7.3</v>
      </c>
      <c r="J172" s="549">
        <v>127</v>
      </c>
      <c r="K172" s="550">
        <v>48</v>
      </c>
      <c r="L172" s="551">
        <v>31.9</v>
      </c>
      <c r="M172" s="537" t="s">
        <v>167</v>
      </c>
      <c r="N172" s="552" t="s">
        <v>154</v>
      </c>
      <c r="O172" s="539" t="s">
        <v>184</v>
      </c>
      <c r="P172" s="553" t="s">
        <v>257</v>
      </c>
    </row>
    <row r="173" spans="1:16" ht="27.6" customHeight="1">
      <c r="A173" s="537" t="s">
        <v>198</v>
      </c>
      <c r="B173" s="374">
        <v>5</v>
      </c>
      <c r="C173" s="538" t="s">
        <v>199</v>
      </c>
      <c r="D173" s="539" t="s">
        <v>153</v>
      </c>
      <c r="E173" s="361">
        <v>57</v>
      </c>
      <c r="F173" s="554" t="s">
        <v>1580</v>
      </c>
      <c r="G173" s="549">
        <v>26</v>
      </c>
      <c r="H173" s="550">
        <v>30</v>
      </c>
      <c r="I173" s="551">
        <v>17</v>
      </c>
      <c r="J173" s="549">
        <v>127</v>
      </c>
      <c r="K173" s="550">
        <v>50</v>
      </c>
      <c r="L173" s="551">
        <v>41.6</v>
      </c>
      <c r="M173" s="537" t="s">
        <v>130</v>
      </c>
      <c r="N173" s="552" t="s">
        <v>154</v>
      </c>
      <c r="O173" s="539" t="s">
        <v>184</v>
      </c>
      <c r="P173" s="553" t="s">
        <v>1187</v>
      </c>
    </row>
    <row r="174" spans="1:16" ht="27.6" customHeight="1">
      <c r="A174" s="537" t="s">
        <v>198</v>
      </c>
      <c r="B174" s="374">
        <v>5</v>
      </c>
      <c r="C174" s="538" t="s">
        <v>199</v>
      </c>
      <c r="D174" s="539" t="s">
        <v>153</v>
      </c>
      <c r="E174" s="361">
        <v>58</v>
      </c>
      <c r="F174" s="554" t="s">
        <v>1581</v>
      </c>
      <c r="G174" s="549">
        <v>26</v>
      </c>
      <c r="H174" s="550">
        <v>30</v>
      </c>
      <c r="I174" s="551">
        <v>16.3</v>
      </c>
      <c r="J174" s="549">
        <v>127</v>
      </c>
      <c r="K174" s="550">
        <v>50</v>
      </c>
      <c r="L174" s="551">
        <v>50.3</v>
      </c>
      <c r="M174" s="537" t="s">
        <v>130</v>
      </c>
      <c r="N174" s="552" t="s">
        <v>154</v>
      </c>
      <c r="O174" s="539" t="s">
        <v>184</v>
      </c>
      <c r="P174" s="553" t="s">
        <v>1187</v>
      </c>
    </row>
    <row r="175" spans="1:16" ht="27.6" customHeight="1">
      <c r="A175" s="537" t="s">
        <v>198</v>
      </c>
      <c r="B175" s="374">
        <v>5</v>
      </c>
      <c r="C175" s="538" t="s">
        <v>199</v>
      </c>
      <c r="D175" s="539" t="s">
        <v>153</v>
      </c>
      <c r="E175" s="361">
        <v>59</v>
      </c>
      <c r="F175" s="554" t="s">
        <v>1582</v>
      </c>
      <c r="G175" s="549">
        <v>26</v>
      </c>
      <c r="H175" s="550">
        <v>35</v>
      </c>
      <c r="I175" s="551">
        <v>39.299999999999997</v>
      </c>
      <c r="J175" s="549">
        <v>127</v>
      </c>
      <c r="K175" s="550">
        <v>56</v>
      </c>
      <c r="L175" s="551">
        <v>33.6</v>
      </c>
      <c r="M175" s="537" t="s">
        <v>130</v>
      </c>
      <c r="N175" s="552" t="s">
        <v>154</v>
      </c>
      <c r="O175" s="539" t="s">
        <v>184</v>
      </c>
      <c r="P175" s="553" t="s">
        <v>1190</v>
      </c>
    </row>
    <row r="176" spans="1:16" ht="27.6" customHeight="1">
      <c r="A176" s="537" t="s">
        <v>198</v>
      </c>
      <c r="B176" s="374">
        <v>5</v>
      </c>
      <c r="C176" s="538" t="s">
        <v>199</v>
      </c>
      <c r="D176" s="539" t="s">
        <v>153</v>
      </c>
      <c r="E176" s="361">
        <v>60</v>
      </c>
      <c r="F176" s="554" t="s">
        <v>1583</v>
      </c>
      <c r="G176" s="549">
        <v>26</v>
      </c>
      <c r="H176" s="550">
        <v>39</v>
      </c>
      <c r="I176" s="551">
        <v>2.9</v>
      </c>
      <c r="J176" s="549">
        <v>127</v>
      </c>
      <c r="K176" s="550">
        <v>51</v>
      </c>
      <c r="L176" s="551">
        <v>9</v>
      </c>
      <c r="M176" s="537" t="s">
        <v>167</v>
      </c>
      <c r="N176" s="552" t="s">
        <v>154</v>
      </c>
      <c r="O176" s="539" t="s">
        <v>184</v>
      </c>
      <c r="P176" s="553" t="s">
        <v>257</v>
      </c>
    </row>
    <row r="177" spans="1:16" ht="27.6" customHeight="1" thickBot="1">
      <c r="A177" s="537" t="s">
        <v>198</v>
      </c>
      <c r="B177" s="374">
        <v>5</v>
      </c>
      <c r="C177" s="538" t="s">
        <v>199</v>
      </c>
      <c r="D177" s="539" t="s">
        <v>153</v>
      </c>
      <c r="E177" s="608">
        <v>61</v>
      </c>
      <c r="F177" s="609" t="s">
        <v>1604</v>
      </c>
      <c r="G177" s="549">
        <v>26</v>
      </c>
      <c r="H177" s="550">
        <v>37</v>
      </c>
      <c r="I177" s="551">
        <v>52.7</v>
      </c>
      <c r="J177" s="549">
        <v>127</v>
      </c>
      <c r="K177" s="550">
        <v>53</v>
      </c>
      <c r="L177" s="551">
        <v>4</v>
      </c>
      <c r="M177" s="537" t="s">
        <v>95</v>
      </c>
      <c r="N177" s="552" t="s">
        <v>1644</v>
      </c>
      <c r="O177" s="539" t="s">
        <v>184</v>
      </c>
      <c r="P177" s="553" t="s">
        <v>1647</v>
      </c>
    </row>
    <row r="178" spans="1:16" ht="27.6" customHeight="1" thickTop="1">
      <c r="A178" s="90" t="s">
        <v>245</v>
      </c>
      <c r="B178" s="91">
        <v>6</v>
      </c>
      <c r="C178" s="40" t="s">
        <v>246</v>
      </c>
      <c r="D178" s="80" t="s">
        <v>153</v>
      </c>
      <c r="E178" s="71">
        <v>1</v>
      </c>
      <c r="F178" s="58" t="s">
        <v>1584</v>
      </c>
      <c r="G178" s="476">
        <v>26</v>
      </c>
      <c r="H178" s="477">
        <v>38</v>
      </c>
      <c r="I178" s="478">
        <v>45.9</v>
      </c>
      <c r="J178" s="476">
        <v>127</v>
      </c>
      <c r="K178" s="479">
        <v>49</v>
      </c>
      <c r="L178" s="478">
        <v>27.8</v>
      </c>
      <c r="M178" s="106" t="s">
        <v>83</v>
      </c>
      <c r="N178" s="62" t="s">
        <v>857</v>
      </c>
      <c r="O178" s="59" t="s">
        <v>862</v>
      </c>
      <c r="P178" s="60" t="s">
        <v>112</v>
      </c>
    </row>
    <row r="179" spans="1:16" ht="27.6" customHeight="1">
      <c r="A179" s="15" t="s">
        <v>248</v>
      </c>
      <c r="B179" s="16">
        <v>6</v>
      </c>
      <c r="C179" s="17" t="s">
        <v>246</v>
      </c>
      <c r="D179" s="18" t="s">
        <v>153</v>
      </c>
      <c r="E179" s="19">
        <v>2</v>
      </c>
      <c r="F179" s="55" t="s">
        <v>249</v>
      </c>
      <c r="G179" s="480">
        <v>26</v>
      </c>
      <c r="H179" s="481">
        <v>40</v>
      </c>
      <c r="I179" s="482">
        <v>39.9</v>
      </c>
      <c r="J179" s="480">
        <v>127</v>
      </c>
      <c r="K179" s="483">
        <v>49</v>
      </c>
      <c r="L179" s="482">
        <v>21</v>
      </c>
      <c r="M179" s="21" t="s">
        <v>167</v>
      </c>
      <c r="N179" s="27" t="s">
        <v>857</v>
      </c>
      <c r="O179" s="24" t="s">
        <v>181</v>
      </c>
      <c r="P179" s="25" t="s">
        <v>112</v>
      </c>
    </row>
    <row r="180" spans="1:16" ht="27.6" customHeight="1">
      <c r="A180" s="15" t="s">
        <v>248</v>
      </c>
      <c r="B180" s="16">
        <v>6</v>
      </c>
      <c r="C180" s="17" t="s">
        <v>246</v>
      </c>
      <c r="D180" s="18" t="s">
        <v>153</v>
      </c>
      <c r="E180" s="19">
        <v>3</v>
      </c>
      <c r="F180" s="55" t="s">
        <v>250</v>
      </c>
      <c r="G180" s="480">
        <v>26</v>
      </c>
      <c r="H180" s="481">
        <v>43</v>
      </c>
      <c r="I180" s="482">
        <v>9.6</v>
      </c>
      <c r="J180" s="480">
        <v>127</v>
      </c>
      <c r="K180" s="483">
        <v>44</v>
      </c>
      <c r="L180" s="482">
        <v>34.1</v>
      </c>
      <c r="M180" s="21" t="s">
        <v>167</v>
      </c>
      <c r="N180" s="27" t="s">
        <v>857</v>
      </c>
      <c r="O180" s="24" t="s">
        <v>181</v>
      </c>
      <c r="P180" s="25" t="s">
        <v>173</v>
      </c>
    </row>
    <row r="181" spans="1:16" ht="27.6" customHeight="1">
      <c r="A181" s="15" t="s">
        <v>248</v>
      </c>
      <c r="B181" s="16">
        <v>6</v>
      </c>
      <c r="C181" s="17" t="s">
        <v>246</v>
      </c>
      <c r="D181" s="18" t="s">
        <v>153</v>
      </c>
      <c r="E181" s="19">
        <v>4</v>
      </c>
      <c r="F181" s="55" t="s">
        <v>1585</v>
      </c>
      <c r="G181" s="480">
        <v>26</v>
      </c>
      <c r="H181" s="481">
        <v>43</v>
      </c>
      <c r="I181" s="482">
        <v>22.5</v>
      </c>
      <c r="J181" s="480">
        <v>127</v>
      </c>
      <c r="K181" s="483">
        <v>50</v>
      </c>
      <c r="L181" s="482">
        <v>0.8</v>
      </c>
      <c r="M181" s="21" t="s">
        <v>167</v>
      </c>
      <c r="N181" s="27" t="s">
        <v>857</v>
      </c>
      <c r="O181" s="24" t="s">
        <v>181</v>
      </c>
      <c r="P181" s="25" t="s">
        <v>160</v>
      </c>
    </row>
    <row r="182" spans="1:16" ht="27.6" customHeight="1">
      <c r="A182" s="15" t="s">
        <v>248</v>
      </c>
      <c r="B182" s="16">
        <v>6</v>
      </c>
      <c r="C182" s="17" t="s">
        <v>246</v>
      </c>
      <c r="D182" s="18" t="s">
        <v>153</v>
      </c>
      <c r="E182" s="19">
        <v>5</v>
      </c>
      <c r="F182" s="55" t="s">
        <v>252</v>
      </c>
      <c r="G182" s="480">
        <v>26</v>
      </c>
      <c r="H182" s="481">
        <v>44</v>
      </c>
      <c r="I182" s="482">
        <v>5</v>
      </c>
      <c r="J182" s="480">
        <v>127</v>
      </c>
      <c r="K182" s="483">
        <v>47</v>
      </c>
      <c r="L182" s="482">
        <v>21.5</v>
      </c>
      <c r="M182" s="21" t="s">
        <v>167</v>
      </c>
      <c r="N182" s="27" t="s">
        <v>857</v>
      </c>
      <c r="O182" s="24" t="s">
        <v>181</v>
      </c>
      <c r="P182" s="25" t="s">
        <v>160</v>
      </c>
    </row>
    <row r="183" spans="1:16" ht="27.6" customHeight="1">
      <c r="A183" s="15" t="s">
        <v>248</v>
      </c>
      <c r="B183" s="16">
        <v>6</v>
      </c>
      <c r="C183" s="17" t="s">
        <v>246</v>
      </c>
      <c r="D183" s="18" t="s">
        <v>153</v>
      </c>
      <c r="E183" s="19">
        <v>6</v>
      </c>
      <c r="F183" s="55" t="s">
        <v>253</v>
      </c>
      <c r="G183" s="480">
        <v>26</v>
      </c>
      <c r="H183" s="481">
        <v>39</v>
      </c>
      <c r="I183" s="482">
        <v>31.4</v>
      </c>
      <c r="J183" s="480">
        <v>127</v>
      </c>
      <c r="K183" s="483">
        <v>48</v>
      </c>
      <c r="L183" s="482">
        <v>36.4</v>
      </c>
      <c r="M183" s="21" t="s">
        <v>167</v>
      </c>
      <c r="N183" s="27" t="s">
        <v>154</v>
      </c>
      <c r="O183" s="24" t="s">
        <v>181</v>
      </c>
      <c r="P183" s="25" t="s">
        <v>160</v>
      </c>
    </row>
    <row r="184" spans="1:16" ht="27.6" customHeight="1">
      <c r="A184" s="15" t="s">
        <v>248</v>
      </c>
      <c r="B184" s="16">
        <v>6</v>
      </c>
      <c r="C184" s="17" t="s">
        <v>246</v>
      </c>
      <c r="D184" s="18" t="s">
        <v>153</v>
      </c>
      <c r="E184" s="19">
        <v>7</v>
      </c>
      <c r="F184" s="55" t="s">
        <v>254</v>
      </c>
      <c r="G184" s="480">
        <v>26</v>
      </c>
      <c r="H184" s="481">
        <v>57</v>
      </c>
      <c r="I184" s="482">
        <v>18</v>
      </c>
      <c r="J184" s="480">
        <v>127</v>
      </c>
      <c r="K184" s="483">
        <v>55</v>
      </c>
      <c r="L184" s="482">
        <v>37.200000000000003</v>
      </c>
      <c r="M184" s="21" t="s">
        <v>167</v>
      </c>
      <c r="N184" s="27" t="s">
        <v>857</v>
      </c>
      <c r="O184" s="27" t="s">
        <v>184</v>
      </c>
      <c r="P184" s="555" t="s">
        <v>255</v>
      </c>
    </row>
    <row r="185" spans="1:16" ht="27.6" customHeight="1">
      <c r="A185" s="507" t="s">
        <v>248</v>
      </c>
      <c r="B185" s="31">
        <v>6</v>
      </c>
      <c r="C185" s="32" t="s">
        <v>246</v>
      </c>
      <c r="D185" s="33" t="s">
        <v>153</v>
      </c>
      <c r="E185" s="89">
        <v>8</v>
      </c>
      <c r="F185" s="56" t="s">
        <v>256</v>
      </c>
      <c r="G185" s="484">
        <v>26</v>
      </c>
      <c r="H185" s="485">
        <v>54</v>
      </c>
      <c r="I185" s="486">
        <v>36</v>
      </c>
      <c r="J185" s="484">
        <v>127</v>
      </c>
      <c r="K185" s="487">
        <v>56</v>
      </c>
      <c r="L185" s="486">
        <v>31.2</v>
      </c>
      <c r="M185" s="124" t="s">
        <v>167</v>
      </c>
      <c r="N185" s="27" t="s">
        <v>154</v>
      </c>
      <c r="O185" s="36" t="s">
        <v>184</v>
      </c>
      <c r="P185" s="556" t="s">
        <v>257</v>
      </c>
    </row>
    <row r="186" spans="1:16" ht="27.6" customHeight="1">
      <c r="A186" s="30" t="s">
        <v>248</v>
      </c>
      <c r="B186" s="31">
        <v>6</v>
      </c>
      <c r="C186" s="32" t="s">
        <v>246</v>
      </c>
      <c r="D186" s="33" t="s">
        <v>153</v>
      </c>
      <c r="E186" s="89">
        <v>9</v>
      </c>
      <c r="F186" s="56" t="s">
        <v>1033</v>
      </c>
      <c r="G186" s="484">
        <v>26</v>
      </c>
      <c r="H186" s="485">
        <v>39</v>
      </c>
      <c r="I186" s="486">
        <v>10.3</v>
      </c>
      <c r="J186" s="484">
        <v>127</v>
      </c>
      <c r="K186" s="487">
        <v>48</v>
      </c>
      <c r="L186" s="486">
        <v>17</v>
      </c>
      <c r="M186" s="124" t="s">
        <v>241</v>
      </c>
      <c r="N186" s="36" t="s">
        <v>168</v>
      </c>
      <c r="O186" s="37" t="s">
        <v>859</v>
      </c>
      <c r="P186" s="25" t="s">
        <v>1032</v>
      </c>
    </row>
    <row r="187" spans="1:16" ht="27.6" customHeight="1">
      <c r="A187" s="15" t="s">
        <v>248</v>
      </c>
      <c r="B187" s="16">
        <v>6</v>
      </c>
      <c r="C187" s="17" t="s">
        <v>246</v>
      </c>
      <c r="D187" s="18" t="s">
        <v>153</v>
      </c>
      <c r="E187" s="19">
        <v>10</v>
      </c>
      <c r="F187" s="118" t="s">
        <v>1073</v>
      </c>
      <c r="G187" s="480">
        <v>26</v>
      </c>
      <c r="H187" s="481">
        <v>42</v>
      </c>
      <c r="I187" s="482">
        <v>11.4</v>
      </c>
      <c r="J187" s="481">
        <v>127</v>
      </c>
      <c r="K187" s="483">
        <v>46</v>
      </c>
      <c r="L187" s="521">
        <v>37.1</v>
      </c>
      <c r="M187" s="21" t="s">
        <v>241</v>
      </c>
      <c r="N187" s="27" t="s">
        <v>168</v>
      </c>
      <c r="O187" s="24" t="s">
        <v>184</v>
      </c>
      <c r="P187" s="25" t="s">
        <v>1034</v>
      </c>
    </row>
    <row r="188" spans="1:16" ht="27.6" customHeight="1">
      <c r="A188" s="30" t="s">
        <v>248</v>
      </c>
      <c r="B188" s="31">
        <v>6</v>
      </c>
      <c r="C188" s="32" t="s">
        <v>246</v>
      </c>
      <c r="D188" s="33" t="s">
        <v>153</v>
      </c>
      <c r="E188" s="89">
        <v>11</v>
      </c>
      <c r="F188" s="557" t="s">
        <v>1074</v>
      </c>
      <c r="G188" s="484">
        <v>26</v>
      </c>
      <c r="H188" s="485">
        <v>54</v>
      </c>
      <c r="I188" s="486">
        <v>28.5</v>
      </c>
      <c r="J188" s="485">
        <v>127</v>
      </c>
      <c r="K188" s="487">
        <v>56</v>
      </c>
      <c r="L188" s="522">
        <v>17.100000000000001</v>
      </c>
      <c r="M188" s="124" t="s">
        <v>241</v>
      </c>
      <c r="N188" s="36" t="s">
        <v>168</v>
      </c>
      <c r="O188" s="37" t="s">
        <v>184</v>
      </c>
      <c r="P188" s="38" t="s">
        <v>861</v>
      </c>
    </row>
    <row r="189" spans="1:16" ht="27.6" customHeight="1" thickBot="1">
      <c r="A189" s="429" t="s">
        <v>248</v>
      </c>
      <c r="B189" s="44">
        <v>6</v>
      </c>
      <c r="C189" s="135" t="s">
        <v>246</v>
      </c>
      <c r="D189" s="83" t="s">
        <v>153</v>
      </c>
      <c r="E189" s="84">
        <v>12</v>
      </c>
      <c r="F189" s="558" t="s">
        <v>1164</v>
      </c>
      <c r="G189" s="523">
        <v>26</v>
      </c>
      <c r="H189" s="524">
        <v>43</v>
      </c>
      <c r="I189" s="525">
        <v>23.7</v>
      </c>
      <c r="J189" s="526">
        <v>127</v>
      </c>
      <c r="K189" s="527">
        <v>44</v>
      </c>
      <c r="L189" s="528">
        <v>31.6</v>
      </c>
      <c r="M189" s="107" t="s">
        <v>167</v>
      </c>
      <c r="N189" s="88" t="s">
        <v>154</v>
      </c>
      <c r="O189" s="86" t="s">
        <v>184</v>
      </c>
      <c r="P189" s="85" t="s">
        <v>257</v>
      </c>
    </row>
    <row r="190" spans="1:16" ht="27.6" customHeight="1" thickTop="1">
      <c r="A190" s="45" t="s">
        <v>258</v>
      </c>
      <c r="B190" s="559">
        <v>7</v>
      </c>
      <c r="C190" s="560" t="s">
        <v>259</v>
      </c>
      <c r="D190" s="48" t="s">
        <v>153</v>
      </c>
      <c r="E190" s="49">
        <v>1</v>
      </c>
      <c r="F190" s="50" t="s">
        <v>260</v>
      </c>
      <c r="G190" s="120">
        <v>26</v>
      </c>
      <c r="H190" s="121">
        <v>12</v>
      </c>
      <c r="I190" s="122">
        <v>6.3</v>
      </c>
      <c r="J190" s="120">
        <v>127</v>
      </c>
      <c r="K190" s="51">
        <v>19</v>
      </c>
      <c r="L190" s="52">
        <v>3.6</v>
      </c>
      <c r="M190" s="53" t="s">
        <v>126</v>
      </c>
      <c r="N190" s="561" t="s">
        <v>127</v>
      </c>
      <c r="O190" s="51" t="s">
        <v>863</v>
      </c>
      <c r="P190" s="52" t="s">
        <v>261</v>
      </c>
    </row>
    <row r="191" spans="1:16" ht="27.6" customHeight="1">
      <c r="A191" s="15" t="s">
        <v>258</v>
      </c>
      <c r="B191" s="68">
        <v>7</v>
      </c>
      <c r="C191" s="69" t="s">
        <v>259</v>
      </c>
      <c r="D191" s="18" t="s">
        <v>153</v>
      </c>
      <c r="E191" s="19">
        <v>2</v>
      </c>
      <c r="F191" s="55" t="s">
        <v>262</v>
      </c>
      <c r="G191" s="21">
        <v>26</v>
      </c>
      <c r="H191" s="22">
        <v>14</v>
      </c>
      <c r="I191" s="23">
        <v>14.2</v>
      </c>
      <c r="J191" s="21">
        <v>127</v>
      </c>
      <c r="K191" s="24">
        <v>19</v>
      </c>
      <c r="L191" s="23">
        <v>12.2</v>
      </c>
      <c r="M191" s="26" t="s">
        <v>263</v>
      </c>
      <c r="N191" s="70" t="s">
        <v>264</v>
      </c>
      <c r="O191" s="24" t="s">
        <v>265</v>
      </c>
      <c r="P191" s="25" t="s">
        <v>266</v>
      </c>
    </row>
    <row r="192" spans="1:16" ht="27.6" customHeight="1">
      <c r="A192" s="15" t="s">
        <v>258</v>
      </c>
      <c r="B192" s="68">
        <v>7</v>
      </c>
      <c r="C192" s="69" t="s">
        <v>259</v>
      </c>
      <c r="D192" s="18" t="s">
        <v>153</v>
      </c>
      <c r="E192" s="19">
        <v>3</v>
      </c>
      <c r="F192" s="55" t="s">
        <v>267</v>
      </c>
      <c r="G192" s="21">
        <v>26</v>
      </c>
      <c r="H192" s="22">
        <v>14</v>
      </c>
      <c r="I192" s="23">
        <v>13.5</v>
      </c>
      <c r="J192" s="21">
        <v>127</v>
      </c>
      <c r="K192" s="24">
        <v>17</v>
      </c>
      <c r="L192" s="23">
        <v>27.8</v>
      </c>
      <c r="M192" s="26" t="s">
        <v>126</v>
      </c>
      <c r="N192" s="70" t="s">
        <v>268</v>
      </c>
      <c r="O192" s="24" t="s">
        <v>265</v>
      </c>
      <c r="P192" s="25" t="s">
        <v>269</v>
      </c>
    </row>
    <row r="193" spans="1:16" ht="27.6" customHeight="1">
      <c r="A193" s="15" t="s">
        <v>258</v>
      </c>
      <c r="B193" s="68">
        <v>7</v>
      </c>
      <c r="C193" s="69" t="s">
        <v>259</v>
      </c>
      <c r="D193" s="18" t="s">
        <v>153</v>
      </c>
      <c r="E193" s="19">
        <v>4</v>
      </c>
      <c r="F193" s="55" t="s">
        <v>270</v>
      </c>
      <c r="G193" s="21">
        <v>26</v>
      </c>
      <c r="H193" s="22">
        <v>12</v>
      </c>
      <c r="I193" s="23">
        <v>52.6</v>
      </c>
      <c r="J193" s="21">
        <v>127</v>
      </c>
      <c r="K193" s="24">
        <v>17</v>
      </c>
      <c r="L193" s="23">
        <v>14</v>
      </c>
      <c r="M193" s="26" t="s">
        <v>271</v>
      </c>
      <c r="N193" s="70" t="s">
        <v>127</v>
      </c>
      <c r="O193" s="24" t="s">
        <v>265</v>
      </c>
      <c r="P193" s="25" t="s">
        <v>272</v>
      </c>
    </row>
    <row r="194" spans="1:16" ht="27.6" customHeight="1">
      <c r="A194" s="15" t="s">
        <v>258</v>
      </c>
      <c r="B194" s="68">
        <v>7</v>
      </c>
      <c r="C194" s="69" t="s">
        <v>259</v>
      </c>
      <c r="D194" s="18" t="s">
        <v>153</v>
      </c>
      <c r="E194" s="19">
        <v>5</v>
      </c>
      <c r="F194" s="55" t="s">
        <v>273</v>
      </c>
      <c r="G194" s="21">
        <v>26</v>
      </c>
      <c r="H194" s="22">
        <v>12</v>
      </c>
      <c r="I194" s="23">
        <v>7.9</v>
      </c>
      <c r="J194" s="21">
        <v>127</v>
      </c>
      <c r="K194" s="24">
        <v>17</v>
      </c>
      <c r="L194" s="25">
        <v>21.5</v>
      </c>
      <c r="M194" s="26" t="s">
        <v>274</v>
      </c>
      <c r="N194" s="70" t="s">
        <v>275</v>
      </c>
      <c r="O194" s="24" t="s">
        <v>265</v>
      </c>
      <c r="P194" s="25" t="s">
        <v>276</v>
      </c>
    </row>
    <row r="195" spans="1:16" ht="27.6" customHeight="1">
      <c r="A195" s="15" t="s">
        <v>258</v>
      </c>
      <c r="B195" s="68">
        <v>7</v>
      </c>
      <c r="C195" s="69" t="s">
        <v>259</v>
      </c>
      <c r="D195" s="18" t="s">
        <v>153</v>
      </c>
      <c r="E195" s="19">
        <v>6</v>
      </c>
      <c r="F195" s="55" t="s">
        <v>277</v>
      </c>
      <c r="G195" s="21">
        <v>26</v>
      </c>
      <c r="H195" s="22">
        <v>12</v>
      </c>
      <c r="I195" s="23">
        <v>11.3</v>
      </c>
      <c r="J195" s="21">
        <v>127</v>
      </c>
      <c r="K195" s="24">
        <v>16</v>
      </c>
      <c r="L195" s="25">
        <v>1.8</v>
      </c>
      <c r="M195" s="26" t="s">
        <v>274</v>
      </c>
      <c r="N195" s="70" t="s">
        <v>127</v>
      </c>
      <c r="O195" s="24" t="s">
        <v>265</v>
      </c>
      <c r="P195" s="25" t="s">
        <v>272</v>
      </c>
    </row>
    <row r="196" spans="1:16" ht="27.6" customHeight="1">
      <c r="A196" s="15" t="s">
        <v>258</v>
      </c>
      <c r="B196" s="68">
        <v>7</v>
      </c>
      <c r="C196" s="69" t="s">
        <v>259</v>
      </c>
      <c r="D196" s="18" t="s">
        <v>153</v>
      </c>
      <c r="E196" s="19">
        <v>7</v>
      </c>
      <c r="F196" s="55" t="s">
        <v>278</v>
      </c>
      <c r="G196" s="21">
        <v>26</v>
      </c>
      <c r="H196" s="22">
        <v>11</v>
      </c>
      <c r="I196" s="23">
        <v>40.799999999999997</v>
      </c>
      <c r="J196" s="21">
        <v>127</v>
      </c>
      <c r="K196" s="24">
        <v>16</v>
      </c>
      <c r="L196" s="25">
        <v>21.4</v>
      </c>
      <c r="M196" s="26" t="s">
        <v>126</v>
      </c>
      <c r="N196" s="70" t="s">
        <v>127</v>
      </c>
      <c r="O196" s="24" t="s">
        <v>265</v>
      </c>
      <c r="P196" s="25" t="s">
        <v>269</v>
      </c>
    </row>
    <row r="197" spans="1:16" ht="27.6" customHeight="1">
      <c r="A197" s="15" t="s">
        <v>258</v>
      </c>
      <c r="B197" s="68">
        <v>7</v>
      </c>
      <c r="C197" s="69" t="s">
        <v>259</v>
      </c>
      <c r="D197" s="18" t="s">
        <v>153</v>
      </c>
      <c r="E197" s="19">
        <v>8</v>
      </c>
      <c r="F197" s="55" t="s">
        <v>279</v>
      </c>
      <c r="G197" s="21">
        <v>26</v>
      </c>
      <c r="H197" s="22">
        <v>11</v>
      </c>
      <c r="I197" s="23">
        <v>11.4</v>
      </c>
      <c r="J197" s="21">
        <v>127</v>
      </c>
      <c r="K197" s="24">
        <v>16</v>
      </c>
      <c r="L197" s="25">
        <v>50.5</v>
      </c>
      <c r="M197" s="26" t="s">
        <v>126</v>
      </c>
      <c r="N197" s="70" t="s">
        <v>280</v>
      </c>
      <c r="O197" s="24" t="s">
        <v>265</v>
      </c>
      <c r="P197" s="25" t="s">
        <v>281</v>
      </c>
    </row>
    <row r="198" spans="1:16" ht="27.6" customHeight="1">
      <c r="A198" s="15" t="s">
        <v>258</v>
      </c>
      <c r="B198" s="68">
        <v>7</v>
      </c>
      <c r="C198" s="69" t="s">
        <v>259</v>
      </c>
      <c r="D198" s="18" t="s">
        <v>153</v>
      </c>
      <c r="E198" s="19">
        <v>9</v>
      </c>
      <c r="F198" s="55" t="s">
        <v>282</v>
      </c>
      <c r="G198" s="21">
        <v>26</v>
      </c>
      <c r="H198" s="22">
        <v>12</v>
      </c>
      <c r="I198" s="23">
        <v>41.8</v>
      </c>
      <c r="J198" s="21">
        <v>127</v>
      </c>
      <c r="K198" s="24">
        <v>15</v>
      </c>
      <c r="L198" s="25">
        <v>4.7</v>
      </c>
      <c r="M198" s="26" t="s">
        <v>274</v>
      </c>
      <c r="N198" s="70" t="s">
        <v>127</v>
      </c>
      <c r="O198" s="24" t="s">
        <v>265</v>
      </c>
      <c r="P198" s="25" t="s">
        <v>283</v>
      </c>
    </row>
    <row r="199" spans="1:16" ht="27.6" customHeight="1">
      <c r="A199" s="15" t="s">
        <v>258</v>
      </c>
      <c r="B199" s="68">
        <v>7</v>
      </c>
      <c r="C199" s="69" t="s">
        <v>259</v>
      </c>
      <c r="D199" s="18" t="s">
        <v>153</v>
      </c>
      <c r="E199" s="19">
        <v>10</v>
      </c>
      <c r="F199" s="55" t="s">
        <v>284</v>
      </c>
      <c r="G199" s="21">
        <v>26</v>
      </c>
      <c r="H199" s="22">
        <v>10</v>
      </c>
      <c r="I199" s="23">
        <v>36.9</v>
      </c>
      <c r="J199" s="21">
        <v>127</v>
      </c>
      <c r="K199" s="24">
        <v>13</v>
      </c>
      <c r="L199" s="23">
        <v>57.4</v>
      </c>
      <c r="M199" s="26" t="s">
        <v>167</v>
      </c>
      <c r="N199" s="70" t="s">
        <v>154</v>
      </c>
      <c r="O199" s="24" t="s">
        <v>265</v>
      </c>
      <c r="P199" s="25" t="s">
        <v>272</v>
      </c>
    </row>
    <row r="200" spans="1:16" ht="27.6" customHeight="1">
      <c r="A200" s="15" t="s">
        <v>258</v>
      </c>
      <c r="B200" s="68">
        <v>7</v>
      </c>
      <c r="C200" s="69" t="s">
        <v>259</v>
      </c>
      <c r="D200" s="18" t="s">
        <v>153</v>
      </c>
      <c r="E200" s="19">
        <v>11</v>
      </c>
      <c r="F200" s="55" t="s">
        <v>285</v>
      </c>
      <c r="G200" s="21">
        <v>26</v>
      </c>
      <c r="H200" s="22">
        <v>12</v>
      </c>
      <c r="I200" s="23">
        <v>19.2</v>
      </c>
      <c r="J200" s="21">
        <v>127</v>
      </c>
      <c r="K200" s="24">
        <v>20</v>
      </c>
      <c r="L200" s="25">
        <v>53.1</v>
      </c>
      <c r="M200" s="26" t="s">
        <v>167</v>
      </c>
      <c r="N200" s="70" t="s">
        <v>127</v>
      </c>
      <c r="O200" s="24" t="s">
        <v>863</v>
      </c>
      <c r="P200" s="25" t="s">
        <v>286</v>
      </c>
    </row>
    <row r="201" spans="1:16" ht="27.6" customHeight="1" thickBot="1">
      <c r="A201" s="30" t="s">
        <v>258</v>
      </c>
      <c r="B201" s="562">
        <v>7</v>
      </c>
      <c r="C201" s="563" t="s">
        <v>259</v>
      </c>
      <c r="D201" s="33" t="s">
        <v>153</v>
      </c>
      <c r="E201" s="89">
        <v>12</v>
      </c>
      <c r="F201" s="56" t="s">
        <v>287</v>
      </c>
      <c r="G201" s="124">
        <v>26</v>
      </c>
      <c r="H201" s="57">
        <v>10</v>
      </c>
      <c r="I201" s="119">
        <v>22.8</v>
      </c>
      <c r="J201" s="124">
        <v>127</v>
      </c>
      <c r="K201" s="37">
        <v>20</v>
      </c>
      <c r="L201" s="38">
        <v>26.7</v>
      </c>
      <c r="M201" s="35" t="s">
        <v>167</v>
      </c>
      <c r="N201" s="564" t="s">
        <v>127</v>
      </c>
      <c r="O201" s="37" t="s">
        <v>863</v>
      </c>
      <c r="P201" s="38" t="s">
        <v>276</v>
      </c>
    </row>
    <row r="202" spans="1:16" ht="27.6" customHeight="1" thickTop="1">
      <c r="A202" s="90" t="s">
        <v>288</v>
      </c>
      <c r="B202" s="91">
        <v>8</v>
      </c>
      <c r="C202" s="40" t="s">
        <v>288</v>
      </c>
      <c r="D202" s="40" t="s">
        <v>153</v>
      </c>
      <c r="E202" s="71">
        <v>1</v>
      </c>
      <c r="F202" s="134" t="s">
        <v>289</v>
      </c>
      <c r="G202" s="106">
        <v>25</v>
      </c>
      <c r="H202" s="41">
        <v>52</v>
      </c>
      <c r="I202" s="595">
        <v>25.560011999994288</v>
      </c>
      <c r="J202" s="90">
        <v>131</v>
      </c>
      <c r="K202" s="40">
        <v>14</v>
      </c>
      <c r="L202" s="596">
        <v>58.679879999997411</v>
      </c>
      <c r="M202" s="90"/>
      <c r="N202" s="40"/>
      <c r="O202" s="40" t="s">
        <v>825</v>
      </c>
      <c r="P202" s="134"/>
    </row>
    <row r="203" spans="1:16" ht="27.6" customHeight="1">
      <c r="A203" s="15" t="s">
        <v>288</v>
      </c>
      <c r="B203" s="16">
        <v>8</v>
      </c>
      <c r="C203" s="17" t="s">
        <v>288</v>
      </c>
      <c r="D203" s="17" t="s">
        <v>153</v>
      </c>
      <c r="E203" s="19">
        <v>2</v>
      </c>
      <c r="F203" s="43" t="s">
        <v>290</v>
      </c>
      <c r="G203" s="21">
        <v>25</v>
      </c>
      <c r="H203" s="22">
        <v>51</v>
      </c>
      <c r="I203" s="597">
        <v>40.1399999999947</v>
      </c>
      <c r="J203" s="15">
        <v>131</v>
      </c>
      <c r="K203" s="17">
        <v>13</v>
      </c>
      <c r="L203" s="598">
        <v>11.520120000041061</v>
      </c>
      <c r="M203" s="15"/>
      <c r="N203" s="17"/>
      <c r="O203" s="17" t="s">
        <v>18</v>
      </c>
      <c r="P203" s="43"/>
    </row>
    <row r="204" spans="1:16" ht="27.6" customHeight="1">
      <c r="A204" s="15" t="s">
        <v>288</v>
      </c>
      <c r="B204" s="16">
        <v>8</v>
      </c>
      <c r="C204" s="17" t="s">
        <v>288</v>
      </c>
      <c r="D204" s="17" t="s">
        <v>153</v>
      </c>
      <c r="E204" s="19">
        <v>3</v>
      </c>
      <c r="F204" s="43" t="s">
        <v>291</v>
      </c>
      <c r="G204" s="21">
        <v>25</v>
      </c>
      <c r="H204" s="22">
        <v>49</v>
      </c>
      <c r="I204" s="597">
        <v>40.739987999994867</v>
      </c>
      <c r="J204" s="15">
        <v>131</v>
      </c>
      <c r="K204" s="17">
        <v>12</v>
      </c>
      <c r="L204" s="598">
        <v>53.460000000045511</v>
      </c>
      <c r="M204" s="15"/>
      <c r="N204" s="17"/>
      <c r="O204" s="17" t="s">
        <v>18</v>
      </c>
      <c r="P204" s="43"/>
    </row>
    <row r="205" spans="1:16" ht="27.6" customHeight="1">
      <c r="A205" s="15" t="s">
        <v>288</v>
      </c>
      <c r="B205" s="16">
        <v>8</v>
      </c>
      <c r="C205" s="17" t="s">
        <v>288</v>
      </c>
      <c r="D205" s="17" t="s">
        <v>153</v>
      </c>
      <c r="E205" s="19">
        <v>4</v>
      </c>
      <c r="F205" s="43" t="s">
        <v>292</v>
      </c>
      <c r="G205" s="21">
        <v>25</v>
      </c>
      <c r="H205" s="22">
        <v>49</v>
      </c>
      <c r="I205" s="597">
        <v>23.819987999995931</v>
      </c>
      <c r="J205" s="15">
        <v>131</v>
      </c>
      <c r="K205" s="17">
        <v>12</v>
      </c>
      <c r="L205" s="598">
        <v>43.679880000017874</v>
      </c>
      <c r="M205" s="15"/>
      <c r="N205" s="17"/>
      <c r="O205" s="17" t="s">
        <v>18</v>
      </c>
      <c r="P205" s="43"/>
    </row>
    <row r="206" spans="1:16" ht="27.6" customHeight="1">
      <c r="A206" s="15" t="s">
        <v>288</v>
      </c>
      <c r="B206" s="16">
        <v>8</v>
      </c>
      <c r="C206" s="17" t="s">
        <v>288</v>
      </c>
      <c r="D206" s="17" t="s">
        <v>153</v>
      </c>
      <c r="E206" s="19">
        <v>5</v>
      </c>
      <c r="F206" s="43" t="s">
        <v>293</v>
      </c>
      <c r="G206" s="21">
        <v>25</v>
      </c>
      <c r="H206" s="22">
        <v>48</v>
      </c>
      <c r="I206" s="597">
        <v>50.519988000003195</v>
      </c>
      <c r="J206" s="15">
        <v>131</v>
      </c>
      <c r="K206" s="17">
        <v>14</v>
      </c>
      <c r="L206" s="598">
        <v>52.919880000010835</v>
      </c>
      <c r="M206" s="15"/>
      <c r="N206" s="17"/>
      <c r="O206" s="17" t="s">
        <v>18</v>
      </c>
      <c r="P206" s="43"/>
    </row>
    <row r="207" spans="1:16" ht="27.6" customHeight="1">
      <c r="A207" s="15" t="s">
        <v>288</v>
      </c>
      <c r="B207" s="16">
        <v>8</v>
      </c>
      <c r="C207" s="17" t="s">
        <v>288</v>
      </c>
      <c r="D207" s="17" t="s">
        <v>153</v>
      </c>
      <c r="E207" s="19">
        <v>6</v>
      </c>
      <c r="F207" s="43" t="s">
        <v>294</v>
      </c>
      <c r="G207" s="21">
        <v>25</v>
      </c>
      <c r="H207" s="22">
        <v>48</v>
      </c>
      <c r="I207" s="597">
        <v>45.960011999994492</v>
      </c>
      <c r="J207" s="15">
        <v>131</v>
      </c>
      <c r="K207" s="17">
        <v>13</v>
      </c>
      <c r="L207" s="598">
        <v>41.040119999997842</v>
      </c>
      <c r="M207" s="15"/>
      <c r="N207" s="17"/>
      <c r="O207" s="17" t="s">
        <v>18</v>
      </c>
      <c r="P207" s="43"/>
    </row>
    <row r="208" spans="1:16" ht="27.6" customHeight="1">
      <c r="A208" s="15" t="s">
        <v>288</v>
      </c>
      <c r="B208" s="16">
        <v>8</v>
      </c>
      <c r="C208" s="17" t="s">
        <v>288</v>
      </c>
      <c r="D208" s="17" t="s">
        <v>153</v>
      </c>
      <c r="E208" s="19">
        <v>7</v>
      </c>
      <c r="F208" s="43" t="s">
        <v>295</v>
      </c>
      <c r="G208" s="21">
        <v>25</v>
      </c>
      <c r="H208" s="22">
        <v>49</v>
      </c>
      <c r="I208" s="597">
        <v>58.379988000004914</v>
      </c>
      <c r="J208" s="15">
        <v>131</v>
      </c>
      <c r="K208" s="17">
        <v>16</v>
      </c>
      <c r="L208" s="598">
        <v>7.9798799999957737</v>
      </c>
      <c r="M208" s="15"/>
      <c r="N208" s="17"/>
      <c r="O208" s="17" t="s">
        <v>18</v>
      </c>
      <c r="P208" s="43"/>
    </row>
    <row r="209" spans="1:16" ht="27.6" customHeight="1">
      <c r="A209" s="15" t="s">
        <v>288</v>
      </c>
      <c r="B209" s="16">
        <v>8</v>
      </c>
      <c r="C209" s="17" t="s">
        <v>288</v>
      </c>
      <c r="D209" s="17" t="s">
        <v>153</v>
      </c>
      <c r="E209" s="19">
        <v>8</v>
      </c>
      <c r="F209" s="43" t="s">
        <v>1586</v>
      </c>
      <c r="G209" s="21">
        <v>25</v>
      </c>
      <c r="H209" s="22">
        <v>49</v>
      </c>
      <c r="I209" s="597">
        <v>57.14</v>
      </c>
      <c r="J209" s="15">
        <v>131</v>
      </c>
      <c r="K209" s="17">
        <v>16</v>
      </c>
      <c r="L209" s="598">
        <v>2.06</v>
      </c>
      <c r="M209" s="15"/>
      <c r="N209" s="17"/>
      <c r="O209" s="17" t="s">
        <v>1176</v>
      </c>
      <c r="P209" s="43"/>
    </row>
    <row r="210" spans="1:16" ht="27.6" customHeight="1">
      <c r="A210" s="15" t="s">
        <v>288</v>
      </c>
      <c r="B210" s="16">
        <v>8</v>
      </c>
      <c r="C210" s="17" t="s">
        <v>288</v>
      </c>
      <c r="D210" s="17" t="s">
        <v>153</v>
      </c>
      <c r="E210" s="19">
        <v>9</v>
      </c>
      <c r="F210" s="43" t="s">
        <v>296</v>
      </c>
      <c r="G210" s="21">
        <v>25</v>
      </c>
      <c r="H210" s="22">
        <v>50</v>
      </c>
      <c r="I210" s="597">
        <v>22.319987999993884</v>
      </c>
      <c r="J210" s="15">
        <v>131</v>
      </c>
      <c r="K210" s="17">
        <v>16</v>
      </c>
      <c r="L210" s="598">
        <v>9.7201200000222343</v>
      </c>
      <c r="M210" s="15"/>
      <c r="N210" s="17"/>
      <c r="O210" s="17" t="s">
        <v>18</v>
      </c>
      <c r="P210" s="43"/>
    </row>
    <row r="211" spans="1:16" ht="27.6" customHeight="1">
      <c r="A211" s="15" t="s">
        <v>288</v>
      </c>
      <c r="B211" s="16">
        <v>8</v>
      </c>
      <c r="C211" s="17" t="s">
        <v>288</v>
      </c>
      <c r="D211" s="17" t="s">
        <v>153</v>
      </c>
      <c r="E211" s="19">
        <v>10</v>
      </c>
      <c r="F211" s="43" t="s">
        <v>297</v>
      </c>
      <c r="G211" s="21">
        <v>25</v>
      </c>
      <c r="H211" s="22">
        <v>50</v>
      </c>
      <c r="I211" s="597">
        <v>22.319987999993884</v>
      </c>
      <c r="J211" s="15">
        <v>131</v>
      </c>
      <c r="K211" s="17">
        <v>16</v>
      </c>
      <c r="L211" s="598">
        <v>9.7201200000222343</v>
      </c>
      <c r="M211" s="15"/>
      <c r="N211" s="17"/>
      <c r="O211" s="17" t="s">
        <v>18</v>
      </c>
      <c r="P211" s="43"/>
    </row>
    <row r="212" spans="1:16" ht="27.6" customHeight="1">
      <c r="A212" s="15" t="s">
        <v>288</v>
      </c>
      <c r="B212" s="16">
        <v>8</v>
      </c>
      <c r="C212" s="17" t="s">
        <v>288</v>
      </c>
      <c r="D212" s="17" t="s">
        <v>153</v>
      </c>
      <c r="E212" s="19">
        <v>11</v>
      </c>
      <c r="F212" s="43" t="s">
        <v>298</v>
      </c>
      <c r="G212" s="21">
        <v>25</v>
      </c>
      <c r="H212" s="22">
        <v>57</v>
      </c>
      <c r="I212" s="597">
        <v>42.900012000002903</v>
      </c>
      <c r="J212" s="15">
        <v>131</v>
      </c>
      <c r="K212" s="17">
        <v>17</v>
      </c>
      <c r="L212" s="598">
        <v>10.979880000040794</v>
      </c>
      <c r="M212" s="15"/>
      <c r="N212" s="17"/>
      <c r="O212" s="17" t="s">
        <v>18</v>
      </c>
      <c r="P212" s="43"/>
    </row>
    <row r="213" spans="1:16" ht="27.6" customHeight="1">
      <c r="A213" s="15" t="s">
        <v>288</v>
      </c>
      <c r="B213" s="16">
        <v>8</v>
      </c>
      <c r="C213" s="17" t="s">
        <v>288</v>
      </c>
      <c r="D213" s="17" t="s">
        <v>153</v>
      </c>
      <c r="E213" s="19">
        <v>12</v>
      </c>
      <c r="F213" s="43" t="s">
        <v>299</v>
      </c>
      <c r="G213" s="21">
        <v>25</v>
      </c>
      <c r="H213" s="22">
        <v>57</v>
      </c>
      <c r="I213" s="597">
        <v>38.22001200000102</v>
      </c>
      <c r="J213" s="15">
        <v>131</v>
      </c>
      <c r="K213" s="17">
        <v>17</v>
      </c>
      <c r="L213" s="598">
        <v>2.2200000000157161</v>
      </c>
      <c r="M213" s="15"/>
      <c r="N213" s="17"/>
      <c r="O213" s="17" t="s">
        <v>18</v>
      </c>
      <c r="P213" s="43"/>
    </row>
    <row r="214" spans="1:16" ht="27.6" customHeight="1">
      <c r="A214" s="15" t="s">
        <v>288</v>
      </c>
      <c r="B214" s="16">
        <v>8</v>
      </c>
      <c r="C214" s="17" t="s">
        <v>288</v>
      </c>
      <c r="D214" s="17" t="s">
        <v>153</v>
      </c>
      <c r="E214" s="19">
        <v>13</v>
      </c>
      <c r="F214" s="43" t="s">
        <v>300</v>
      </c>
      <c r="G214" s="21">
        <v>25</v>
      </c>
      <c r="H214" s="22">
        <v>55</v>
      </c>
      <c r="I214" s="597">
        <v>39.119987999997363</v>
      </c>
      <c r="J214" s="15">
        <v>131</v>
      </c>
      <c r="K214" s="17">
        <v>18</v>
      </c>
      <c r="L214" s="598">
        <v>33.180120000026818</v>
      </c>
      <c r="M214" s="15"/>
      <c r="N214" s="17"/>
      <c r="O214" s="17" t="s">
        <v>18</v>
      </c>
      <c r="P214" s="43"/>
    </row>
    <row r="215" spans="1:16" ht="27.6" customHeight="1">
      <c r="A215" s="15" t="s">
        <v>288</v>
      </c>
      <c r="B215" s="16">
        <v>8</v>
      </c>
      <c r="C215" s="17" t="s">
        <v>288</v>
      </c>
      <c r="D215" s="17" t="s">
        <v>153</v>
      </c>
      <c r="E215" s="19">
        <v>14</v>
      </c>
      <c r="F215" s="43" t="s">
        <v>301</v>
      </c>
      <c r="G215" s="21">
        <v>25</v>
      </c>
      <c r="H215" s="22">
        <v>56</v>
      </c>
      <c r="I215" s="597">
        <v>5.1000000000038881</v>
      </c>
      <c r="J215" s="15">
        <v>131</v>
      </c>
      <c r="K215" s="17">
        <v>19</v>
      </c>
      <c r="L215" s="598">
        <v>29.520120000004226</v>
      </c>
      <c r="M215" s="15"/>
      <c r="N215" s="17"/>
      <c r="O215" s="17" t="s">
        <v>18</v>
      </c>
      <c r="P215" s="43"/>
    </row>
    <row r="216" spans="1:16" ht="27.6" customHeight="1">
      <c r="A216" s="15" t="s">
        <v>288</v>
      </c>
      <c r="B216" s="16">
        <v>8</v>
      </c>
      <c r="C216" s="17" t="s">
        <v>288</v>
      </c>
      <c r="D216" s="17" t="s">
        <v>153</v>
      </c>
      <c r="E216" s="19">
        <v>15</v>
      </c>
      <c r="F216" s="43" t="s">
        <v>302</v>
      </c>
      <c r="G216" s="21">
        <v>25</v>
      </c>
      <c r="H216" s="22">
        <v>57</v>
      </c>
      <c r="I216" s="597">
        <v>4.560011999996334</v>
      </c>
      <c r="J216" s="15">
        <v>131</v>
      </c>
      <c r="K216" s="17">
        <v>19</v>
      </c>
      <c r="L216" s="598">
        <v>58.73987999998235</v>
      </c>
      <c r="M216" s="15"/>
      <c r="N216" s="17"/>
      <c r="O216" s="17" t="s">
        <v>18</v>
      </c>
      <c r="P216" s="43"/>
    </row>
    <row r="217" spans="1:16" ht="27.6" customHeight="1">
      <c r="A217" s="15" t="s">
        <v>288</v>
      </c>
      <c r="B217" s="16">
        <v>8</v>
      </c>
      <c r="C217" s="17" t="s">
        <v>288</v>
      </c>
      <c r="D217" s="17" t="s">
        <v>153</v>
      </c>
      <c r="E217" s="426">
        <v>16</v>
      </c>
      <c r="F217" s="17" t="s">
        <v>303</v>
      </c>
      <c r="G217" s="120">
        <v>25</v>
      </c>
      <c r="H217" s="121">
        <v>49</v>
      </c>
      <c r="I217" s="599">
        <v>57.7</v>
      </c>
      <c r="J217" s="45">
        <v>131</v>
      </c>
      <c r="K217" s="47">
        <v>16</v>
      </c>
      <c r="L217" s="600">
        <v>7.3</v>
      </c>
      <c r="M217" s="45"/>
      <c r="N217" s="47"/>
      <c r="O217" s="47" t="s">
        <v>18</v>
      </c>
      <c r="P217" s="130"/>
    </row>
    <row r="218" spans="1:16" ht="27.6" customHeight="1">
      <c r="A218" s="15" t="s">
        <v>288</v>
      </c>
      <c r="B218" s="16">
        <v>8</v>
      </c>
      <c r="C218" s="17" t="s">
        <v>288</v>
      </c>
      <c r="D218" s="17" t="s">
        <v>153</v>
      </c>
      <c r="E218" s="426">
        <v>17</v>
      </c>
      <c r="F218" s="17" t="s">
        <v>1587</v>
      </c>
      <c r="G218" s="21">
        <v>25</v>
      </c>
      <c r="H218" s="22">
        <v>49</v>
      </c>
      <c r="I218" s="597">
        <v>36.880000000000003</v>
      </c>
      <c r="J218" s="15">
        <v>131</v>
      </c>
      <c r="K218" s="17">
        <v>12</v>
      </c>
      <c r="L218" s="598">
        <v>55.44</v>
      </c>
      <c r="M218" s="15"/>
      <c r="N218" s="17"/>
      <c r="O218" s="17" t="s">
        <v>1176</v>
      </c>
      <c r="P218" s="43"/>
    </row>
    <row r="219" spans="1:16" ht="27.6" customHeight="1" thickBot="1">
      <c r="A219" s="429" t="s">
        <v>288</v>
      </c>
      <c r="B219" s="44">
        <v>8</v>
      </c>
      <c r="C219" s="135" t="s">
        <v>288</v>
      </c>
      <c r="D219" s="135" t="s">
        <v>153</v>
      </c>
      <c r="E219" s="441">
        <v>18</v>
      </c>
      <c r="F219" s="565" t="s">
        <v>304</v>
      </c>
      <c r="G219" s="107">
        <v>25</v>
      </c>
      <c r="H219" s="108">
        <v>50</v>
      </c>
      <c r="I219" s="601">
        <v>13.3</v>
      </c>
      <c r="J219" s="429">
        <v>131</v>
      </c>
      <c r="K219" s="135">
        <v>13</v>
      </c>
      <c r="L219" s="602">
        <v>0.6</v>
      </c>
      <c r="M219" s="429"/>
      <c r="N219" s="135"/>
      <c r="O219" s="135" t="s">
        <v>18</v>
      </c>
      <c r="P219" s="136"/>
    </row>
    <row r="220" spans="1:16" ht="27.6" customHeight="1" thickTop="1">
      <c r="A220" s="45" t="s">
        <v>305</v>
      </c>
      <c r="B220" s="46">
        <v>9</v>
      </c>
      <c r="C220" s="48" t="s">
        <v>305</v>
      </c>
      <c r="D220" s="48" t="s">
        <v>153</v>
      </c>
      <c r="E220" s="49">
        <v>1</v>
      </c>
      <c r="F220" s="72" t="s">
        <v>864</v>
      </c>
      <c r="G220" s="566">
        <v>24</v>
      </c>
      <c r="H220" s="567">
        <v>56</v>
      </c>
      <c r="I220" s="603">
        <v>29.5</v>
      </c>
      <c r="J220" s="120">
        <v>125</v>
      </c>
      <c r="K220" s="51">
        <v>14</v>
      </c>
      <c r="L220" s="52">
        <v>43.1</v>
      </c>
      <c r="M220" s="53" t="s">
        <v>130</v>
      </c>
      <c r="N220" s="54" t="s">
        <v>159</v>
      </c>
      <c r="O220" s="51" t="s">
        <v>18</v>
      </c>
      <c r="P220" s="52" t="s">
        <v>865</v>
      </c>
    </row>
    <row r="221" spans="1:16" ht="27.6" customHeight="1">
      <c r="A221" s="15" t="s">
        <v>305</v>
      </c>
      <c r="B221" s="16">
        <v>9</v>
      </c>
      <c r="C221" s="18" t="s">
        <v>305</v>
      </c>
      <c r="D221" s="18" t="s">
        <v>153</v>
      </c>
      <c r="E221" s="19">
        <v>2</v>
      </c>
      <c r="F221" s="73" t="s">
        <v>866</v>
      </c>
      <c r="G221" s="568">
        <v>24</v>
      </c>
      <c r="H221" s="74">
        <v>56</v>
      </c>
      <c r="I221" s="75">
        <v>3.1</v>
      </c>
      <c r="J221" s="21">
        <v>125</v>
      </c>
      <c r="K221" s="24">
        <v>15</v>
      </c>
      <c r="L221" s="23">
        <v>34.700000000000003</v>
      </c>
      <c r="M221" s="26" t="s">
        <v>306</v>
      </c>
      <c r="N221" s="27" t="s">
        <v>154</v>
      </c>
      <c r="O221" s="24" t="s">
        <v>18</v>
      </c>
      <c r="P221" s="25" t="s">
        <v>860</v>
      </c>
    </row>
    <row r="222" spans="1:16" ht="27.6" customHeight="1">
      <c r="A222" s="15" t="s">
        <v>305</v>
      </c>
      <c r="B222" s="16">
        <v>9</v>
      </c>
      <c r="C222" s="18" t="s">
        <v>305</v>
      </c>
      <c r="D222" s="18" t="s">
        <v>153</v>
      </c>
      <c r="E222" s="19">
        <v>3</v>
      </c>
      <c r="F222" s="73" t="s">
        <v>867</v>
      </c>
      <c r="G222" s="568">
        <v>24</v>
      </c>
      <c r="H222" s="74">
        <v>54</v>
      </c>
      <c r="I222" s="75">
        <v>1.8</v>
      </c>
      <c r="J222" s="21">
        <v>125</v>
      </c>
      <c r="K222" s="24">
        <v>15</v>
      </c>
      <c r="L222" s="23">
        <v>34.700000000000003</v>
      </c>
      <c r="M222" s="26" t="s">
        <v>306</v>
      </c>
      <c r="N222" s="27" t="s">
        <v>154</v>
      </c>
      <c r="O222" s="24" t="s">
        <v>18</v>
      </c>
      <c r="P222" s="25" t="s">
        <v>868</v>
      </c>
    </row>
    <row r="223" spans="1:16" ht="27.6" customHeight="1">
      <c r="A223" s="15" t="s">
        <v>305</v>
      </c>
      <c r="B223" s="16">
        <v>9</v>
      </c>
      <c r="C223" s="18" t="s">
        <v>305</v>
      </c>
      <c r="D223" s="18" t="s">
        <v>153</v>
      </c>
      <c r="E223" s="19">
        <v>4</v>
      </c>
      <c r="F223" s="73" t="s">
        <v>869</v>
      </c>
      <c r="G223" s="568">
        <v>24</v>
      </c>
      <c r="H223" s="74">
        <v>48</v>
      </c>
      <c r="I223" s="75">
        <v>45.3</v>
      </c>
      <c r="J223" s="21">
        <v>125</v>
      </c>
      <c r="K223" s="24">
        <v>8</v>
      </c>
      <c r="L223" s="23">
        <v>35</v>
      </c>
      <c r="M223" s="26" t="s">
        <v>130</v>
      </c>
      <c r="N223" s="27" t="s">
        <v>159</v>
      </c>
      <c r="O223" s="24" t="s">
        <v>18</v>
      </c>
      <c r="P223" s="25" t="s">
        <v>860</v>
      </c>
    </row>
    <row r="224" spans="1:16" ht="27.6" customHeight="1">
      <c r="A224" s="15" t="s">
        <v>305</v>
      </c>
      <c r="B224" s="16">
        <v>9</v>
      </c>
      <c r="C224" s="18" t="s">
        <v>305</v>
      </c>
      <c r="D224" s="18" t="s">
        <v>153</v>
      </c>
      <c r="E224" s="19">
        <v>5</v>
      </c>
      <c r="F224" s="73" t="s">
        <v>870</v>
      </c>
      <c r="G224" s="568">
        <v>24</v>
      </c>
      <c r="H224" s="74">
        <v>47</v>
      </c>
      <c r="I224" s="75">
        <v>52.1</v>
      </c>
      <c r="J224" s="21">
        <v>125</v>
      </c>
      <c r="K224" s="24">
        <v>9</v>
      </c>
      <c r="L224" s="25">
        <v>42.9</v>
      </c>
      <c r="M224" s="26" t="s">
        <v>139</v>
      </c>
      <c r="N224" s="27" t="s">
        <v>159</v>
      </c>
      <c r="O224" s="24" t="s">
        <v>18</v>
      </c>
      <c r="P224" s="25" t="s">
        <v>868</v>
      </c>
    </row>
    <row r="225" spans="1:18" ht="27.6" customHeight="1">
      <c r="A225" s="15" t="s">
        <v>305</v>
      </c>
      <c r="B225" s="16">
        <v>9</v>
      </c>
      <c r="C225" s="18" t="s">
        <v>305</v>
      </c>
      <c r="D225" s="18" t="s">
        <v>153</v>
      </c>
      <c r="E225" s="19">
        <v>6</v>
      </c>
      <c r="F225" s="73" t="s">
        <v>871</v>
      </c>
      <c r="G225" s="568">
        <v>24</v>
      </c>
      <c r="H225" s="74">
        <v>43</v>
      </c>
      <c r="I225" s="75">
        <v>10</v>
      </c>
      <c r="J225" s="21">
        <v>125</v>
      </c>
      <c r="K225" s="24">
        <v>15</v>
      </c>
      <c r="L225" s="25">
        <v>51.4</v>
      </c>
      <c r="M225" s="26" t="s">
        <v>306</v>
      </c>
      <c r="N225" s="27" t="s">
        <v>154</v>
      </c>
      <c r="O225" s="24" t="s">
        <v>18</v>
      </c>
      <c r="P225" s="25" t="s">
        <v>872</v>
      </c>
    </row>
    <row r="226" spans="1:18" ht="27.6" customHeight="1">
      <c r="A226" s="15" t="s">
        <v>305</v>
      </c>
      <c r="B226" s="16">
        <v>9</v>
      </c>
      <c r="C226" s="18" t="s">
        <v>305</v>
      </c>
      <c r="D226" s="18" t="s">
        <v>153</v>
      </c>
      <c r="E226" s="19">
        <v>7</v>
      </c>
      <c r="F226" s="73" t="s">
        <v>873</v>
      </c>
      <c r="G226" s="568">
        <v>24</v>
      </c>
      <c r="H226" s="74">
        <v>42</v>
      </c>
      <c r="I226" s="75">
        <v>50.5</v>
      </c>
      <c r="J226" s="21">
        <v>125</v>
      </c>
      <c r="K226" s="24">
        <v>19</v>
      </c>
      <c r="L226" s="23">
        <v>49</v>
      </c>
      <c r="M226" s="26" t="s">
        <v>130</v>
      </c>
      <c r="N226" s="27" t="s">
        <v>159</v>
      </c>
      <c r="O226" s="24" t="s">
        <v>18</v>
      </c>
      <c r="P226" s="25" t="s">
        <v>865</v>
      </c>
    </row>
    <row r="227" spans="1:18" ht="27.6" customHeight="1">
      <c r="A227" s="15" t="s">
        <v>305</v>
      </c>
      <c r="B227" s="16">
        <v>9</v>
      </c>
      <c r="C227" s="18" t="s">
        <v>305</v>
      </c>
      <c r="D227" s="18" t="s">
        <v>153</v>
      </c>
      <c r="E227" s="19">
        <v>8</v>
      </c>
      <c r="F227" s="73" t="s">
        <v>874</v>
      </c>
      <c r="G227" s="568">
        <v>24</v>
      </c>
      <c r="H227" s="74">
        <v>44</v>
      </c>
      <c r="I227" s="75">
        <v>54</v>
      </c>
      <c r="J227" s="21">
        <v>125</v>
      </c>
      <c r="K227" s="24">
        <v>26</v>
      </c>
      <c r="L227" s="25">
        <v>35.200000000000003</v>
      </c>
      <c r="M227" s="26" t="s">
        <v>130</v>
      </c>
      <c r="N227" s="27" t="s">
        <v>159</v>
      </c>
      <c r="O227" s="24" t="s">
        <v>18</v>
      </c>
      <c r="P227" s="25" t="s">
        <v>307</v>
      </c>
    </row>
    <row r="228" spans="1:18" ht="27.6" customHeight="1">
      <c r="A228" s="15" t="s">
        <v>305</v>
      </c>
      <c r="B228" s="16">
        <v>9</v>
      </c>
      <c r="C228" s="18" t="s">
        <v>305</v>
      </c>
      <c r="D228" s="18" t="s">
        <v>153</v>
      </c>
      <c r="E228" s="19">
        <v>9</v>
      </c>
      <c r="F228" s="73" t="s">
        <v>875</v>
      </c>
      <c r="G228" s="21">
        <v>24</v>
      </c>
      <c r="H228" s="22">
        <v>50</v>
      </c>
      <c r="I228" s="23">
        <v>27.9</v>
      </c>
      <c r="J228" s="21">
        <v>125</v>
      </c>
      <c r="K228" s="22">
        <v>23</v>
      </c>
      <c r="L228" s="23">
        <v>29.9</v>
      </c>
      <c r="M228" s="76" t="s">
        <v>308</v>
      </c>
      <c r="N228" s="18" t="s">
        <v>168</v>
      </c>
      <c r="O228" s="24" t="s">
        <v>825</v>
      </c>
      <c r="P228" s="25" t="s">
        <v>850</v>
      </c>
    </row>
    <row r="229" spans="1:18" ht="27.6" customHeight="1" thickBot="1">
      <c r="A229" s="30" t="s">
        <v>305</v>
      </c>
      <c r="B229" s="31">
        <v>9</v>
      </c>
      <c r="C229" s="33" t="s">
        <v>305</v>
      </c>
      <c r="D229" s="33" t="s">
        <v>153</v>
      </c>
      <c r="E229" s="89">
        <v>10</v>
      </c>
      <c r="F229" s="77" t="s">
        <v>309</v>
      </c>
      <c r="G229" s="124">
        <v>24</v>
      </c>
      <c r="H229" s="57">
        <v>49</v>
      </c>
      <c r="I229" s="119">
        <v>42.3</v>
      </c>
      <c r="J229" s="124">
        <v>125</v>
      </c>
      <c r="K229" s="57">
        <v>20</v>
      </c>
      <c r="L229" s="119">
        <v>49.9</v>
      </c>
      <c r="M229" s="78" t="s">
        <v>310</v>
      </c>
      <c r="N229" s="33" t="s">
        <v>168</v>
      </c>
      <c r="O229" s="37" t="s">
        <v>825</v>
      </c>
      <c r="P229" s="38" t="s">
        <v>876</v>
      </c>
    </row>
    <row r="230" spans="1:18" ht="27.6" customHeight="1" thickTop="1">
      <c r="A230" s="79" t="s">
        <v>311</v>
      </c>
      <c r="B230" s="91">
        <v>10</v>
      </c>
      <c r="C230" s="80" t="s">
        <v>312</v>
      </c>
      <c r="D230" s="80" t="s">
        <v>153</v>
      </c>
      <c r="E230" s="71">
        <v>1</v>
      </c>
      <c r="F230" s="60" t="s">
        <v>313</v>
      </c>
      <c r="G230" s="106">
        <v>25</v>
      </c>
      <c r="H230" s="41">
        <v>1</v>
      </c>
      <c r="I230" s="81">
        <v>1.4</v>
      </c>
      <c r="J230" s="106">
        <v>125</v>
      </c>
      <c r="K230" s="59">
        <v>14</v>
      </c>
      <c r="L230" s="60">
        <v>47.6</v>
      </c>
      <c r="M230" s="61" t="s">
        <v>314</v>
      </c>
      <c r="N230" s="62" t="s">
        <v>159</v>
      </c>
      <c r="O230" s="59" t="s">
        <v>18</v>
      </c>
      <c r="P230" s="60" t="s">
        <v>877</v>
      </c>
    </row>
    <row r="231" spans="1:18" ht="27.6" customHeight="1">
      <c r="A231" s="64" t="s">
        <v>311</v>
      </c>
      <c r="B231" s="16">
        <v>10</v>
      </c>
      <c r="C231" s="18" t="s">
        <v>312</v>
      </c>
      <c r="D231" s="18" t="s">
        <v>153</v>
      </c>
      <c r="E231" s="19">
        <v>2</v>
      </c>
      <c r="F231" s="25" t="s">
        <v>315</v>
      </c>
      <c r="G231" s="21">
        <v>25</v>
      </c>
      <c r="H231" s="22">
        <v>1</v>
      </c>
      <c r="I231" s="23">
        <v>0.9</v>
      </c>
      <c r="J231" s="21">
        <v>125</v>
      </c>
      <c r="K231" s="24">
        <v>16</v>
      </c>
      <c r="L231" s="23">
        <v>2.7</v>
      </c>
      <c r="M231" s="26" t="s">
        <v>314</v>
      </c>
      <c r="N231" s="27" t="s">
        <v>154</v>
      </c>
      <c r="O231" s="24" t="s">
        <v>18</v>
      </c>
      <c r="P231" s="25" t="s">
        <v>878</v>
      </c>
    </row>
    <row r="232" spans="1:18" ht="27.6" customHeight="1">
      <c r="A232" s="64" t="s">
        <v>311</v>
      </c>
      <c r="B232" s="16">
        <v>10</v>
      </c>
      <c r="C232" s="18" t="s">
        <v>312</v>
      </c>
      <c r="D232" s="18" t="s">
        <v>153</v>
      </c>
      <c r="E232" s="19">
        <v>3</v>
      </c>
      <c r="F232" s="25" t="s">
        <v>879</v>
      </c>
      <c r="G232" s="21">
        <v>24</v>
      </c>
      <c r="H232" s="22">
        <v>59</v>
      </c>
      <c r="I232" s="23">
        <v>49</v>
      </c>
      <c r="J232" s="21">
        <v>125</v>
      </c>
      <c r="K232" s="24">
        <v>14</v>
      </c>
      <c r="L232" s="25">
        <v>5.2</v>
      </c>
      <c r="M232" s="26" t="s">
        <v>314</v>
      </c>
      <c r="N232" s="27" t="s">
        <v>154</v>
      </c>
      <c r="O232" s="24" t="s">
        <v>18</v>
      </c>
      <c r="P232" s="25" t="s">
        <v>865</v>
      </c>
      <c r="Q232" s="569"/>
      <c r="R232" s="569" t="s">
        <v>880</v>
      </c>
    </row>
    <row r="233" spans="1:18" ht="27.6" customHeight="1" thickBot="1">
      <c r="A233" s="82" t="s">
        <v>311</v>
      </c>
      <c r="B233" s="44">
        <v>10</v>
      </c>
      <c r="C233" s="83" t="s">
        <v>312</v>
      </c>
      <c r="D233" s="83" t="s">
        <v>153</v>
      </c>
      <c r="E233" s="84">
        <v>4</v>
      </c>
      <c r="F233" s="85" t="s">
        <v>316</v>
      </c>
      <c r="G233" s="107">
        <v>24</v>
      </c>
      <c r="H233" s="108">
        <v>59</v>
      </c>
      <c r="I233" s="109">
        <v>41.8</v>
      </c>
      <c r="J233" s="107">
        <v>125</v>
      </c>
      <c r="K233" s="86">
        <v>15</v>
      </c>
      <c r="L233" s="85">
        <v>43.2</v>
      </c>
      <c r="M233" s="87" t="s">
        <v>314</v>
      </c>
      <c r="N233" s="88" t="s">
        <v>159</v>
      </c>
      <c r="O233" s="86" t="s">
        <v>18</v>
      </c>
      <c r="P233" s="85" t="s">
        <v>878</v>
      </c>
    </row>
    <row r="234" spans="1:18" ht="27.6" customHeight="1" thickTop="1">
      <c r="A234" s="45" t="s">
        <v>317</v>
      </c>
      <c r="B234" s="46">
        <v>11</v>
      </c>
      <c r="C234" s="47" t="s">
        <v>318</v>
      </c>
      <c r="D234" s="48" t="s">
        <v>153</v>
      </c>
      <c r="E234" s="49">
        <v>1</v>
      </c>
      <c r="F234" s="50" t="s">
        <v>319</v>
      </c>
      <c r="G234" s="120">
        <v>24</v>
      </c>
      <c r="H234" s="121">
        <v>20</v>
      </c>
      <c r="I234" s="122">
        <v>42.7</v>
      </c>
      <c r="J234" s="120">
        <v>124</v>
      </c>
      <c r="K234" s="51">
        <v>12</v>
      </c>
      <c r="L234" s="52">
        <v>17.5</v>
      </c>
      <c r="M234" s="53" t="s">
        <v>130</v>
      </c>
      <c r="N234" s="54" t="s">
        <v>320</v>
      </c>
      <c r="O234" s="51" t="s">
        <v>18</v>
      </c>
      <c r="P234" s="52" t="s">
        <v>321</v>
      </c>
    </row>
    <row r="235" spans="1:18" ht="27.6" customHeight="1">
      <c r="A235" s="15" t="s">
        <v>317</v>
      </c>
      <c r="B235" s="16">
        <v>11</v>
      </c>
      <c r="C235" s="17" t="s">
        <v>318</v>
      </c>
      <c r="D235" s="18" t="s">
        <v>153</v>
      </c>
      <c r="E235" s="19">
        <v>2</v>
      </c>
      <c r="F235" s="55" t="s">
        <v>322</v>
      </c>
      <c r="G235" s="21">
        <v>24</v>
      </c>
      <c r="H235" s="22">
        <v>20</v>
      </c>
      <c r="I235" s="23">
        <v>39.4</v>
      </c>
      <c r="J235" s="21">
        <v>124</v>
      </c>
      <c r="K235" s="24">
        <v>12</v>
      </c>
      <c r="L235" s="25">
        <v>53.4</v>
      </c>
      <c r="M235" s="26" t="s">
        <v>323</v>
      </c>
      <c r="N235" s="27" t="s">
        <v>154</v>
      </c>
      <c r="O235" s="24" t="s">
        <v>18</v>
      </c>
      <c r="P235" s="25" t="s">
        <v>324</v>
      </c>
    </row>
    <row r="236" spans="1:18" ht="27.6" customHeight="1">
      <c r="A236" s="15" t="s">
        <v>317</v>
      </c>
      <c r="B236" s="16">
        <v>11</v>
      </c>
      <c r="C236" s="17" t="s">
        <v>318</v>
      </c>
      <c r="D236" s="18" t="s">
        <v>153</v>
      </c>
      <c r="E236" s="19">
        <v>3</v>
      </c>
      <c r="F236" s="55" t="s">
        <v>325</v>
      </c>
      <c r="G236" s="21">
        <v>24</v>
      </c>
      <c r="H236" s="22">
        <v>20</v>
      </c>
      <c r="I236" s="23">
        <v>27.1</v>
      </c>
      <c r="J236" s="21">
        <v>124</v>
      </c>
      <c r="K236" s="24">
        <v>14</v>
      </c>
      <c r="L236" s="25">
        <v>1.7</v>
      </c>
      <c r="M236" s="26" t="s">
        <v>130</v>
      </c>
      <c r="N236" s="27" t="s">
        <v>326</v>
      </c>
      <c r="O236" s="24" t="s">
        <v>18</v>
      </c>
      <c r="P236" s="25" t="s">
        <v>327</v>
      </c>
    </row>
    <row r="237" spans="1:18" ht="27.6" customHeight="1">
      <c r="A237" s="15" t="s">
        <v>317</v>
      </c>
      <c r="B237" s="16">
        <v>11</v>
      </c>
      <c r="C237" s="17" t="s">
        <v>318</v>
      </c>
      <c r="D237" s="18" t="s">
        <v>153</v>
      </c>
      <c r="E237" s="19">
        <v>4</v>
      </c>
      <c r="F237" s="55" t="s">
        <v>328</v>
      </c>
      <c r="G237" s="21">
        <v>24</v>
      </c>
      <c r="H237" s="22">
        <v>20</v>
      </c>
      <c r="I237" s="23">
        <v>59.6</v>
      </c>
      <c r="J237" s="21">
        <v>124</v>
      </c>
      <c r="K237" s="24">
        <v>15</v>
      </c>
      <c r="L237" s="25">
        <v>9.6</v>
      </c>
      <c r="M237" s="26" t="s">
        <v>329</v>
      </c>
      <c r="N237" s="27" t="s">
        <v>320</v>
      </c>
      <c r="O237" s="24" t="s">
        <v>18</v>
      </c>
      <c r="P237" s="25" t="s">
        <v>133</v>
      </c>
    </row>
    <row r="238" spans="1:18" ht="27.6" customHeight="1">
      <c r="A238" s="15" t="s">
        <v>317</v>
      </c>
      <c r="B238" s="16">
        <v>11</v>
      </c>
      <c r="C238" s="17" t="s">
        <v>318</v>
      </c>
      <c r="D238" s="18" t="s">
        <v>153</v>
      </c>
      <c r="E238" s="19">
        <v>5</v>
      </c>
      <c r="F238" s="55" t="s">
        <v>330</v>
      </c>
      <c r="G238" s="21">
        <v>24</v>
      </c>
      <c r="H238" s="22">
        <v>21</v>
      </c>
      <c r="I238" s="23">
        <v>47.4</v>
      </c>
      <c r="J238" s="21">
        <v>124</v>
      </c>
      <c r="K238" s="24">
        <v>15</v>
      </c>
      <c r="L238" s="25">
        <v>19.600000000000001</v>
      </c>
      <c r="M238" s="26" t="s">
        <v>329</v>
      </c>
      <c r="N238" s="27" t="s">
        <v>159</v>
      </c>
      <c r="O238" s="24" t="s">
        <v>18</v>
      </c>
      <c r="P238" s="25" t="s">
        <v>128</v>
      </c>
    </row>
    <row r="239" spans="1:18" ht="27.6" customHeight="1">
      <c r="A239" s="15" t="s">
        <v>317</v>
      </c>
      <c r="B239" s="16">
        <v>11</v>
      </c>
      <c r="C239" s="17" t="s">
        <v>318</v>
      </c>
      <c r="D239" s="18" t="s">
        <v>153</v>
      </c>
      <c r="E239" s="19">
        <v>6</v>
      </c>
      <c r="F239" s="55" t="s">
        <v>331</v>
      </c>
      <c r="G239" s="21">
        <v>24</v>
      </c>
      <c r="H239" s="22">
        <v>21</v>
      </c>
      <c r="I239" s="23">
        <v>51.7</v>
      </c>
      <c r="J239" s="21">
        <v>124</v>
      </c>
      <c r="K239" s="24">
        <v>15</v>
      </c>
      <c r="L239" s="25">
        <v>16.399999999999999</v>
      </c>
      <c r="M239" s="26" t="s">
        <v>130</v>
      </c>
      <c r="N239" s="27" t="s">
        <v>320</v>
      </c>
      <c r="O239" s="24" t="s">
        <v>18</v>
      </c>
      <c r="P239" s="25" t="s">
        <v>332</v>
      </c>
    </row>
    <row r="240" spans="1:18" ht="27.6" customHeight="1">
      <c r="A240" s="15" t="s">
        <v>317</v>
      </c>
      <c r="B240" s="16">
        <v>11</v>
      </c>
      <c r="C240" s="17" t="s">
        <v>318</v>
      </c>
      <c r="D240" s="18" t="s">
        <v>153</v>
      </c>
      <c r="E240" s="19">
        <v>7</v>
      </c>
      <c r="F240" s="55" t="s">
        <v>333</v>
      </c>
      <c r="G240" s="21">
        <v>24</v>
      </c>
      <c r="H240" s="22">
        <v>22</v>
      </c>
      <c r="I240" s="23">
        <v>24.4</v>
      </c>
      <c r="J240" s="21">
        <v>124</v>
      </c>
      <c r="K240" s="24">
        <v>15</v>
      </c>
      <c r="L240" s="25">
        <v>20.5</v>
      </c>
      <c r="M240" s="26" t="s">
        <v>130</v>
      </c>
      <c r="N240" s="27" t="s">
        <v>320</v>
      </c>
      <c r="O240" s="24" t="s">
        <v>18</v>
      </c>
      <c r="P240" s="25" t="s">
        <v>321</v>
      </c>
    </row>
    <row r="241" spans="1:16" ht="27.6" customHeight="1">
      <c r="A241" s="15" t="s">
        <v>317</v>
      </c>
      <c r="B241" s="16">
        <v>11</v>
      </c>
      <c r="C241" s="17" t="s">
        <v>318</v>
      </c>
      <c r="D241" s="18" t="s">
        <v>153</v>
      </c>
      <c r="E241" s="19">
        <v>8</v>
      </c>
      <c r="F241" s="55" t="s">
        <v>334</v>
      </c>
      <c r="G241" s="21">
        <v>24</v>
      </c>
      <c r="H241" s="22">
        <v>23</v>
      </c>
      <c r="I241" s="23">
        <v>4.2</v>
      </c>
      <c r="J241" s="21">
        <v>124</v>
      </c>
      <c r="K241" s="24">
        <v>15</v>
      </c>
      <c r="L241" s="25">
        <v>22.7</v>
      </c>
      <c r="M241" s="26" t="s">
        <v>130</v>
      </c>
      <c r="N241" s="27" t="s">
        <v>159</v>
      </c>
      <c r="O241" s="24" t="s">
        <v>18</v>
      </c>
      <c r="P241" s="25" t="s">
        <v>321</v>
      </c>
    </row>
    <row r="242" spans="1:16" ht="27.6" customHeight="1">
      <c r="A242" s="15" t="s">
        <v>317</v>
      </c>
      <c r="B242" s="16">
        <v>11</v>
      </c>
      <c r="C242" s="17" t="s">
        <v>318</v>
      </c>
      <c r="D242" s="18" t="s">
        <v>153</v>
      </c>
      <c r="E242" s="19">
        <v>9</v>
      </c>
      <c r="F242" s="55" t="s">
        <v>335</v>
      </c>
      <c r="G242" s="21">
        <v>24</v>
      </c>
      <c r="H242" s="22">
        <v>23</v>
      </c>
      <c r="I242" s="23">
        <v>48</v>
      </c>
      <c r="J242" s="21">
        <v>124</v>
      </c>
      <c r="K242" s="24">
        <v>15</v>
      </c>
      <c r="L242" s="25">
        <v>41.7</v>
      </c>
      <c r="M242" s="26" t="s">
        <v>336</v>
      </c>
      <c r="N242" s="27" t="s">
        <v>320</v>
      </c>
      <c r="O242" s="24" t="s">
        <v>18</v>
      </c>
      <c r="P242" s="25" t="s">
        <v>35</v>
      </c>
    </row>
    <row r="243" spans="1:16" ht="27.6" customHeight="1">
      <c r="A243" s="15" t="s">
        <v>317</v>
      </c>
      <c r="B243" s="16">
        <v>11</v>
      </c>
      <c r="C243" s="17" t="s">
        <v>318</v>
      </c>
      <c r="D243" s="18" t="s">
        <v>153</v>
      </c>
      <c r="E243" s="19">
        <v>10</v>
      </c>
      <c r="F243" s="55" t="s">
        <v>337</v>
      </c>
      <c r="G243" s="21">
        <v>24</v>
      </c>
      <c r="H243" s="22">
        <v>24</v>
      </c>
      <c r="I243" s="23">
        <v>13.7</v>
      </c>
      <c r="J243" s="21">
        <v>124</v>
      </c>
      <c r="K243" s="24">
        <v>15</v>
      </c>
      <c r="L243" s="25">
        <v>47.1</v>
      </c>
      <c r="M243" s="26" t="s">
        <v>130</v>
      </c>
      <c r="N243" s="27" t="s">
        <v>320</v>
      </c>
      <c r="O243" s="24" t="s">
        <v>18</v>
      </c>
      <c r="P243" s="25" t="s">
        <v>338</v>
      </c>
    </row>
    <row r="244" spans="1:16" ht="27.6" customHeight="1">
      <c r="A244" s="15" t="s">
        <v>317</v>
      </c>
      <c r="B244" s="16">
        <v>11</v>
      </c>
      <c r="C244" s="17" t="s">
        <v>318</v>
      </c>
      <c r="D244" s="18" t="s">
        <v>153</v>
      </c>
      <c r="E244" s="19">
        <v>11</v>
      </c>
      <c r="F244" s="55" t="s">
        <v>339</v>
      </c>
      <c r="G244" s="21">
        <v>24</v>
      </c>
      <c r="H244" s="22">
        <v>24</v>
      </c>
      <c r="I244" s="23">
        <v>35.6</v>
      </c>
      <c r="J244" s="21">
        <v>124</v>
      </c>
      <c r="K244" s="24">
        <v>15</v>
      </c>
      <c r="L244" s="25">
        <v>47.9</v>
      </c>
      <c r="M244" s="26" t="s">
        <v>329</v>
      </c>
      <c r="N244" s="27" t="s">
        <v>320</v>
      </c>
      <c r="O244" s="24" t="s">
        <v>18</v>
      </c>
      <c r="P244" s="25" t="s">
        <v>128</v>
      </c>
    </row>
    <row r="245" spans="1:16" ht="27.6" customHeight="1">
      <c r="A245" s="15" t="s">
        <v>317</v>
      </c>
      <c r="B245" s="16">
        <v>11</v>
      </c>
      <c r="C245" s="17" t="s">
        <v>318</v>
      </c>
      <c r="D245" s="18" t="s">
        <v>153</v>
      </c>
      <c r="E245" s="19">
        <v>12</v>
      </c>
      <c r="F245" s="55" t="s">
        <v>340</v>
      </c>
      <c r="G245" s="21">
        <v>24</v>
      </c>
      <c r="H245" s="22">
        <v>25</v>
      </c>
      <c r="I245" s="23">
        <v>40</v>
      </c>
      <c r="J245" s="21">
        <v>124</v>
      </c>
      <c r="K245" s="24">
        <v>15</v>
      </c>
      <c r="L245" s="25">
        <v>20.5</v>
      </c>
      <c r="M245" s="26" t="s">
        <v>130</v>
      </c>
      <c r="N245" s="27" t="s">
        <v>320</v>
      </c>
      <c r="O245" s="24" t="s">
        <v>18</v>
      </c>
      <c r="P245" s="25" t="s">
        <v>341</v>
      </c>
    </row>
    <row r="246" spans="1:16" ht="27.6" customHeight="1">
      <c r="A246" s="15" t="s">
        <v>317</v>
      </c>
      <c r="B246" s="16">
        <v>11</v>
      </c>
      <c r="C246" s="17" t="s">
        <v>318</v>
      </c>
      <c r="D246" s="18" t="s">
        <v>153</v>
      </c>
      <c r="E246" s="19">
        <v>13</v>
      </c>
      <c r="F246" s="55" t="s">
        <v>342</v>
      </c>
      <c r="G246" s="21">
        <v>24</v>
      </c>
      <c r="H246" s="22">
        <v>25</v>
      </c>
      <c r="I246" s="23">
        <v>49.4</v>
      </c>
      <c r="J246" s="21">
        <v>124</v>
      </c>
      <c r="K246" s="24">
        <v>15</v>
      </c>
      <c r="L246" s="25">
        <v>32.6</v>
      </c>
      <c r="M246" s="26" t="s">
        <v>336</v>
      </c>
      <c r="N246" s="27" t="s">
        <v>320</v>
      </c>
      <c r="O246" s="24" t="s">
        <v>18</v>
      </c>
      <c r="P246" s="25" t="s">
        <v>343</v>
      </c>
    </row>
    <row r="247" spans="1:16" ht="27.6" customHeight="1">
      <c r="A247" s="15" t="s">
        <v>317</v>
      </c>
      <c r="B247" s="16">
        <v>11</v>
      </c>
      <c r="C247" s="17" t="s">
        <v>318</v>
      </c>
      <c r="D247" s="18" t="s">
        <v>153</v>
      </c>
      <c r="E247" s="19">
        <v>14</v>
      </c>
      <c r="F247" s="55" t="s">
        <v>344</v>
      </c>
      <c r="G247" s="21">
        <v>24</v>
      </c>
      <c r="H247" s="22">
        <v>26</v>
      </c>
      <c r="I247" s="23">
        <v>40.299999999999997</v>
      </c>
      <c r="J247" s="21">
        <v>124</v>
      </c>
      <c r="K247" s="24">
        <v>15</v>
      </c>
      <c r="L247" s="25">
        <v>40.200000000000003</v>
      </c>
      <c r="M247" s="26" t="s">
        <v>130</v>
      </c>
      <c r="N247" s="27" t="s">
        <v>345</v>
      </c>
      <c r="O247" s="24" t="s">
        <v>18</v>
      </c>
      <c r="P247" s="25" t="s">
        <v>346</v>
      </c>
    </row>
    <row r="248" spans="1:16" ht="27.6" customHeight="1">
      <c r="A248" s="15" t="s">
        <v>317</v>
      </c>
      <c r="B248" s="16">
        <v>11</v>
      </c>
      <c r="C248" s="17" t="s">
        <v>318</v>
      </c>
      <c r="D248" s="18" t="s">
        <v>153</v>
      </c>
      <c r="E248" s="19">
        <v>15</v>
      </c>
      <c r="F248" s="55" t="s">
        <v>347</v>
      </c>
      <c r="G248" s="21">
        <v>24</v>
      </c>
      <c r="H248" s="22">
        <v>27</v>
      </c>
      <c r="I248" s="23">
        <v>39.200000000000003</v>
      </c>
      <c r="J248" s="21">
        <v>124</v>
      </c>
      <c r="K248" s="24">
        <v>15</v>
      </c>
      <c r="L248" s="25">
        <v>39.700000000000003</v>
      </c>
      <c r="M248" s="26" t="s">
        <v>130</v>
      </c>
      <c r="N248" s="27" t="s">
        <v>348</v>
      </c>
      <c r="O248" s="24" t="s">
        <v>18</v>
      </c>
      <c r="P248" s="25" t="s">
        <v>133</v>
      </c>
    </row>
    <row r="249" spans="1:16" ht="27.6" customHeight="1">
      <c r="A249" s="15" t="s">
        <v>317</v>
      </c>
      <c r="B249" s="16">
        <v>11</v>
      </c>
      <c r="C249" s="17" t="s">
        <v>318</v>
      </c>
      <c r="D249" s="18" t="s">
        <v>153</v>
      </c>
      <c r="E249" s="19">
        <v>16</v>
      </c>
      <c r="F249" s="55" t="s">
        <v>349</v>
      </c>
      <c r="G249" s="21">
        <v>24</v>
      </c>
      <c r="H249" s="22">
        <v>28</v>
      </c>
      <c r="I249" s="23">
        <v>6.9</v>
      </c>
      <c r="J249" s="21">
        <v>124</v>
      </c>
      <c r="K249" s="24">
        <v>15</v>
      </c>
      <c r="L249" s="25">
        <v>45.2</v>
      </c>
      <c r="M249" s="26" t="s">
        <v>336</v>
      </c>
      <c r="N249" s="27" t="s">
        <v>320</v>
      </c>
      <c r="O249" s="24" t="s">
        <v>18</v>
      </c>
      <c r="P249" s="25" t="s">
        <v>35</v>
      </c>
    </row>
    <row r="250" spans="1:16" ht="27.6" customHeight="1">
      <c r="A250" s="15" t="s">
        <v>317</v>
      </c>
      <c r="B250" s="16">
        <v>11</v>
      </c>
      <c r="C250" s="17" t="s">
        <v>318</v>
      </c>
      <c r="D250" s="18" t="s">
        <v>153</v>
      </c>
      <c r="E250" s="19">
        <v>17</v>
      </c>
      <c r="F250" s="55" t="s">
        <v>350</v>
      </c>
      <c r="G250" s="21">
        <v>24</v>
      </c>
      <c r="H250" s="22">
        <v>29</v>
      </c>
      <c r="I250" s="23">
        <v>7.6</v>
      </c>
      <c r="J250" s="21">
        <v>124</v>
      </c>
      <c r="K250" s="24">
        <v>16</v>
      </c>
      <c r="L250" s="25">
        <v>40.700000000000003</v>
      </c>
      <c r="M250" s="26" t="s">
        <v>130</v>
      </c>
      <c r="N250" s="27" t="s">
        <v>320</v>
      </c>
      <c r="O250" s="24" t="s">
        <v>18</v>
      </c>
      <c r="P250" s="25" t="s">
        <v>128</v>
      </c>
    </row>
    <row r="251" spans="1:16" ht="27.6" customHeight="1">
      <c r="A251" s="15" t="s">
        <v>317</v>
      </c>
      <c r="B251" s="16">
        <v>11</v>
      </c>
      <c r="C251" s="17" t="s">
        <v>318</v>
      </c>
      <c r="D251" s="18" t="s">
        <v>153</v>
      </c>
      <c r="E251" s="19">
        <v>18</v>
      </c>
      <c r="F251" s="55" t="s">
        <v>351</v>
      </c>
      <c r="G251" s="21">
        <v>24</v>
      </c>
      <c r="H251" s="22">
        <v>29</v>
      </c>
      <c r="I251" s="23">
        <v>1.7</v>
      </c>
      <c r="J251" s="21">
        <v>124</v>
      </c>
      <c r="K251" s="24">
        <v>17</v>
      </c>
      <c r="L251" s="25">
        <v>25.2</v>
      </c>
      <c r="M251" s="26" t="s">
        <v>130</v>
      </c>
      <c r="N251" s="27" t="s">
        <v>320</v>
      </c>
      <c r="O251" s="24" t="s">
        <v>18</v>
      </c>
      <c r="P251" s="25" t="s">
        <v>133</v>
      </c>
    </row>
    <row r="252" spans="1:16" ht="27.6" customHeight="1">
      <c r="A252" s="15" t="s">
        <v>317</v>
      </c>
      <c r="B252" s="16">
        <v>11</v>
      </c>
      <c r="C252" s="17" t="s">
        <v>318</v>
      </c>
      <c r="D252" s="18" t="s">
        <v>153</v>
      </c>
      <c r="E252" s="19">
        <v>19</v>
      </c>
      <c r="F252" s="55" t="s">
        <v>352</v>
      </c>
      <c r="G252" s="21">
        <v>24</v>
      </c>
      <c r="H252" s="22">
        <v>30</v>
      </c>
      <c r="I252" s="23">
        <v>57.3</v>
      </c>
      <c r="J252" s="21">
        <v>124</v>
      </c>
      <c r="K252" s="24">
        <v>17</v>
      </c>
      <c r="L252" s="23">
        <v>55</v>
      </c>
      <c r="M252" s="26" t="s">
        <v>130</v>
      </c>
      <c r="N252" s="27" t="s">
        <v>348</v>
      </c>
      <c r="O252" s="24" t="s">
        <v>18</v>
      </c>
      <c r="P252" s="25" t="s">
        <v>96</v>
      </c>
    </row>
    <row r="253" spans="1:16" ht="27.6" customHeight="1">
      <c r="A253" s="15" t="s">
        <v>317</v>
      </c>
      <c r="B253" s="16">
        <v>11</v>
      </c>
      <c r="C253" s="17" t="s">
        <v>318</v>
      </c>
      <c r="D253" s="18" t="s">
        <v>153</v>
      </c>
      <c r="E253" s="19">
        <v>20</v>
      </c>
      <c r="F253" s="55" t="s">
        <v>353</v>
      </c>
      <c r="G253" s="21">
        <v>24</v>
      </c>
      <c r="H253" s="22">
        <v>31</v>
      </c>
      <c r="I253" s="23">
        <v>31.6</v>
      </c>
      <c r="J253" s="21">
        <v>124</v>
      </c>
      <c r="K253" s="24">
        <v>18</v>
      </c>
      <c r="L253" s="25">
        <v>32.200000000000003</v>
      </c>
      <c r="M253" s="26" t="s">
        <v>329</v>
      </c>
      <c r="N253" s="27" t="s">
        <v>320</v>
      </c>
      <c r="O253" s="24" t="s">
        <v>18</v>
      </c>
      <c r="P253" s="25" t="s">
        <v>128</v>
      </c>
    </row>
    <row r="254" spans="1:16" ht="27.6" customHeight="1">
      <c r="A254" s="15" t="s">
        <v>317</v>
      </c>
      <c r="B254" s="16">
        <v>11</v>
      </c>
      <c r="C254" s="17" t="s">
        <v>318</v>
      </c>
      <c r="D254" s="18" t="s">
        <v>153</v>
      </c>
      <c r="E254" s="19">
        <v>21</v>
      </c>
      <c r="F254" s="55" t="s">
        <v>354</v>
      </c>
      <c r="G254" s="21">
        <v>24</v>
      </c>
      <c r="H254" s="22">
        <v>31</v>
      </c>
      <c r="I254" s="23">
        <v>52.6</v>
      </c>
      <c r="J254" s="21">
        <v>124</v>
      </c>
      <c r="K254" s="24">
        <v>18</v>
      </c>
      <c r="L254" s="25">
        <v>36.700000000000003</v>
      </c>
      <c r="M254" s="26" t="s">
        <v>126</v>
      </c>
      <c r="N254" s="27" t="s">
        <v>348</v>
      </c>
      <c r="O254" s="24" t="s">
        <v>18</v>
      </c>
      <c r="P254" s="25" t="s">
        <v>133</v>
      </c>
    </row>
    <row r="255" spans="1:16" ht="27.6" customHeight="1">
      <c r="A255" s="15" t="s">
        <v>317</v>
      </c>
      <c r="B255" s="16">
        <v>11</v>
      </c>
      <c r="C255" s="17" t="s">
        <v>318</v>
      </c>
      <c r="D255" s="18" t="s">
        <v>153</v>
      </c>
      <c r="E255" s="19">
        <v>22</v>
      </c>
      <c r="F255" s="55" t="s">
        <v>355</v>
      </c>
      <c r="G255" s="21">
        <v>24</v>
      </c>
      <c r="H255" s="22">
        <v>32</v>
      </c>
      <c r="I255" s="23">
        <v>37.5</v>
      </c>
      <c r="J255" s="21">
        <v>124</v>
      </c>
      <c r="K255" s="24">
        <v>18</v>
      </c>
      <c r="L255" s="25">
        <v>23.9</v>
      </c>
      <c r="M255" s="26" t="s">
        <v>130</v>
      </c>
      <c r="N255" s="27" t="s">
        <v>356</v>
      </c>
      <c r="O255" s="24" t="s">
        <v>18</v>
      </c>
      <c r="P255" s="25" t="s">
        <v>321</v>
      </c>
    </row>
    <row r="256" spans="1:16" ht="27.6" customHeight="1">
      <c r="A256" s="15" t="s">
        <v>317</v>
      </c>
      <c r="B256" s="16">
        <v>11</v>
      </c>
      <c r="C256" s="17" t="s">
        <v>318</v>
      </c>
      <c r="D256" s="18" t="s">
        <v>153</v>
      </c>
      <c r="E256" s="19">
        <v>23</v>
      </c>
      <c r="F256" s="55" t="s">
        <v>357</v>
      </c>
      <c r="G256" s="21">
        <v>24</v>
      </c>
      <c r="H256" s="22">
        <v>32</v>
      </c>
      <c r="I256" s="23">
        <v>56.3</v>
      </c>
      <c r="J256" s="21">
        <v>124</v>
      </c>
      <c r="K256" s="24">
        <v>18</v>
      </c>
      <c r="L256" s="25">
        <v>56.7</v>
      </c>
      <c r="M256" s="26" t="s">
        <v>336</v>
      </c>
      <c r="N256" s="27" t="s">
        <v>174</v>
      </c>
      <c r="O256" s="24" t="s">
        <v>18</v>
      </c>
      <c r="P256" s="25" t="s">
        <v>35</v>
      </c>
    </row>
    <row r="257" spans="1:16" ht="27.6" customHeight="1">
      <c r="A257" s="15" t="s">
        <v>317</v>
      </c>
      <c r="B257" s="16">
        <v>11</v>
      </c>
      <c r="C257" s="17" t="s">
        <v>318</v>
      </c>
      <c r="D257" s="18" t="s">
        <v>153</v>
      </c>
      <c r="E257" s="19">
        <v>24</v>
      </c>
      <c r="F257" s="55" t="s">
        <v>358</v>
      </c>
      <c r="G257" s="21">
        <v>24</v>
      </c>
      <c r="H257" s="22">
        <v>33</v>
      </c>
      <c r="I257" s="23">
        <v>15.6</v>
      </c>
      <c r="J257" s="21">
        <v>124</v>
      </c>
      <c r="K257" s="24">
        <v>19</v>
      </c>
      <c r="L257" s="25">
        <v>11.2</v>
      </c>
      <c r="M257" s="26" t="s">
        <v>130</v>
      </c>
      <c r="N257" s="27" t="s">
        <v>320</v>
      </c>
      <c r="O257" s="24" t="s">
        <v>18</v>
      </c>
      <c r="P257" s="25" t="s">
        <v>332</v>
      </c>
    </row>
    <row r="258" spans="1:16" ht="27.6" customHeight="1">
      <c r="A258" s="15" t="s">
        <v>317</v>
      </c>
      <c r="B258" s="16">
        <v>11</v>
      </c>
      <c r="C258" s="17" t="s">
        <v>318</v>
      </c>
      <c r="D258" s="18" t="s">
        <v>153</v>
      </c>
      <c r="E258" s="19">
        <v>25</v>
      </c>
      <c r="F258" s="55" t="s">
        <v>359</v>
      </c>
      <c r="G258" s="21">
        <v>24</v>
      </c>
      <c r="H258" s="22">
        <v>33</v>
      </c>
      <c r="I258" s="23">
        <v>36.799999999999997</v>
      </c>
      <c r="J258" s="21">
        <v>124</v>
      </c>
      <c r="K258" s="24">
        <v>19</v>
      </c>
      <c r="L258" s="25">
        <v>34.9</v>
      </c>
      <c r="M258" s="26" t="s">
        <v>130</v>
      </c>
      <c r="N258" s="27" t="s">
        <v>320</v>
      </c>
      <c r="O258" s="24" t="s">
        <v>18</v>
      </c>
      <c r="P258" s="25" t="s">
        <v>338</v>
      </c>
    </row>
    <row r="259" spans="1:16" ht="27.6" customHeight="1">
      <c r="A259" s="15" t="s">
        <v>317</v>
      </c>
      <c r="B259" s="16">
        <v>11</v>
      </c>
      <c r="C259" s="17" t="s">
        <v>318</v>
      </c>
      <c r="D259" s="18" t="s">
        <v>153</v>
      </c>
      <c r="E259" s="19">
        <v>26</v>
      </c>
      <c r="F259" s="55" t="s">
        <v>360</v>
      </c>
      <c r="G259" s="21">
        <v>24</v>
      </c>
      <c r="H259" s="22">
        <v>33</v>
      </c>
      <c r="I259" s="23">
        <v>44.3</v>
      </c>
      <c r="J259" s="21">
        <v>124</v>
      </c>
      <c r="K259" s="24">
        <v>20</v>
      </c>
      <c r="L259" s="25">
        <v>6.4</v>
      </c>
      <c r="M259" s="26" t="s">
        <v>336</v>
      </c>
      <c r="N259" s="27" t="s">
        <v>174</v>
      </c>
      <c r="O259" s="24" t="s">
        <v>18</v>
      </c>
      <c r="P259" s="25" t="s">
        <v>35</v>
      </c>
    </row>
    <row r="260" spans="1:16" ht="27.6" customHeight="1">
      <c r="A260" s="15" t="s">
        <v>317</v>
      </c>
      <c r="B260" s="16">
        <v>11</v>
      </c>
      <c r="C260" s="17" t="s">
        <v>318</v>
      </c>
      <c r="D260" s="18" t="s">
        <v>153</v>
      </c>
      <c r="E260" s="19">
        <v>27</v>
      </c>
      <c r="F260" s="55" t="s">
        <v>361</v>
      </c>
      <c r="G260" s="21">
        <v>24</v>
      </c>
      <c r="H260" s="22">
        <v>34</v>
      </c>
      <c r="I260" s="23">
        <v>8.1999999999999993</v>
      </c>
      <c r="J260" s="21">
        <v>124</v>
      </c>
      <c r="K260" s="24">
        <v>20</v>
      </c>
      <c r="L260" s="25">
        <v>26.3</v>
      </c>
      <c r="M260" s="26" t="s">
        <v>130</v>
      </c>
      <c r="N260" s="27" t="s">
        <v>320</v>
      </c>
      <c r="O260" s="24" t="s">
        <v>18</v>
      </c>
      <c r="P260" s="25" t="s">
        <v>128</v>
      </c>
    </row>
    <row r="261" spans="1:16" ht="27.6" customHeight="1">
      <c r="A261" s="15" t="s">
        <v>317</v>
      </c>
      <c r="B261" s="16">
        <v>11</v>
      </c>
      <c r="C261" s="17" t="s">
        <v>318</v>
      </c>
      <c r="D261" s="18" t="s">
        <v>153</v>
      </c>
      <c r="E261" s="19">
        <v>28</v>
      </c>
      <c r="F261" s="55" t="s">
        <v>362</v>
      </c>
      <c r="G261" s="21">
        <v>24</v>
      </c>
      <c r="H261" s="22">
        <v>34</v>
      </c>
      <c r="I261" s="23">
        <v>55</v>
      </c>
      <c r="J261" s="21">
        <v>124</v>
      </c>
      <c r="K261" s="24">
        <v>20</v>
      </c>
      <c r="L261" s="25">
        <v>57.9</v>
      </c>
      <c r="M261" s="26" t="s">
        <v>130</v>
      </c>
      <c r="N261" s="27" t="s">
        <v>320</v>
      </c>
      <c r="O261" s="24" t="s">
        <v>18</v>
      </c>
      <c r="P261" s="25" t="s">
        <v>35</v>
      </c>
    </row>
    <row r="262" spans="1:16" ht="27.6" customHeight="1">
      <c r="A262" s="15" t="s">
        <v>317</v>
      </c>
      <c r="B262" s="16">
        <v>11</v>
      </c>
      <c r="C262" s="17" t="s">
        <v>318</v>
      </c>
      <c r="D262" s="18" t="s">
        <v>153</v>
      </c>
      <c r="E262" s="19">
        <v>29</v>
      </c>
      <c r="F262" s="55" t="s">
        <v>363</v>
      </c>
      <c r="G262" s="21">
        <v>24</v>
      </c>
      <c r="H262" s="22">
        <v>35</v>
      </c>
      <c r="I262" s="23">
        <v>33.6</v>
      </c>
      <c r="J262" s="21">
        <v>124</v>
      </c>
      <c r="K262" s="24">
        <v>20</v>
      </c>
      <c r="L262" s="25">
        <v>55.1</v>
      </c>
      <c r="M262" s="26" t="s">
        <v>130</v>
      </c>
      <c r="N262" s="27" t="s">
        <v>320</v>
      </c>
      <c r="O262" s="24" t="s">
        <v>18</v>
      </c>
      <c r="P262" s="25" t="s">
        <v>364</v>
      </c>
    </row>
    <row r="263" spans="1:16" ht="27.6" customHeight="1">
      <c r="A263" s="15" t="s">
        <v>317</v>
      </c>
      <c r="B263" s="16">
        <v>11</v>
      </c>
      <c r="C263" s="17" t="s">
        <v>318</v>
      </c>
      <c r="D263" s="18" t="s">
        <v>153</v>
      </c>
      <c r="E263" s="19">
        <v>30</v>
      </c>
      <c r="F263" s="55" t="s">
        <v>365</v>
      </c>
      <c r="G263" s="21">
        <v>24</v>
      </c>
      <c r="H263" s="22">
        <v>36</v>
      </c>
      <c r="I263" s="23">
        <v>14.2</v>
      </c>
      <c r="J263" s="21">
        <v>124</v>
      </c>
      <c r="K263" s="24">
        <v>20</v>
      </c>
      <c r="L263" s="23">
        <v>45</v>
      </c>
      <c r="M263" s="26" t="s">
        <v>329</v>
      </c>
      <c r="N263" s="27" t="s">
        <v>320</v>
      </c>
      <c r="O263" s="24" t="s">
        <v>18</v>
      </c>
      <c r="P263" s="25" t="s">
        <v>133</v>
      </c>
    </row>
    <row r="264" spans="1:16" ht="27.6" customHeight="1">
      <c r="A264" s="15" t="s">
        <v>317</v>
      </c>
      <c r="B264" s="16">
        <v>11</v>
      </c>
      <c r="C264" s="17" t="s">
        <v>318</v>
      </c>
      <c r="D264" s="18" t="s">
        <v>153</v>
      </c>
      <c r="E264" s="19">
        <v>31</v>
      </c>
      <c r="F264" s="55" t="s">
        <v>366</v>
      </c>
      <c r="G264" s="21">
        <v>24</v>
      </c>
      <c r="H264" s="22">
        <v>36</v>
      </c>
      <c r="I264" s="23">
        <v>14.8</v>
      </c>
      <c r="J264" s="21">
        <v>124</v>
      </c>
      <c r="K264" s="24">
        <v>20</v>
      </c>
      <c r="L264" s="25">
        <v>31.7</v>
      </c>
      <c r="M264" s="26" t="s">
        <v>130</v>
      </c>
      <c r="N264" s="27" t="s">
        <v>348</v>
      </c>
      <c r="O264" s="24" t="s">
        <v>18</v>
      </c>
      <c r="P264" s="25" t="s">
        <v>133</v>
      </c>
    </row>
    <row r="265" spans="1:16" ht="27.6" customHeight="1">
      <c r="A265" s="15" t="s">
        <v>317</v>
      </c>
      <c r="B265" s="16">
        <v>11</v>
      </c>
      <c r="C265" s="17" t="s">
        <v>318</v>
      </c>
      <c r="D265" s="18" t="s">
        <v>153</v>
      </c>
      <c r="E265" s="19">
        <v>32</v>
      </c>
      <c r="F265" s="55" t="s">
        <v>367</v>
      </c>
      <c r="G265" s="21">
        <v>24</v>
      </c>
      <c r="H265" s="22">
        <v>36</v>
      </c>
      <c r="I265" s="23">
        <v>44.2</v>
      </c>
      <c r="J265" s="21">
        <v>124</v>
      </c>
      <c r="K265" s="24">
        <v>19</v>
      </c>
      <c r="L265" s="25">
        <v>53.4</v>
      </c>
      <c r="M265" s="26" t="s">
        <v>130</v>
      </c>
      <c r="N265" s="27" t="s">
        <v>320</v>
      </c>
      <c r="O265" s="24" t="s">
        <v>18</v>
      </c>
      <c r="P265" s="25" t="s">
        <v>368</v>
      </c>
    </row>
    <row r="266" spans="1:16" ht="27.6" customHeight="1" thickBot="1">
      <c r="A266" s="30" t="s">
        <v>317</v>
      </c>
      <c r="B266" s="31">
        <v>11</v>
      </c>
      <c r="C266" s="32" t="s">
        <v>318</v>
      </c>
      <c r="D266" s="33" t="s">
        <v>153</v>
      </c>
      <c r="E266" s="89">
        <v>33</v>
      </c>
      <c r="F266" s="56" t="s">
        <v>369</v>
      </c>
      <c r="G266" s="124">
        <v>24</v>
      </c>
      <c r="H266" s="57">
        <v>36</v>
      </c>
      <c r="I266" s="119">
        <v>48.8</v>
      </c>
      <c r="J266" s="124">
        <v>124</v>
      </c>
      <c r="K266" s="37">
        <v>19</v>
      </c>
      <c r="L266" s="38">
        <v>17.899999999999999</v>
      </c>
      <c r="M266" s="35" t="s">
        <v>336</v>
      </c>
      <c r="N266" s="36" t="s">
        <v>320</v>
      </c>
      <c r="O266" s="37" t="s">
        <v>18</v>
      </c>
      <c r="P266" s="38" t="s">
        <v>112</v>
      </c>
    </row>
    <row r="267" spans="1:16" ht="27.6" customHeight="1" thickTop="1">
      <c r="A267" s="90" t="s">
        <v>370</v>
      </c>
      <c r="B267" s="91">
        <v>12</v>
      </c>
      <c r="C267" s="40" t="s">
        <v>371</v>
      </c>
      <c r="D267" s="80" t="s">
        <v>153</v>
      </c>
      <c r="E267" s="71">
        <v>1</v>
      </c>
      <c r="F267" s="58" t="s">
        <v>372</v>
      </c>
      <c r="G267" s="106">
        <v>24</v>
      </c>
      <c r="H267" s="41">
        <v>36</v>
      </c>
      <c r="I267" s="81">
        <v>19.100000000000001</v>
      </c>
      <c r="J267" s="106">
        <v>124</v>
      </c>
      <c r="K267" s="59">
        <v>18</v>
      </c>
      <c r="L267" s="60">
        <v>35.6</v>
      </c>
      <c r="M267" s="61" t="s">
        <v>329</v>
      </c>
      <c r="N267" s="62" t="s">
        <v>373</v>
      </c>
      <c r="O267" s="59" t="s">
        <v>18</v>
      </c>
      <c r="P267" s="60" t="s">
        <v>133</v>
      </c>
    </row>
    <row r="268" spans="1:16" ht="27.6" customHeight="1">
      <c r="A268" s="15" t="s">
        <v>370</v>
      </c>
      <c r="B268" s="16">
        <v>12</v>
      </c>
      <c r="C268" s="17" t="s">
        <v>371</v>
      </c>
      <c r="D268" s="18" t="s">
        <v>153</v>
      </c>
      <c r="E268" s="19">
        <v>2</v>
      </c>
      <c r="F268" s="55" t="s">
        <v>374</v>
      </c>
      <c r="G268" s="21">
        <v>24</v>
      </c>
      <c r="H268" s="22">
        <v>36</v>
      </c>
      <c r="I268" s="23">
        <v>0.1</v>
      </c>
      <c r="J268" s="21">
        <v>124</v>
      </c>
      <c r="K268" s="24">
        <v>18</v>
      </c>
      <c r="L268" s="25">
        <v>23.2</v>
      </c>
      <c r="M268" s="26" t="s">
        <v>130</v>
      </c>
      <c r="N268" s="27" t="s">
        <v>348</v>
      </c>
      <c r="O268" s="24" t="s">
        <v>18</v>
      </c>
      <c r="P268" s="25" t="s">
        <v>375</v>
      </c>
    </row>
    <row r="269" spans="1:16" ht="27.6" customHeight="1">
      <c r="A269" s="15" t="s">
        <v>370</v>
      </c>
      <c r="B269" s="16">
        <v>12</v>
      </c>
      <c r="C269" s="17" t="s">
        <v>371</v>
      </c>
      <c r="D269" s="18" t="s">
        <v>153</v>
      </c>
      <c r="E269" s="19">
        <v>3</v>
      </c>
      <c r="F269" s="55" t="s">
        <v>376</v>
      </c>
      <c r="G269" s="21">
        <v>24</v>
      </c>
      <c r="H269" s="22">
        <v>35</v>
      </c>
      <c r="I269" s="23">
        <v>1.4</v>
      </c>
      <c r="J269" s="21">
        <v>124</v>
      </c>
      <c r="K269" s="24">
        <v>18</v>
      </c>
      <c r="L269" s="25">
        <v>0.1</v>
      </c>
      <c r="M269" s="26" t="s">
        <v>130</v>
      </c>
      <c r="N269" s="27" t="s">
        <v>348</v>
      </c>
      <c r="O269" s="24" t="s">
        <v>18</v>
      </c>
      <c r="P269" s="25" t="s">
        <v>375</v>
      </c>
    </row>
    <row r="270" spans="1:16" ht="27.6" customHeight="1">
      <c r="A270" s="15" t="s">
        <v>370</v>
      </c>
      <c r="B270" s="16">
        <v>12</v>
      </c>
      <c r="C270" s="17" t="s">
        <v>371</v>
      </c>
      <c r="D270" s="18" t="s">
        <v>153</v>
      </c>
      <c r="E270" s="19">
        <v>4</v>
      </c>
      <c r="F270" s="55" t="s">
        <v>377</v>
      </c>
      <c r="G270" s="21">
        <v>24</v>
      </c>
      <c r="H270" s="22">
        <v>34</v>
      </c>
      <c r="I270" s="23">
        <v>19.100000000000001</v>
      </c>
      <c r="J270" s="21">
        <v>124</v>
      </c>
      <c r="K270" s="24">
        <v>17</v>
      </c>
      <c r="L270" s="25">
        <v>31.8</v>
      </c>
      <c r="M270" s="26" t="s">
        <v>130</v>
      </c>
      <c r="N270" s="27" t="s">
        <v>348</v>
      </c>
      <c r="O270" s="24" t="s">
        <v>18</v>
      </c>
      <c r="P270" s="25" t="s">
        <v>96</v>
      </c>
    </row>
    <row r="271" spans="1:16" ht="27.6" customHeight="1">
      <c r="A271" s="15" t="s">
        <v>370</v>
      </c>
      <c r="B271" s="16">
        <v>12</v>
      </c>
      <c r="C271" s="17" t="s">
        <v>371</v>
      </c>
      <c r="D271" s="18" t="s">
        <v>153</v>
      </c>
      <c r="E271" s="19">
        <v>5</v>
      </c>
      <c r="F271" s="55" t="s">
        <v>378</v>
      </c>
      <c r="G271" s="21">
        <v>24</v>
      </c>
      <c r="H271" s="22">
        <v>33</v>
      </c>
      <c r="I271" s="23">
        <v>48</v>
      </c>
      <c r="J271" s="21">
        <v>124</v>
      </c>
      <c r="K271" s="24">
        <v>16</v>
      </c>
      <c r="L271" s="25">
        <v>55.5</v>
      </c>
      <c r="M271" s="26" t="s">
        <v>167</v>
      </c>
      <c r="N271" s="27" t="s">
        <v>320</v>
      </c>
      <c r="O271" s="24" t="s">
        <v>18</v>
      </c>
      <c r="P271" s="25" t="s">
        <v>379</v>
      </c>
    </row>
    <row r="272" spans="1:16" ht="27.6" customHeight="1">
      <c r="A272" s="15" t="s">
        <v>370</v>
      </c>
      <c r="B272" s="16">
        <v>12</v>
      </c>
      <c r="C272" s="17" t="s">
        <v>371</v>
      </c>
      <c r="D272" s="18" t="s">
        <v>153</v>
      </c>
      <c r="E272" s="19">
        <v>6</v>
      </c>
      <c r="F272" s="55" t="s">
        <v>380</v>
      </c>
      <c r="G272" s="21">
        <v>24</v>
      </c>
      <c r="H272" s="22">
        <v>33</v>
      </c>
      <c r="I272" s="23">
        <v>0.4</v>
      </c>
      <c r="J272" s="21">
        <v>124</v>
      </c>
      <c r="K272" s="24">
        <v>17</v>
      </c>
      <c r="L272" s="23">
        <v>7</v>
      </c>
      <c r="M272" s="26" t="s">
        <v>130</v>
      </c>
      <c r="N272" s="27" t="s">
        <v>345</v>
      </c>
      <c r="O272" s="24" t="s">
        <v>18</v>
      </c>
      <c r="P272" s="25" t="s">
        <v>96</v>
      </c>
    </row>
    <row r="273" spans="1:16" ht="27.6" customHeight="1">
      <c r="A273" s="15" t="s">
        <v>370</v>
      </c>
      <c r="B273" s="16">
        <v>12</v>
      </c>
      <c r="C273" s="17" t="s">
        <v>371</v>
      </c>
      <c r="D273" s="18" t="s">
        <v>153</v>
      </c>
      <c r="E273" s="19">
        <v>7</v>
      </c>
      <c r="F273" s="55" t="s">
        <v>381</v>
      </c>
      <c r="G273" s="21">
        <v>24</v>
      </c>
      <c r="H273" s="22">
        <v>31</v>
      </c>
      <c r="I273" s="23">
        <v>13</v>
      </c>
      <c r="J273" s="21">
        <v>124</v>
      </c>
      <c r="K273" s="24">
        <v>15</v>
      </c>
      <c r="L273" s="25">
        <v>22.9</v>
      </c>
      <c r="M273" s="26" t="s">
        <v>130</v>
      </c>
      <c r="N273" s="27" t="s">
        <v>348</v>
      </c>
      <c r="O273" s="24" t="s">
        <v>18</v>
      </c>
      <c r="P273" s="25" t="s">
        <v>79</v>
      </c>
    </row>
    <row r="274" spans="1:16" ht="27.6" customHeight="1">
      <c r="A274" s="15" t="s">
        <v>370</v>
      </c>
      <c r="B274" s="16">
        <v>12</v>
      </c>
      <c r="C274" s="17" t="s">
        <v>371</v>
      </c>
      <c r="D274" s="18" t="s">
        <v>153</v>
      </c>
      <c r="E274" s="19">
        <v>8</v>
      </c>
      <c r="F274" s="55" t="s">
        <v>382</v>
      </c>
      <c r="G274" s="21">
        <v>24</v>
      </c>
      <c r="H274" s="22">
        <v>30</v>
      </c>
      <c r="I274" s="23">
        <v>34.299999999999997</v>
      </c>
      <c r="J274" s="21">
        <v>124</v>
      </c>
      <c r="K274" s="24">
        <v>14</v>
      </c>
      <c r="L274" s="25">
        <v>26.9</v>
      </c>
      <c r="M274" s="26" t="s">
        <v>130</v>
      </c>
      <c r="N274" s="27" t="s">
        <v>348</v>
      </c>
      <c r="O274" s="24" t="s">
        <v>18</v>
      </c>
      <c r="P274" s="25" t="s">
        <v>79</v>
      </c>
    </row>
    <row r="275" spans="1:16" ht="27.6" customHeight="1">
      <c r="A275" s="15" t="s">
        <v>370</v>
      </c>
      <c r="B275" s="16">
        <v>12</v>
      </c>
      <c r="C275" s="17" t="s">
        <v>371</v>
      </c>
      <c r="D275" s="18" t="s">
        <v>153</v>
      </c>
      <c r="E275" s="19">
        <v>9</v>
      </c>
      <c r="F275" s="55" t="s">
        <v>383</v>
      </c>
      <c r="G275" s="21">
        <v>24</v>
      </c>
      <c r="H275" s="22">
        <v>30</v>
      </c>
      <c r="I275" s="23">
        <v>11.5</v>
      </c>
      <c r="J275" s="21">
        <v>124</v>
      </c>
      <c r="K275" s="24">
        <v>13</v>
      </c>
      <c r="L275" s="25">
        <v>51.8</v>
      </c>
      <c r="M275" s="26" t="s">
        <v>130</v>
      </c>
      <c r="N275" s="27" t="s">
        <v>348</v>
      </c>
      <c r="O275" s="24" t="s">
        <v>18</v>
      </c>
      <c r="P275" s="25" t="s">
        <v>85</v>
      </c>
    </row>
    <row r="276" spans="1:16" ht="27.6" customHeight="1">
      <c r="A276" s="15" t="s">
        <v>370</v>
      </c>
      <c r="B276" s="16">
        <v>12</v>
      </c>
      <c r="C276" s="17" t="s">
        <v>371</v>
      </c>
      <c r="D276" s="18" t="s">
        <v>153</v>
      </c>
      <c r="E276" s="19">
        <v>10</v>
      </c>
      <c r="F276" s="55" t="s">
        <v>384</v>
      </c>
      <c r="G276" s="21">
        <v>24</v>
      </c>
      <c r="H276" s="22">
        <v>29</v>
      </c>
      <c r="I276" s="23">
        <v>57.6</v>
      </c>
      <c r="J276" s="21">
        <v>124</v>
      </c>
      <c r="K276" s="24">
        <v>13</v>
      </c>
      <c r="L276" s="25">
        <v>38.200000000000003</v>
      </c>
      <c r="M276" s="26" t="s">
        <v>130</v>
      </c>
      <c r="N276" s="27" t="s">
        <v>320</v>
      </c>
      <c r="O276" s="24" t="s">
        <v>18</v>
      </c>
      <c r="P276" s="25" t="s">
        <v>96</v>
      </c>
    </row>
    <row r="277" spans="1:16" ht="27.6" customHeight="1">
      <c r="A277" s="15" t="s">
        <v>370</v>
      </c>
      <c r="B277" s="16">
        <v>12</v>
      </c>
      <c r="C277" s="17" t="s">
        <v>371</v>
      </c>
      <c r="D277" s="18" t="s">
        <v>153</v>
      </c>
      <c r="E277" s="19">
        <v>11</v>
      </c>
      <c r="F277" s="55" t="s">
        <v>385</v>
      </c>
      <c r="G277" s="21">
        <v>24</v>
      </c>
      <c r="H277" s="22">
        <v>29</v>
      </c>
      <c r="I277" s="23">
        <v>32.1</v>
      </c>
      <c r="J277" s="21">
        <v>124</v>
      </c>
      <c r="K277" s="24">
        <v>13</v>
      </c>
      <c r="L277" s="25">
        <v>7.7</v>
      </c>
      <c r="M277" s="26" t="s">
        <v>329</v>
      </c>
      <c r="N277" s="27" t="s">
        <v>356</v>
      </c>
      <c r="O277" s="24" t="s">
        <v>18</v>
      </c>
      <c r="P277" s="25" t="s">
        <v>321</v>
      </c>
    </row>
    <row r="278" spans="1:16" ht="27.6" customHeight="1">
      <c r="A278" s="15" t="s">
        <v>370</v>
      </c>
      <c r="B278" s="16">
        <v>12</v>
      </c>
      <c r="C278" s="17" t="s">
        <v>371</v>
      </c>
      <c r="D278" s="18" t="s">
        <v>153</v>
      </c>
      <c r="E278" s="19">
        <v>12</v>
      </c>
      <c r="F278" s="55" t="s">
        <v>386</v>
      </c>
      <c r="G278" s="21">
        <v>24</v>
      </c>
      <c r="H278" s="22">
        <v>28</v>
      </c>
      <c r="I278" s="23">
        <v>43.3</v>
      </c>
      <c r="J278" s="21">
        <v>124</v>
      </c>
      <c r="K278" s="24">
        <v>13</v>
      </c>
      <c r="L278" s="25">
        <v>8.1999999999999993</v>
      </c>
      <c r="M278" s="26" t="s">
        <v>323</v>
      </c>
      <c r="N278" s="27" t="s">
        <v>320</v>
      </c>
      <c r="O278" s="24" t="s">
        <v>18</v>
      </c>
      <c r="P278" s="25" t="s">
        <v>379</v>
      </c>
    </row>
    <row r="279" spans="1:16" ht="27.6" customHeight="1">
      <c r="A279" s="15" t="s">
        <v>370</v>
      </c>
      <c r="B279" s="16">
        <v>12</v>
      </c>
      <c r="C279" s="17" t="s">
        <v>371</v>
      </c>
      <c r="D279" s="18" t="s">
        <v>153</v>
      </c>
      <c r="E279" s="19">
        <v>13</v>
      </c>
      <c r="F279" s="55" t="s">
        <v>387</v>
      </c>
      <c r="G279" s="21">
        <v>24</v>
      </c>
      <c r="H279" s="22">
        <v>28</v>
      </c>
      <c r="I279" s="23">
        <v>9.4</v>
      </c>
      <c r="J279" s="21">
        <v>124</v>
      </c>
      <c r="K279" s="24">
        <v>13</v>
      </c>
      <c r="L279" s="25">
        <v>9.1</v>
      </c>
      <c r="M279" s="26" t="s">
        <v>323</v>
      </c>
      <c r="N279" s="27" t="s">
        <v>320</v>
      </c>
      <c r="O279" s="24" t="s">
        <v>18</v>
      </c>
      <c r="P279" s="25" t="s">
        <v>375</v>
      </c>
    </row>
    <row r="280" spans="1:16" ht="27.6" customHeight="1">
      <c r="A280" s="15" t="s">
        <v>370</v>
      </c>
      <c r="B280" s="16">
        <v>12</v>
      </c>
      <c r="C280" s="17" t="s">
        <v>371</v>
      </c>
      <c r="D280" s="18" t="s">
        <v>153</v>
      </c>
      <c r="E280" s="19">
        <v>14</v>
      </c>
      <c r="F280" s="55" t="s">
        <v>388</v>
      </c>
      <c r="G280" s="21">
        <v>24</v>
      </c>
      <c r="H280" s="22">
        <v>27</v>
      </c>
      <c r="I280" s="23">
        <v>41.7</v>
      </c>
      <c r="J280" s="21">
        <v>124</v>
      </c>
      <c r="K280" s="24">
        <v>12</v>
      </c>
      <c r="L280" s="25">
        <v>31</v>
      </c>
      <c r="M280" s="26" t="s">
        <v>323</v>
      </c>
      <c r="N280" s="27" t="s">
        <v>348</v>
      </c>
      <c r="O280" s="24" t="s">
        <v>18</v>
      </c>
      <c r="P280" s="25" t="s">
        <v>85</v>
      </c>
    </row>
    <row r="281" spans="1:16" ht="27.6" customHeight="1">
      <c r="A281" s="15" t="s">
        <v>370</v>
      </c>
      <c r="B281" s="16">
        <v>12</v>
      </c>
      <c r="C281" s="17" t="s">
        <v>371</v>
      </c>
      <c r="D281" s="18" t="s">
        <v>153</v>
      </c>
      <c r="E281" s="19">
        <v>15</v>
      </c>
      <c r="F281" s="55" t="s">
        <v>389</v>
      </c>
      <c r="G281" s="21">
        <v>24</v>
      </c>
      <c r="H281" s="22">
        <v>27</v>
      </c>
      <c r="I281" s="23">
        <v>33.700000000000003</v>
      </c>
      <c r="J281" s="21">
        <v>124</v>
      </c>
      <c r="K281" s="24">
        <v>12</v>
      </c>
      <c r="L281" s="25">
        <v>3.7</v>
      </c>
      <c r="M281" s="26" t="s">
        <v>323</v>
      </c>
      <c r="N281" s="27" t="s">
        <v>154</v>
      </c>
      <c r="O281" s="24" t="s">
        <v>18</v>
      </c>
      <c r="P281" s="25" t="s">
        <v>75</v>
      </c>
    </row>
    <row r="282" spans="1:16" ht="27.6" customHeight="1">
      <c r="A282" s="15" t="s">
        <v>370</v>
      </c>
      <c r="B282" s="16">
        <v>12</v>
      </c>
      <c r="C282" s="17" t="s">
        <v>371</v>
      </c>
      <c r="D282" s="18" t="s">
        <v>153</v>
      </c>
      <c r="E282" s="19">
        <v>16</v>
      </c>
      <c r="F282" s="55" t="s">
        <v>390</v>
      </c>
      <c r="G282" s="21">
        <v>24</v>
      </c>
      <c r="H282" s="22">
        <v>27</v>
      </c>
      <c r="I282" s="23">
        <v>12.8</v>
      </c>
      <c r="J282" s="21">
        <v>124</v>
      </c>
      <c r="K282" s="24">
        <v>11</v>
      </c>
      <c r="L282" s="25">
        <v>2.7</v>
      </c>
      <c r="M282" s="26" t="s">
        <v>130</v>
      </c>
      <c r="N282" s="27" t="s">
        <v>348</v>
      </c>
      <c r="O282" s="24" t="s">
        <v>18</v>
      </c>
      <c r="P282" s="25" t="s">
        <v>133</v>
      </c>
    </row>
    <row r="283" spans="1:16" ht="27.6" customHeight="1">
      <c r="A283" s="15" t="s">
        <v>370</v>
      </c>
      <c r="B283" s="16">
        <v>12</v>
      </c>
      <c r="C283" s="17" t="s">
        <v>371</v>
      </c>
      <c r="D283" s="18" t="s">
        <v>153</v>
      </c>
      <c r="E283" s="19">
        <v>17</v>
      </c>
      <c r="F283" s="55" t="s">
        <v>391</v>
      </c>
      <c r="G283" s="21">
        <v>24</v>
      </c>
      <c r="H283" s="22">
        <v>27</v>
      </c>
      <c r="I283" s="23">
        <v>2.6</v>
      </c>
      <c r="J283" s="21">
        <v>124</v>
      </c>
      <c r="K283" s="24">
        <v>10</v>
      </c>
      <c r="L283" s="25">
        <v>22.9</v>
      </c>
      <c r="M283" s="26" t="s">
        <v>323</v>
      </c>
      <c r="N283" s="27" t="s">
        <v>320</v>
      </c>
      <c r="O283" s="24" t="s">
        <v>18</v>
      </c>
      <c r="P283" s="25" t="s">
        <v>75</v>
      </c>
    </row>
    <row r="284" spans="1:16" ht="27.6" customHeight="1">
      <c r="A284" s="15" t="s">
        <v>370</v>
      </c>
      <c r="B284" s="16">
        <v>12</v>
      </c>
      <c r="C284" s="17" t="s">
        <v>371</v>
      </c>
      <c r="D284" s="18" t="s">
        <v>153</v>
      </c>
      <c r="E284" s="19">
        <v>18</v>
      </c>
      <c r="F284" s="55" t="s">
        <v>392</v>
      </c>
      <c r="G284" s="21">
        <v>24</v>
      </c>
      <c r="H284" s="22">
        <v>27</v>
      </c>
      <c r="I284" s="23">
        <v>5.4</v>
      </c>
      <c r="J284" s="21">
        <v>124</v>
      </c>
      <c r="K284" s="24">
        <v>10</v>
      </c>
      <c r="L284" s="25">
        <v>7.1</v>
      </c>
      <c r="M284" s="26" t="s">
        <v>130</v>
      </c>
      <c r="N284" s="27" t="s">
        <v>320</v>
      </c>
      <c r="O284" s="24" t="s">
        <v>18</v>
      </c>
      <c r="P284" s="25" t="s">
        <v>133</v>
      </c>
    </row>
    <row r="285" spans="1:16" ht="27.6" customHeight="1">
      <c r="A285" s="15" t="s">
        <v>370</v>
      </c>
      <c r="B285" s="16">
        <v>12</v>
      </c>
      <c r="C285" s="17" t="s">
        <v>371</v>
      </c>
      <c r="D285" s="18" t="s">
        <v>153</v>
      </c>
      <c r="E285" s="19">
        <v>19</v>
      </c>
      <c r="F285" s="55" t="s">
        <v>393</v>
      </c>
      <c r="G285" s="21">
        <v>24</v>
      </c>
      <c r="H285" s="22">
        <v>27</v>
      </c>
      <c r="I285" s="23">
        <v>25.6</v>
      </c>
      <c r="J285" s="21">
        <v>124</v>
      </c>
      <c r="K285" s="24">
        <v>9</v>
      </c>
      <c r="L285" s="25">
        <v>18.899999999999999</v>
      </c>
      <c r="M285" s="26" t="s">
        <v>130</v>
      </c>
      <c r="N285" s="27" t="s">
        <v>320</v>
      </c>
      <c r="O285" s="24" t="s">
        <v>18</v>
      </c>
      <c r="P285" s="25" t="s">
        <v>332</v>
      </c>
    </row>
    <row r="286" spans="1:16" ht="27.6" customHeight="1">
      <c r="A286" s="15" t="s">
        <v>370</v>
      </c>
      <c r="B286" s="16">
        <v>12</v>
      </c>
      <c r="C286" s="17" t="s">
        <v>371</v>
      </c>
      <c r="D286" s="18" t="s">
        <v>153</v>
      </c>
      <c r="E286" s="19">
        <v>20</v>
      </c>
      <c r="F286" s="55" t="s">
        <v>394</v>
      </c>
      <c r="G286" s="21">
        <v>24</v>
      </c>
      <c r="H286" s="22">
        <v>27</v>
      </c>
      <c r="I286" s="23">
        <v>49.8</v>
      </c>
      <c r="J286" s="21">
        <v>124</v>
      </c>
      <c r="K286" s="24">
        <v>8</v>
      </c>
      <c r="L286" s="23">
        <v>58</v>
      </c>
      <c r="M286" s="26" t="s">
        <v>130</v>
      </c>
      <c r="N286" s="27" t="s">
        <v>320</v>
      </c>
      <c r="O286" s="24" t="s">
        <v>18</v>
      </c>
      <c r="P286" s="25" t="s">
        <v>332</v>
      </c>
    </row>
    <row r="287" spans="1:16" ht="27.6" customHeight="1">
      <c r="A287" s="15" t="s">
        <v>370</v>
      </c>
      <c r="B287" s="16">
        <v>12</v>
      </c>
      <c r="C287" s="17" t="s">
        <v>371</v>
      </c>
      <c r="D287" s="18" t="s">
        <v>153</v>
      </c>
      <c r="E287" s="19">
        <v>21</v>
      </c>
      <c r="F287" s="55" t="s">
        <v>395</v>
      </c>
      <c r="G287" s="21">
        <v>24</v>
      </c>
      <c r="H287" s="22">
        <v>28</v>
      </c>
      <c r="I287" s="23">
        <v>7.6</v>
      </c>
      <c r="J287" s="21">
        <v>124</v>
      </c>
      <c r="K287" s="24">
        <v>8</v>
      </c>
      <c r="L287" s="25">
        <v>50.2</v>
      </c>
      <c r="M287" s="26" t="s">
        <v>336</v>
      </c>
      <c r="N287" s="27" t="s">
        <v>320</v>
      </c>
      <c r="O287" s="24" t="s">
        <v>18</v>
      </c>
      <c r="P287" s="25" t="s">
        <v>75</v>
      </c>
    </row>
    <row r="288" spans="1:16" ht="27.6" customHeight="1">
      <c r="A288" s="15" t="s">
        <v>370</v>
      </c>
      <c r="B288" s="16">
        <v>12</v>
      </c>
      <c r="C288" s="17" t="s">
        <v>371</v>
      </c>
      <c r="D288" s="18" t="s">
        <v>153</v>
      </c>
      <c r="E288" s="19">
        <v>22</v>
      </c>
      <c r="F288" s="55" t="s">
        <v>396</v>
      </c>
      <c r="G288" s="21">
        <v>24</v>
      </c>
      <c r="H288" s="22">
        <v>28</v>
      </c>
      <c r="I288" s="23">
        <v>10.5</v>
      </c>
      <c r="J288" s="21">
        <v>124</v>
      </c>
      <c r="K288" s="24">
        <v>8</v>
      </c>
      <c r="L288" s="25">
        <v>43.9</v>
      </c>
      <c r="M288" s="26" t="s">
        <v>336</v>
      </c>
      <c r="N288" s="27" t="s">
        <v>348</v>
      </c>
      <c r="O288" s="24" t="s">
        <v>18</v>
      </c>
      <c r="P288" s="25" t="s">
        <v>75</v>
      </c>
    </row>
    <row r="289" spans="1:16" ht="27.6" customHeight="1">
      <c r="A289" s="15" t="s">
        <v>370</v>
      </c>
      <c r="B289" s="16">
        <v>12</v>
      </c>
      <c r="C289" s="17" t="s">
        <v>371</v>
      </c>
      <c r="D289" s="18" t="s">
        <v>153</v>
      </c>
      <c r="E289" s="19">
        <v>23</v>
      </c>
      <c r="F289" s="55" t="s">
        <v>397</v>
      </c>
      <c r="G289" s="21">
        <v>24</v>
      </c>
      <c r="H289" s="22">
        <v>28</v>
      </c>
      <c r="I289" s="23">
        <v>21.9</v>
      </c>
      <c r="J289" s="21">
        <v>124</v>
      </c>
      <c r="K289" s="24">
        <v>8</v>
      </c>
      <c r="L289" s="25">
        <v>40.799999999999997</v>
      </c>
      <c r="M289" s="26" t="s">
        <v>329</v>
      </c>
      <c r="N289" s="27" t="s">
        <v>320</v>
      </c>
      <c r="O289" s="24" t="s">
        <v>18</v>
      </c>
      <c r="P289" s="25" t="s">
        <v>332</v>
      </c>
    </row>
    <row r="290" spans="1:16" ht="27.6" customHeight="1">
      <c r="A290" s="15" t="s">
        <v>370</v>
      </c>
      <c r="B290" s="16">
        <v>12</v>
      </c>
      <c r="C290" s="17" t="s">
        <v>371</v>
      </c>
      <c r="D290" s="18" t="s">
        <v>153</v>
      </c>
      <c r="E290" s="19">
        <v>24</v>
      </c>
      <c r="F290" s="55" t="s">
        <v>398</v>
      </c>
      <c r="G290" s="21">
        <v>24</v>
      </c>
      <c r="H290" s="22">
        <v>28</v>
      </c>
      <c r="I290" s="23">
        <v>52.2</v>
      </c>
      <c r="J290" s="21">
        <v>124</v>
      </c>
      <c r="K290" s="24">
        <v>8</v>
      </c>
      <c r="L290" s="25">
        <v>4.5</v>
      </c>
      <c r="M290" s="26" t="s">
        <v>130</v>
      </c>
      <c r="N290" s="27" t="s">
        <v>320</v>
      </c>
      <c r="O290" s="24" t="s">
        <v>18</v>
      </c>
      <c r="P290" s="25" t="s">
        <v>332</v>
      </c>
    </row>
    <row r="291" spans="1:16" ht="27.6" customHeight="1">
      <c r="A291" s="15" t="s">
        <v>370</v>
      </c>
      <c r="B291" s="16">
        <v>12</v>
      </c>
      <c r="C291" s="17" t="s">
        <v>371</v>
      </c>
      <c r="D291" s="18" t="s">
        <v>153</v>
      </c>
      <c r="E291" s="19">
        <v>25</v>
      </c>
      <c r="F291" s="55" t="s">
        <v>399</v>
      </c>
      <c r="G291" s="21">
        <v>24</v>
      </c>
      <c r="H291" s="22">
        <v>29</v>
      </c>
      <c r="I291" s="23">
        <v>4.2</v>
      </c>
      <c r="J291" s="21">
        <v>124</v>
      </c>
      <c r="K291" s="24">
        <v>7</v>
      </c>
      <c r="L291" s="25">
        <v>25.6</v>
      </c>
      <c r="M291" s="26" t="s">
        <v>323</v>
      </c>
      <c r="N291" s="27" t="s">
        <v>320</v>
      </c>
      <c r="O291" s="24" t="s">
        <v>18</v>
      </c>
      <c r="P291" s="25" t="s">
        <v>75</v>
      </c>
    </row>
    <row r="292" spans="1:16" ht="27.6" customHeight="1">
      <c r="A292" s="15" t="s">
        <v>370</v>
      </c>
      <c r="B292" s="16">
        <v>12</v>
      </c>
      <c r="C292" s="17" t="s">
        <v>371</v>
      </c>
      <c r="D292" s="18" t="s">
        <v>153</v>
      </c>
      <c r="E292" s="19">
        <v>26</v>
      </c>
      <c r="F292" s="55" t="s">
        <v>400</v>
      </c>
      <c r="G292" s="21">
        <v>24</v>
      </c>
      <c r="H292" s="22">
        <v>29</v>
      </c>
      <c r="I292" s="23">
        <v>3.1</v>
      </c>
      <c r="J292" s="21">
        <v>124</v>
      </c>
      <c r="K292" s="24">
        <v>7</v>
      </c>
      <c r="L292" s="25">
        <v>6.8</v>
      </c>
      <c r="M292" s="26" t="s">
        <v>329</v>
      </c>
      <c r="N292" s="27" t="s">
        <v>348</v>
      </c>
      <c r="O292" s="24" t="s">
        <v>18</v>
      </c>
      <c r="P292" s="25" t="s">
        <v>327</v>
      </c>
    </row>
    <row r="293" spans="1:16" ht="27.6" customHeight="1">
      <c r="A293" s="15" t="s">
        <v>370</v>
      </c>
      <c r="B293" s="16">
        <v>12</v>
      </c>
      <c r="C293" s="17" t="s">
        <v>371</v>
      </c>
      <c r="D293" s="18" t="s">
        <v>153</v>
      </c>
      <c r="E293" s="19">
        <v>27</v>
      </c>
      <c r="F293" s="55" t="s">
        <v>401</v>
      </c>
      <c r="G293" s="21">
        <v>24</v>
      </c>
      <c r="H293" s="22">
        <v>28</v>
      </c>
      <c r="I293" s="23">
        <v>32.299999999999997</v>
      </c>
      <c r="J293" s="21">
        <v>124</v>
      </c>
      <c r="K293" s="24">
        <v>6</v>
      </c>
      <c r="L293" s="25">
        <v>41.6</v>
      </c>
      <c r="M293" s="26" t="s">
        <v>329</v>
      </c>
      <c r="N293" s="27" t="s">
        <v>320</v>
      </c>
      <c r="O293" s="24" t="s">
        <v>18</v>
      </c>
      <c r="P293" s="25" t="s">
        <v>368</v>
      </c>
    </row>
    <row r="294" spans="1:16" ht="27.6" customHeight="1">
      <c r="A294" s="15" t="s">
        <v>370</v>
      </c>
      <c r="B294" s="16">
        <v>12</v>
      </c>
      <c r="C294" s="17" t="s">
        <v>371</v>
      </c>
      <c r="D294" s="18" t="s">
        <v>153</v>
      </c>
      <c r="E294" s="19">
        <v>28</v>
      </c>
      <c r="F294" s="55" t="s">
        <v>402</v>
      </c>
      <c r="G294" s="21">
        <v>24</v>
      </c>
      <c r="H294" s="22">
        <v>28</v>
      </c>
      <c r="I294" s="23">
        <v>11.6</v>
      </c>
      <c r="J294" s="21">
        <v>124</v>
      </c>
      <c r="K294" s="24">
        <v>6</v>
      </c>
      <c r="L294" s="25">
        <v>54.3</v>
      </c>
      <c r="M294" s="26" t="s">
        <v>130</v>
      </c>
      <c r="N294" s="27" t="s">
        <v>348</v>
      </c>
      <c r="O294" s="24" t="s">
        <v>18</v>
      </c>
      <c r="P294" s="25" t="s">
        <v>112</v>
      </c>
    </row>
    <row r="295" spans="1:16" ht="27.6" customHeight="1">
      <c r="A295" s="15" t="s">
        <v>370</v>
      </c>
      <c r="B295" s="16">
        <v>12</v>
      </c>
      <c r="C295" s="17" t="s">
        <v>371</v>
      </c>
      <c r="D295" s="18" t="s">
        <v>153</v>
      </c>
      <c r="E295" s="19">
        <v>29</v>
      </c>
      <c r="F295" s="55" t="s">
        <v>403</v>
      </c>
      <c r="G295" s="21">
        <v>24</v>
      </c>
      <c r="H295" s="22">
        <v>27</v>
      </c>
      <c r="I295" s="23">
        <v>27.2</v>
      </c>
      <c r="J295" s="21">
        <v>124</v>
      </c>
      <c r="K295" s="24">
        <v>6</v>
      </c>
      <c r="L295" s="25">
        <v>40.700000000000003</v>
      </c>
      <c r="M295" s="26" t="s">
        <v>130</v>
      </c>
      <c r="N295" s="27" t="s">
        <v>348</v>
      </c>
      <c r="O295" s="24" t="s">
        <v>18</v>
      </c>
      <c r="P295" s="25" t="s">
        <v>404</v>
      </c>
    </row>
    <row r="296" spans="1:16" ht="27.6" customHeight="1">
      <c r="A296" s="15" t="s">
        <v>370</v>
      </c>
      <c r="B296" s="16">
        <v>12</v>
      </c>
      <c r="C296" s="17" t="s">
        <v>371</v>
      </c>
      <c r="D296" s="18" t="s">
        <v>153</v>
      </c>
      <c r="E296" s="19">
        <v>30</v>
      </c>
      <c r="F296" s="55" t="s">
        <v>405</v>
      </c>
      <c r="G296" s="21">
        <v>24</v>
      </c>
      <c r="H296" s="22">
        <v>27</v>
      </c>
      <c r="I296" s="23">
        <v>28.9</v>
      </c>
      <c r="J296" s="21">
        <v>124</v>
      </c>
      <c r="K296" s="24">
        <v>6</v>
      </c>
      <c r="L296" s="25">
        <v>20.100000000000001</v>
      </c>
      <c r="M296" s="26" t="s">
        <v>323</v>
      </c>
      <c r="N296" s="27" t="s">
        <v>154</v>
      </c>
      <c r="O296" s="24" t="s">
        <v>18</v>
      </c>
      <c r="P296" s="25" t="s">
        <v>75</v>
      </c>
    </row>
    <row r="297" spans="1:16" ht="27.6" customHeight="1">
      <c r="A297" s="15" t="s">
        <v>370</v>
      </c>
      <c r="B297" s="16">
        <v>12</v>
      </c>
      <c r="C297" s="17" t="s">
        <v>371</v>
      </c>
      <c r="D297" s="18" t="s">
        <v>153</v>
      </c>
      <c r="E297" s="19">
        <v>31</v>
      </c>
      <c r="F297" s="55" t="s">
        <v>406</v>
      </c>
      <c r="G297" s="21">
        <v>24</v>
      </c>
      <c r="H297" s="22">
        <v>27</v>
      </c>
      <c r="I297" s="23">
        <v>17.2</v>
      </c>
      <c r="J297" s="21">
        <v>124</v>
      </c>
      <c r="K297" s="24">
        <v>5</v>
      </c>
      <c r="L297" s="25">
        <v>19.7</v>
      </c>
      <c r="M297" s="26" t="s">
        <v>323</v>
      </c>
      <c r="N297" s="27" t="s">
        <v>154</v>
      </c>
      <c r="O297" s="24" t="s">
        <v>18</v>
      </c>
      <c r="P297" s="25" t="s">
        <v>75</v>
      </c>
    </row>
    <row r="298" spans="1:16" ht="27.6" customHeight="1">
      <c r="A298" s="15" t="s">
        <v>370</v>
      </c>
      <c r="B298" s="16">
        <v>12</v>
      </c>
      <c r="C298" s="17" t="s">
        <v>371</v>
      </c>
      <c r="D298" s="18" t="s">
        <v>153</v>
      </c>
      <c r="E298" s="19">
        <v>32</v>
      </c>
      <c r="F298" s="55" t="s">
        <v>407</v>
      </c>
      <c r="G298" s="21">
        <v>24</v>
      </c>
      <c r="H298" s="22">
        <v>27</v>
      </c>
      <c r="I298" s="23">
        <v>4.0999999999999996</v>
      </c>
      <c r="J298" s="21">
        <v>124</v>
      </c>
      <c r="K298" s="24">
        <v>4</v>
      </c>
      <c r="L298" s="25">
        <v>33.299999999999997</v>
      </c>
      <c r="M298" s="26" t="s">
        <v>323</v>
      </c>
      <c r="N298" s="27" t="s">
        <v>154</v>
      </c>
      <c r="O298" s="24" t="s">
        <v>18</v>
      </c>
      <c r="P298" s="25" t="s">
        <v>75</v>
      </c>
    </row>
    <row r="299" spans="1:16" ht="27.6" customHeight="1">
      <c r="A299" s="15" t="s">
        <v>370</v>
      </c>
      <c r="B299" s="16">
        <v>12</v>
      </c>
      <c r="C299" s="17" t="s">
        <v>371</v>
      </c>
      <c r="D299" s="18" t="s">
        <v>153</v>
      </c>
      <c r="E299" s="19">
        <v>33</v>
      </c>
      <c r="F299" s="55" t="s">
        <v>408</v>
      </c>
      <c r="G299" s="21">
        <v>24</v>
      </c>
      <c r="H299" s="22">
        <v>26</v>
      </c>
      <c r="I299" s="23">
        <v>41</v>
      </c>
      <c r="J299" s="21">
        <v>124</v>
      </c>
      <c r="K299" s="24">
        <v>4</v>
      </c>
      <c r="L299" s="25">
        <v>30.1</v>
      </c>
      <c r="M299" s="26" t="s">
        <v>323</v>
      </c>
      <c r="N299" s="27" t="s">
        <v>320</v>
      </c>
      <c r="O299" s="24" t="s">
        <v>18</v>
      </c>
      <c r="P299" s="25" t="s">
        <v>75</v>
      </c>
    </row>
    <row r="300" spans="1:16" ht="27.6" customHeight="1">
      <c r="A300" s="15" t="s">
        <v>370</v>
      </c>
      <c r="B300" s="16">
        <v>12</v>
      </c>
      <c r="C300" s="17" t="s">
        <v>371</v>
      </c>
      <c r="D300" s="18" t="s">
        <v>153</v>
      </c>
      <c r="E300" s="19">
        <v>34</v>
      </c>
      <c r="F300" s="55" t="s">
        <v>409</v>
      </c>
      <c r="G300" s="21">
        <v>24</v>
      </c>
      <c r="H300" s="22">
        <v>26</v>
      </c>
      <c r="I300" s="23">
        <v>1</v>
      </c>
      <c r="J300" s="21">
        <v>124</v>
      </c>
      <c r="K300" s="24">
        <v>4</v>
      </c>
      <c r="L300" s="25">
        <v>11.8</v>
      </c>
      <c r="M300" s="26" t="s">
        <v>323</v>
      </c>
      <c r="N300" s="27" t="s">
        <v>154</v>
      </c>
      <c r="O300" s="24" t="s">
        <v>18</v>
      </c>
      <c r="P300" s="25" t="s">
        <v>75</v>
      </c>
    </row>
    <row r="301" spans="1:16" ht="27.6" customHeight="1">
      <c r="A301" s="15" t="s">
        <v>370</v>
      </c>
      <c r="B301" s="16">
        <v>12</v>
      </c>
      <c r="C301" s="17" t="s">
        <v>371</v>
      </c>
      <c r="D301" s="18" t="s">
        <v>153</v>
      </c>
      <c r="E301" s="19">
        <v>35</v>
      </c>
      <c r="F301" s="55" t="s">
        <v>410</v>
      </c>
      <c r="G301" s="21">
        <v>24</v>
      </c>
      <c r="H301" s="22">
        <v>25</v>
      </c>
      <c r="I301" s="23">
        <v>38.9</v>
      </c>
      <c r="J301" s="21">
        <v>124</v>
      </c>
      <c r="K301" s="24">
        <v>4</v>
      </c>
      <c r="L301" s="25">
        <v>13.6</v>
      </c>
      <c r="M301" s="26" t="s">
        <v>323</v>
      </c>
      <c r="N301" s="27" t="s">
        <v>154</v>
      </c>
      <c r="O301" s="24" t="s">
        <v>18</v>
      </c>
      <c r="P301" s="25" t="s">
        <v>75</v>
      </c>
    </row>
    <row r="302" spans="1:16" ht="27.6" customHeight="1">
      <c r="A302" s="15" t="s">
        <v>370</v>
      </c>
      <c r="B302" s="16">
        <v>12</v>
      </c>
      <c r="C302" s="17" t="s">
        <v>371</v>
      </c>
      <c r="D302" s="18" t="s">
        <v>153</v>
      </c>
      <c r="E302" s="19">
        <v>36</v>
      </c>
      <c r="F302" s="55" t="s">
        <v>411</v>
      </c>
      <c r="G302" s="21">
        <v>24</v>
      </c>
      <c r="H302" s="22">
        <v>25</v>
      </c>
      <c r="I302" s="23">
        <v>20.5</v>
      </c>
      <c r="J302" s="21">
        <v>124</v>
      </c>
      <c r="K302" s="24">
        <v>4</v>
      </c>
      <c r="L302" s="25">
        <v>36.1</v>
      </c>
      <c r="M302" s="26" t="s">
        <v>329</v>
      </c>
      <c r="N302" s="27" t="s">
        <v>348</v>
      </c>
      <c r="O302" s="24" t="s">
        <v>18</v>
      </c>
      <c r="P302" s="25" t="s">
        <v>85</v>
      </c>
    </row>
    <row r="303" spans="1:16" ht="27.6" customHeight="1">
      <c r="A303" s="15" t="s">
        <v>370</v>
      </c>
      <c r="B303" s="16">
        <v>12</v>
      </c>
      <c r="C303" s="17" t="s">
        <v>371</v>
      </c>
      <c r="D303" s="18" t="s">
        <v>153</v>
      </c>
      <c r="E303" s="19">
        <v>37</v>
      </c>
      <c r="F303" s="55" t="s">
        <v>412</v>
      </c>
      <c r="G303" s="21">
        <v>24</v>
      </c>
      <c r="H303" s="22">
        <v>25</v>
      </c>
      <c r="I303" s="23">
        <v>15.1</v>
      </c>
      <c r="J303" s="21">
        <v>124</v>
      </c>
      <c r="K303" s="24">
        <v>5</v>
      </c>
      <c r="L303" s="25">
        <v>23.7</v>
      </c>
      <c r="M303" s="26" t="s">
        <v>130</v>
      </c>
      <c r="N303" s="27" t="s">
        <v>345</v>
      </c>
      <c r="O303" s="24" t="s">
        <v>18</v>
      </c>
      <c r="P303" s="25" t="s">
        <v>413</v>
      </c>
    </row>
    <row r="304" spans="1:16" ht="27.6" customHeight="1">
      <c r="A304" s="15" t="s">
        <v>370</v>
      </c>
      <c r="B304" s="16">
        <v>12</v>
      </c>
      <c r="C304" s="17" t="s">
        <v>371</v>
      </c>
      <c r="D304" s="18" t="s">
        <v>153</v>
      </c>
      <c r="E304" s="19">
        <v>38</v>
      </c>
      <c r="F304" s="55" t="s">
        <v>414</v>
      </c>
      <c r="G304" s="21">
        <v>24</v>
      </c>
      <c r="H304" s="22">
        <v>22</v>
      </c>
      <c r="I304" s="23">
        <v>51</v>
      </c>
      <c r="J304" s="21">
        <v>124</v>
      </c>
      <c r="K304" s="24">
        <v>7</v>
      </c>
      <c r="L304" s="25">
        <v>0.9</v>
      </c>
      <c r="M304" s="26" t="s">
        <v>323</v>
      </c>
      <c r="N304" s="27" t="s">
        <v>348</v>
      </c>
      <c r="O304" s="24" t="s">
        <v>18</v>
      </c>
      <c r="P304" s="25" t="s">
        <v>338</v>
      </c>
    </row>
    <row r="305" spans="1:16" ht="27.6" customHeight="1">
      <c r="A305" s="15" t="s">
        <v>370</v>
      </c>
      <c r="B305" s="16">
        <v>12</v>
      </c>
      <c r="C305" s="17" t="s">
        <v>371</v>
      </c>
      <c r="D305" s="18" t="s">
        <v>153</v>
      </c>
      <c r="E305" s="19">
        <v>39</v>
      </c>
      <c r="F305" s="55" t="s">
        <v>415</v>
      </c>
      <c r="G305" s="21">
        <v>24</v>
      </c>
      <c r="H305" s="22">
        <v>21</v>
      </c>
      <c r="I305" s="23">
        <v>51.4</v>
      </c>
      <c r="J305" s="21">
        <v>124</v>
      </c>
      <c r="K305" s="24">
        <v>6</v>
      </c>
      <c r="L305" s="25">
        <v>33.4</v>
      </c>
      <c r="M305" s="26" t="s">
        <v>323</v>
      </c>
      <c r="N305" s="27" t="s">
        <v>174</v>
      </c>
      <c r="O305" s="24" t="s">
        <v>18</v>
      </c>
      <c r="P305" s="25" t="s">
        <v>85</v>
      </c>
    </row>
    <row r="306" spans="1:16" ht="27.6" customHeight="1">
      <c r="A306" s="15" t="s">
        <v>370</v>
      </c>
      <c r="B306" s="16">
        <v>12</v>
      </c>
      <c r="C306" s="17" t="s">
        <v>371</v>
      </c>
      <c r="D306" s="18" t="s">
        <v>153</v>
      </c>
      <c r="E306" s="19">
        <v>40</v>
      </c>
      <c r="F306" s="55" t="s">
        <v>416</v>
      </c>
      <c r="G306" s="21">
        <v>24</v>
      </c>
      <c r="H306" s="22">
        <v>19</v>
      </c>
      <c r="I306" s="23">
        <v>40.4</v>
      </c>
      <c r="J306" s="21">
        <v>124</v>
      </c>
      <c r="K306" s="24">
        <v>10</v>
      </c>
      <c r="L306" s="25">
        <v>33.1</v>
      </c>
      <c r="M306" s="26" t="s">
        <v>130</v>
      </c>
      <c r="N306" s="27" t="s">
        <v>417</v>
      </c>
      <c r="O306" s="24" t="s">
        <v>18</v>
      </c>
      <c r="P306" s="25" t="s">
        <v>338</v>
      </c>
    </row>
    <row r="307" spans="1:16" ht="27.6" customHeight="1">
      <c r="A307" s="15" t="s">
        <v>370</v>
      </c>
      <c r="B307" s="16">
        <v>12</v>
      </c>
      <c r="C307" s="17" t="s">
        <v>371</v>
      </c>
      <c r="D307" s="18" t="s">
        <v>153</v>
      </c>
      <c r="E307" s="19">
        <v>41</v>
      </c>
      <c r="F307" s="55" t="s">
        <v>418</v>
      </c>
      <c r="G307" s="21">
        <v>24</v>
      </c>
      <c r="H307" s="22">
        <v>25</v>
      </c>
      <c r="I307" s="23">
        <v>33.9</v>
      </c>
      <c r="J307" s="21">
        <v>124</v>
      </c>
      <c r="K307" s="24">
        <v>6</v>
      </c>
      <c r="L307" s="25">
        <v>41.9</v>
      </c>
      <c r="M307" s="26" t="s">
        <v>323</v>
      </c>
      <c r="N307" s="27" t="s">
        <v>348</v>
      </c>
      <c r="O307" s="24" t="s">
        <v>18</v>
      </c>
      <c r="P307" s="25" t="s">
        <v>346</v>
      </c>
    </row>
    <row r="308" spans="1:16" ht="27.6" customHeight="1">
      <c r="A308" s="15" t="s">
        <v>370</v>
      </c>
      <c r="B308" s="16">
        <v>12</v>
      </c>
      <c r="C308" s="17" t="s">
        <v>371</v>
      </c>
      <c r="D308" s="18" t="s">
        <v>153</v>
      </c>
      <c r="E308" s="19">
        <v>42</v>
      </c>
      <c r="F308" s="55" t="s">
        <v>419</v>
      </c>
      <c r="G308" s="21">
        <v>24</v>
      </c>
      <c r="H308" s="22">
        <v>24</v>
      </c>
      <c r="I308" s="23">
        <v>31.8</v>
      </c>
      <c r="J308" s="21">
        <v>124</v>
      </c>
      <c r="K308" s="24">
        <v>8</v>
      </c>
      <c r="L308" s="25">
        <v>11.1</v>
      </c>
      <c r="M308" s="26" t="s">
        <v>130</v>
      </c>
      <c r="N308" s="27" t="s">
        <v>420</v>
      </c>
      <c r="O308" s="24" t="s">
        <v>18</v>
      </c>
      <c r="P308" s="25" t="s">
        <v>128</v>
      </c>
    </row>
    <row r="309" spans="1:16" ht="27.6" customHeight="1">
      <c r="A309" s="15" t="s">
        <v>370</v>
      </c>
      <c r="B309" s="16">
        <v>12</v>
      </c>
      <c r="C309" s="17" t="s">
        <v>371</v>
      </c>
      <c r="D309" s="18" t="s">
        <v>153</v>
      </c>
      <c r="E309" s="19">
        <v>43</v>
      </c>
      <c r="F309" s="55" t="s">
        <v>421</v>
      </c>
      <c r="G309" s="21">
        <v>24</v>
      </c>
      <c r="H309" s="22">
        <v>32</v>
      </c>
      <c r="I309" s="23">
        <v>29.3</v>
      </c>
      <c r="J309" s="21">
        <v>124</v>
      </c>
      <c r="K309" s="24">
        <v>16</v>
      </c>
      <c r="L309" s="23">
        <v>56.2</v>
      </c>
      <c r="M309" s="26" t="s">
        <v>422</v>
      </c>
      <c r="N309" s="27" t="s">
        <v>423</v>
      </c>
      <c r="O309" s="24" t="s">
        <v>18</v>
      </c>
      <c r="P309" s="25" t="s">
        <v>338</v>
      </c>
    </row>
    <row r="310" spans="1:16" ht="27.6" customHeight="1" thickBot="1">
      <c r="A310" s="429" t="s">
        <v>370</v>
      </c>
      <c r="B310" s="44">
        <v>12</v>
      </c>
      <c r="C310" s="135" t="s">
        <v>371</v>
      </c>
      <c r="D310" s="83" t="s">
        <v>153</v>
      </c>
      <c r="E310" s="84">
        <v>44</v>
      </c>
      <c r="F310" s="110" t="s">
        <v>424</v>
      </c>
      <c r="G310" s="107">
        <v>24</v>
      </c>
      <c r="H310" s="108">
        <v>31</v>
      </c>
      <c r="I310" s="109">
        <v>58</v>
      </c>
      <c r="J310" s="107">
        <v>124</v>
      </c>
      <c r="K310" s="86">
        <v>15</v>
      </c>
      <c r="L310" s="109">
        <v>37.700000000000003</v>
      </c>
      <c r="M310" s="87" t="s">
        <v>167</v>
      </c>
      <c r="N310" s="88" t="s">
        <v>230</v>
      </c>
      <c r="O310" s="86" t="s">
        <v>18</v>
      </c>
      <c r="P310" s="85" t="s">
        <v>112</v>
      </c>
    </row>
    <row r="311" spans="1:16" ht="27.6" customHeight="1" thickTop="1">
      <c r="A311" s="120" t="s">
        <v>881</v>
      </c>
      <c r="B311" s="92">
        <v>13</v>
      </c>
      <c r="C311" s="47" t="s">
        <v>882</v>
      </c>
      <c r="D311" s="121" t="s">
        <v>153</v>
      </c>
      <c r="E311" s="93">
        <v>27</v>
      </c>
      <c r="F311" s="105" t="s">
        <v>425</v>
      </c>
      <c r="G311" s="120">
        <v>24</v>
      </c>
      <c r="H311" s="121">
        <v>20</v>
      </c>
      <c r="I311" s="122">
        <v>43.472000000000001</v>
      </c>
      <c r="J311" s="120">
        <v>124</v>
      </c>
      <c r="K311" s="51">
        <v>0</v>
      </c>
      <c r="L311" s="52">
        <v>23.553999999999998</v>
      </c>
      <c r="M311" s="53" t="s">
        <v>883</v>
      </c>
      <c r="N311" s="54" t="s">
        <v>356</v>
      </c>
      <c r="O311" s="51" t="s">
        <v>18</v>
      </c>
      <c r="P311" s="52" t="s">
        <v>133</v>
      </c>
    </row>
    <row r="312" spans="1:16" ht="27.6" customHeight="1">
      <c r="A312" s="21" t="s">
        <v>881</v>
      </c>
      <c r="B312" s="94">
        <v>13</v>
      </c>
      <c r="C312" s="17" t="s">
        <v>882</v>
      </c>
      <c r="D312" s="22" t="s">
        <v>153</v>
      </c>
      <c r="E312" s="95">
        <v>28</v>
      </c>
      <c r="F312" s="96" t="s">
        <v>426</v>
      </c>
      <c r="G312" s="21">
        <v>24</v>
      </c>
      <c r="H312" s="22">
        <v>21</v>
      </c>
      <c r="I312" s="23">
        <v>26.484000000000002</v>
      </c>
      <c r="J312" s="21">
        <v>123</v>
      </c>
      <c r="K312" s="24">
        <v>59</v>
      </c>
      <c r="L312" s="25">
        <v>51.701999999999998</v>
      </c>
      <c r="M312" s="26" t="s">
        <v>167</v>
      </c>
      <c r="N312" s="27" t="s">
        <v>345</v>
      </c>
      <c r="O312" s="24" t="s">
        <v>18</v>
      </c>
      <c r="P312" s="25" t="s">
        <v>128</v>
      </c>
    </row>
    <row r="313" spans="1:16" ht="27.6" customHeight="1">
      <c r="A313" s="21" t="s">
        <v>881</v>
      </c>
      <c r="B313" s="94">
        <v>13</v>
      </c>
      <c r="C313" s="17" t="s">
        <v>882</v>
      </c>
      <c r="D313" s="22" t="s">
        <v>153</v>
      </c>
      <c r="E313" s="95">
        <v>31</v>
      </c>
      <c r="F313" s="96" t="s">
        <v>427</v>
      </c>
      <c r="G313" s="21">
        <v>24</v>
      </c>
      <c r="H313" s="22">
        <v>21</v>
      </c>
      <c r="I313" s="23">
        <v>48.305</v>
      </c>
      <c r="J313" s="21">
        <v>123</v>
      </c>
      <c r="K313" s="24">
        <v>59</v>
      </c>
      <c r="L313" s="25">
        <v>39.162999999999997</v>
      </c>
      <c r="M313" s="26" t="s">
        <v>130</v>
      </c>
      <c r="N313" s="27" t="s">
        <v>320</v>
      </c>
      <c r="O313" s="24" t="s">
        <v>18</v>
      </c>
      <c r="P313" s="25" t="s">
        <v>128</v>
      </c>
    </row>
    <row r="314" spans="1:16" ht="27.6" customHeight="1">
      <c r="A314" s="21" t="s">
        <v>881</v>
      </c>
      <c r="B314" s="94">
        <v>13</v>
      </c>
      <c r="C314" s="17" t="s">
        <v>882</v>
      </c>
      <c r="D314" s="22" t="s">
        <v>153</v>
      </c>
      <c r="E314" s="95">
        <v>32</v>
      </c>
      <c r="F314" s="96" t="s">
        <v>428</v>
      </c>
      <c r="G314" s="21">
        <v>24</v>
      </c>
      <c r="H314" s="22">
        <v>20</v>
      </c>
      <c r="I314" s="23">
        <v>59.987000000000002</v>
      </c>
      <c r="J314" s="21">
        <v>123</v>
      </c>
      <c r="K314" s="24">
        <v>59</v>
      </c>
      <c r="L314" s="25">
        <v>34.505000000000003</v>
      </c>
      <c r="M314" s="26" t="s">
        <v>167</v>
      </c>
      <c r="N314" s="27" t="s">
        <v>345</v>
      </c>
      <c r="O314" s="24" t="s">
        <v>18</v>
      </c>
      <c r="P314" s="25" t="s">
        <v>133</v>
      </c>
    </row>
    <row r="315" spans="1:16" ht="27.6" customHeight="1">
      <c r="A315" s="21" t="s">
        <v>881</v>
      </c>
      <c r="B315" s="94">
        <v>13</v>
      </c>
      <c r="C315" s="17" t="s">
        <v>882</v>
      </c>
      <c r="D315" s="22" t="s">
        <v>153</v>
      </c>
      <c r="E315" s="95">
        <v>35</v>
      </c>
      <c r="F315" s="96" t="s">
        <v>429</v>
      </c>
      <c r="G315" s="21">
        <v>24</v>
      </c>
      <c r="H315" s="22">
        <v>19</v>
      </c>
      <c r="I315" s="23">
        <v>59.716999999999999</v>
      </c>
      <c r="J315" s="21">
        <v>123</v>
      </c>
      <c r="K315" s="24">
        <v>56</v>
      </c>
      <c r="L315" s="25">
        <v>51.875</v>
      </c>
      <c r="M315" s="26" t="s">
        <v>167</v>
      </c>
      <c r="N315" s="27" t="s">
        <v>320</v>
      </c>
      <c r="O315" s="24" t="s">
        <v>18</v>
      </c>
      <c r="P315" s="25" t="s">
        <v>35</v>
      </c>
    </row>
    <row r="316" spans="1:16" ht="27.6" customHeight="1">
      <c r="A316" s="21" t="s">
        <v>881</v>
      </c>
      <c r="B316" s="94">
        <v>13</v>
      </c>
      <c r="C316" s="17" t="s">
        <v>882</v>
      </c>
      <c r="D316" s="22" t="s">
        <v>153</v>
      </c>
      <c r="E316" s="95">
        <v>36</v>
      </c>
      <c r="F316" s="96" t="s">
        <v>430</v>
      </c>
      <c r="G316" s="21">
        <v>24</v>
      </c>
      <c r="H316" s="22">
        <v>19</v>
      </c>
      <c r="I316" s="23">
        <v>35.72</v>
      </c>
      <c r="J316" s="21">
        <v>123</v>
      </c>
      <c r="K316" s="24">
        <v>56</v>
      </c>
      <c r="L316" s="25">
        <v>57.573999999999998</v>
      </c>
      <c r="M316" s="26" t="s">
        <v>139</v>
      </c>
      <c r="N316" s="27" t="s">
        <v>345</v>
      </c>
      <c r="O316" s="24" t="s">
        <v>18</v>
      </c>
      <c r="P316" s="25">
        <v>5</v>
      </c>
    </row>
    <row r="317" spans="1:16" ht="27.6" customHeight="1">
      <c r="A317" s="21" t="s">
        <v>881</v>
      </c>
      <c r="B317" s="94">
        <v>13</v>
      </c>
      <c r="C317" s="17" t="s">
        <v>882</v>
      </c>
      <c r="D317" s="22" t="s">
        <v>153</v>
      </c>
      <c r="E317" s="95">
        <v>42</v>
      </c>
      <c r="F317" s="96" t="s">
        <v>431</v>
      </c>
      <c r="G317" s="21">
        <v>24</v>
      </c>
      <c r="H317" s="22">
        <v>20</v>
      </c>
      <c r="I317" s="23">
        <v>31.672999999999998</v>
      </c>
      <c r="J317" s="21">
        <v>124</v>
      </c>
      <c r="K317" s="24">
        <v>1</v>
      </c>
      <c r="L317" s="25">
        <v>58.746000000000002</v>
      </c>
      <c r="M317" s="26" t="s">
        <v>139</v>
      </c>
      <c r="N317" s="27" t="s">
        <v>159</v>
      </c>
      <c r="O317" s="24" t="s">
        <v>18</v>
      </c>
      <c r="P317" s="25" t="s">
        <v>404</v>
      </c>
    </row>
    <row r="318" spans="1:16" ht="27.6" customHeight="1">
      <c r="A318" s="21" t="s">
        <v>881</v>
      </c>
      <c r="B318" s="94">
        <v>13</v>
      </c>
      <c r="C318" s="17" t="s">
        <v>882</v>
      </c>
      <c r="D318" s="22" t="s">
        <v>153</v>
      </c>
      <c r="E318" s="95">
        <v>43</v>
      </c>
      <c r="F318" s="96" t="s">
        <v>432</v>
      </c>
      <c r="G318" s="21">
        <v>24</v>
      </c>
      <c r="H318" s="22">
        <v>20</v>
      </c>
      <c r="I318" s="23">
        <v>56.271000000000001</v>
      </c>
      <c r="J318" s="21">
        <v>124</v>
      </c>
      <c r="K318" s="24">
        <v>2</v>
      </c>
      <c r="L318" s="25">
        <v>4.7450000000000001</v>
      </c>
      <c r="M318" s="26" t="s">
        <v>139</v>
      </c>
      <c r="N318" s="27" t="s">
        <v>159</v>
      </c>
      <c r="O318" s="24" t="s">
        <v>18</v>
      </c>
      <c r="P318" s="25">
        <v>4</v>
      </c>
    </row>
    <row r="319" spans="1:16" ht="27.6" customHeight="1">
      <c r="A319" s="21" t="s">
        <v>881</v>
      </c>
      <c r="B319" s="94">
        <v>13</v>
      </c>
      <c r="C319" s="17" t="s">
        <v>882</v>
      </c>
      <c r="D319" s="22" t="s">
        <v>153</v>
      </c>
      <c r="E319" s="95">
        <v>44</v>
      </c>
      <c r="F319" s="96" t="s">
        <v>433</v>
      </c>
      <c r="G319" s="21">
        <v>24</v>
      </c>
      <c r="H319" s="22">
        <v>21</v>
      </c>
      <c r="I319" s="23">
        <v>29.768000000000001</v>
      </c>
      <c r="J319" s="21">
        <v>124</v>
      </c>
      <c r="K319" s="24">
        <v>2</v>
      </c>
      <c r="L319" s="25">
        <v>19.242999999999999</v>
      </c>
      <c r="M319" s="26" t="s">
        <v>130</v>
      </c>
      <c r="N319" s="27" t="s">
        <v>159</v>
      </c>
      <c r="O319" s="24" t="s">
        <v>18</v>
      </c>
      <c r="P319" s="25" t="s">
        <v>133</v>
      </c>
    </row>
    <row r="320" spans="1:16" ht="27.6" customHeight="1">
      <c r="A320" s="21" t="s">
        <v>881</v>
      </c>
      <c r="B320" s="94">
        <v>13</v>
      </c>
      <c r="C320" s="17" t="s">
        <v>882</v>
      </c>
      <c r="D320" s="22" t="s">
        <v>153</v>
      </c>
      <c r="E320" s="95">
        <v>49</v>
      </c>
      <c r="F320" s="96" t="s">
        <v>434</v>
      </c>
      <c r="G320" s="21">
        <v>24</v>
      </c>
      <c r="H320" s="22">
        <v>20</v>
      </c>
      <c r="I320" s="23">
        <v>35.884999999999998</v>
      </c>
      <c r="J320" s="21">
        <v>124</v>
      </c>
      <c r="K320" s="24">
        <v>4</v>
      </c>
      <c r="L320" s="25">
        <v>2.149</v>
      </c>
      <c r="M320" s="26" t="s">
        <v>139</v>
      </c>
      <c r="N320" s="27" t="s">
        <v>320</v>
      </c>
      <c r="O320" s="24" t="s">
        <v>18</v>
      </c>
      <c r="P320" s="25" t="s">
        <v>128</v>
      </c>
    </row>
    <row r="321" spans="1:16" ht="27.6" customHeight="1">
      <c r="A321" s="21" t="s">
        <v>881</v>
      </c>
      <c r="B321" s="94">
        <v>13</v>
      </c>
      <c r="C321" s="17" t="s">
        <v>882</v>
      </c>
      <c r="D321" s="22" t="s">
        <v>153</v>
      </c>
      <c r="E321" s="95">
        <v>50</v>
      </c>
      <c r="F321" s="96" t="s">
        <v>435</v>
      </c>
      <c r="G321" s="21">
        <v>24</v>
      </c>
      <c r="H321" s="22">
        <v>21</v>
      </c>
      <c r="I321" s="23">
        <v>5.8890000000000002</v>
      </c>
      <c r="J321" s="21">
        <v>124</v>
      </c>
      <c r="K321" s="24">
        <v>3</v>
      </c>
      <c r="L321" s="25">
        <v>43.844000000000001</v>
      </c>
      <c r="M321" s="26" t="s">
        <v>139</v>
      </c>
      <c r="N321" s="27" t="s">
        <v>174</v>
      </c>
      <c r="O321" s="24" t="s">
        <v>18</v>
      </c>
      <c r="P321" s="25" t="s">
        <v>15</v>
      </c>
    </row>
    <row r="322" spans="1:16" ht="27.6" customHeight="1">
      <c r="A322" s="21" t="s">
        <v>881</v>
      </c>
      <c r="B322" s="94">
        <v>13</v>
      </c>
      <c r="C322" s="17" t="s">
        <v>882</v>
      </c>
      <c r="D322" s="22" t="s">
        <v>153</v>
      </c>
      <c r="E322" s="95">
        <v>51</v>
      </c>
      <c r="F322" s="96" t="s">
        <v>436</v>
      </c>
      <c r="G322" s="21">
        <v>24</v>
      </c>
      <c r="H322" s="22">
        <v>20</v>
      </c>
      <c r="I322" s="23">
        <v>53.881999999999998</v>
      </c>
      <c r="J322" s="21">
        <v>124</v>
      </c>
      <c r="K322" s="24">
        <v>5</v>
      </c>
      <c r="L322" s="25">
        <v>6.1440000000000001</v>
      </c>
      <c r="M322" s="26" t="s">
        <v>167</v>
      </c>
      <c r="N322" s="27" t="s">
        <v>320</v>
      </c>
      <c r="O322" s="24" t="s">
        <v>18</v>
      </c>
      <c r="P322" s="25" t="s">
        <v>35</v>
      </c>
    </row>
    <row r="323" spans="1:16" ht="27.6" customHeight="1">
      <c r="A323" s="21" t="s">
        <v>881</v>
      </c>
      <c r="B323" s="94">
        <v>13</v>
      </c>
      <c r="C323" s="17" t="s">
        <v>882</v>
      </c>
      <c r="D323" s="22" t="s">
        <v>153</v>
      </c>
      <c r="E323" s="95">
        <v>52</v>
      </c>
      <c r="F323" s="96" t="s">
        <v>437</v>
      </c>
      <c r="G323" s="21">
        <v>24</v>
      </c>
      <c r="H323" s="22">
        <v>20</v>
      </c>
      <c r="I323" s="23">
        <v>44.582000000000001</v>
      </c>
      <c r="J323" s="21">
        <v>124</v>
      </c>
      <c r="K323" s="24">
        <v>5</v>
      </c>
      <c r="L323" s="25">
        <v>33.442</v>
      </c>
      <c r="M323" s="26" t="s">
        <v>167</v>
      </c>
      <c r="N323" s="27" t="s">
        <v>320</v>
      </c>
      <c r="O323" s="24" t="s">
        <v>18</v>
      </c>
      <c r="P323" s="25" t="s">
        <v>35</v>
      </c>
    </row>
    <row r="324" spans="1:16" ht="27.6" customHeight="1">
      <c r="A324" s="21" t="s">
        <v>881</v>
      </c>
      <c r="B324" s="94">
        <v>13</v>
      </c>
      <c r="C324" s="17" t="s">
        <v>882</v>
      </c>
      <c r="D324" s="22" t="s">
        <v>153</v>
      </c>
      <c r="E324" s="95">
        <v>53</v>
      </c>
      <c r="F324" s="96" t="s">
        <v>438</v>
      </c>
      <c r="G324" s="21">
        <v>24</v>
      </c>
      <c r="H324" s="22">
        <v>20</v>
      </c>
      <c r="I324" s="23">
        <v>21.283999999999999</v>
      </c>
      <c r="J324" s="21">
        <v>124</v>
      </c>
      <c r="K324" s="24">
        <v>6</v>
      </c>
      <c r="L324" s="23">
        <v>2.84</v>
      </c>
      <c r="M324" s="26" t="s">
        <v>167</v>
      </c>
      <c r="N324" s="27" t="s">
        <v>320</v>
      </c>
      <c r="O324" s="24" t="s">
        <v>18</v>
      </c>
      <c r="P324" s="25" t="s">
        <v>439</v>
      </c>
    </row>
    <row r="325" spans="1:16" ht="27.6" customHeight="1">
      <c r="A325" s="21" t="s">
        <v>881</v>
      </c>
      <c r="B325" s="94">
        <v>13</v>
      </c>
      <c r="C325" s="17" t="s">
        <v>882</v>
      </c>
      <c r="D325" s="22" t="s">
        <v>153</v>
      </c>
      <c r="E325" s="95">
        <v>62</v>
      </c>
      <c r="F325" s="96" t="s">
        <v>440</v>
      </c>
      <c r="G325" s="21">
        <v>24</v>
      </c>
      <c r="H325" s="22">
        <v>19</v>
      </c>
      <c r="I325" s="23">
        <v>41.02</v>
      </c>
      <c r="J325" s="21">
        <v>123</v>
      </c>
      <c r="K325" s="24">
        <v>56</v>
      </c>
      <c r="L325" s="25">
        <v>32.875999999999998</v>
      </c>
      <c r="M325" s="26" t="s">
        <v>167</v>
      </c>
      <c r="N325" s="27" t="s">
        <v>356</v>
      </c>
      <c r="O325" s="24" t="s">
        <v>18</v>
      </c>
      <c r="P325" s="25" t="s">
        <v>128</v>
      </c>
    </row>
    <row r="326" spans="1:16" ht="27.6" customHeight="1">
      <c r="A326" s="21" t="s">
        <v>881</v>
      </c>
      <c r="B326" s="94">
        <v>13</v>
      </c>
      <c r="C326" s="17" t="s">
        <v>882</v>
      </c>
      <c r="D326" s="22" t="s">
        <v>153</v>
      </c>
      <c r="E326" s="95">
        <v>63</v>
      </c>
      <c r="F326" s="96" t="s">
        <v>441</v>
      </c>
      <c r="G326" s="21">
        <v>24</v>
      </c>
      <c r="H326" s="22">
        <v>19</v>
      </c>
      <c r="I326" s="23">
        <v>56.417999999999999</v>
      </c>
      <c r="J326" s="21">
        <v>123</v>
      </c>
      <c r="K326" s="24">
        <v>56</v>
      </c>
      <c r="L326" s="25">
        <v>34.877000000000002</v>
      </c>
      <c r="M326" s="26" t="s">
        <v>167</v>
      </c>
      <c r="N326" s="27" t="s">
        <v>320</v>
      </c>
      <c r="O326" s="24" t="s">
        <v>18</v>
      </c>
      <c r="P326" s="25" t="s">
        <v>338</v>
      </c>
    </row>
    <row r="327" spans="1:16" ht="27.6" customHeight="1">
      <c r="A327" s="21" t="s">
        <v>881</v>
      </c>
      <c r="B327" s="94">
        <v>13</v>
      </c>
      <c r="C327" s="17" t="s">
        <v>882</v>
      </c>
      <c r="D327" s="22" t="s">
        <v>153</v>
      </c>
      <c r="E327" s="95">
        <v>64</v>
      </c>
      <c r="F327" s="96" t="s">
        <v>442</v>
      </c>
      <c r="G327" s="21">
        <v>24</v>
      </c>
      <c r="H327" s="22">
        <v>20</v>
      </c>
      <c r="I327" s="23">
        <v>54.512</v>
      </c>
      <c r="J327" s="21">
        <v>123</v>
      </c>
      <c r="K327" s="24">
        <v>56</v>
      </c>
      <c r="L327" s="25">
        <v>46.277000000000001</v>
      </c>
      <c r="M327" s="26" t="s">
        <v>167</v>
      </c>
      <c r="N327" s="27" t="s">
        <v>320</v>
      </c>
      <c r="O327" s="24" t="s">
        <v>18</v>
      </c>
      <c r="P327" s="25" t="s">
        <v>112</v>
      </c>
    </row>
    <row r="328" spans="1:16" ht="27.6" customHeight="1">
      <c r="A328" s="21" t="s">
        <v>881</v>
      </c>
      <c r="B328" s="94">
        <v>13</v>
      </c>
      <c r="C328" s="17" t="s">
        <v>882</v>
      </c>
      <c r="D328" s="22" t="s">
        <v>153</v>
      </c>
      <c r="E328" s="95">
        <v>65</v>
      </c>
      <c r="F328" s="96" t="s">
        <v>443</v>
      </c>
      <c r="G328" s="21">
        <v>24</v>
      </c>
      <c r="H328" s="22">
        <v>21</v>
      </c>
      <c r="I328" s="23">
        <v>32.107999999999997</v>
      </c>
      <c r="J328" s="21">
        <v>123</v>
      </c>
      <c r="K328" s="24">
        <v>56</v>
      </c>
      <c r="L328" s="25">
        <v>54.177</v>
      </c>
      <c r="M328" s="26" t="s">
        <v>167</v>
      </c>
      <c r="N328" s="27" t="s">
        <v>320</v>
      </c>
      <c r="O328" s="24" t="s">
        <v>18</v>
      </c>
      <c r="P328" s="25" t="s">
        <v>75</v>
      </c>
    </row>
    <row r="329" spans="1:16" ht="27.6" customHeight="1">
      <c r="A329" s="21" t="s">
        <v>881</v>
      </c>
      <c r="B329" s="94">
        <v>13</v>
      </c>
      <c r="C329" s="17" t="s">
        <v>882</v>
      </c>
      <c r="D329" s="22" t="s">
        <v>153</v>
      </c>
      <c r="E329" s="95">
        <v>67</v>
      </c>
      <c r="F329" s="96" t="s">
        <v>444</v>
      </c>
      <c r="G329" s="21">
        <v>24</v>
      </c>
      <c r="H329" s="22">
        <v>20</v>
      </c>
      <c r="I329" s="23">
        <v>10.775</v>
      </c>
      <c r="J329" s="21">
        <v>124</v>
      </c>
      <c r="K329" s="24">
        <v>1</v>
      </c>
      <c r="L329" s="25">
        <v>11.548999999999999</v>
      </c>
      <c r="M329" s="26" t="s">
        <v>139</v>
      </c>
      <c r="N329" s="27" t="s">
        <v>345</v>
      </c>
      <c r="O329" s="24" t="s">
        <v>18</v>
      </c>
      <c r="P329" s="25" t="s">
        <v>62</v>
      </c>
    </row>
    <row r="330" spans="1:16" ht="27.6" customHeight="1">
      <c r="A330" s="21" t="s">
        <v>881</v>
      </c>
      <c r="B330" s="94">
        <v>13</v>
      </c>
      <c r="C330" s="17" t="s">
        <v>882</v>
      </c>
      <c r="D330" s="22" t="s">
        <v>153</v>
      </c>
      <c r="E330" s="95">
        <v>68</v>
      </c>
      <c r="F330" s="96" t="s">
        <v>445</v>
      </c>
      <c r="G330" s="21">
        <v>24</v>
      </c>
      <c r="H330" s="22">
        <v>21</v>
      </c>
      <c r="I330" s="23">
        <v>46.566000000000003</v>
      </c>
      <c r="J330" s="21">
        <v>124</v>
      </c>
      <c r="K330" s="24">
        <v>1</v>
      </c>
      <c r="L330" s="25">
        <v>18.449000000000002</v>
      </c>
      <c r="M330" s="26" t="s">
        <v>130</v>
      </c>
      <c r="N330" s="27" t="s">
        <v>320</v>
      </c>
      <c r="O330" s="24" t="s">
        <v>18</v>
      </c>
      <c r="P330" s="25" t="s">
        <v>133</v>
      </c>
    </row>
    <row r="331" spans="1:16" ht="27.6" customHeight="1">
      <c r="A331" s="21" t="s">
        <v>881</v>
      </c>
      <c r="B331" s="94">
        <v>13</v>
      </c>
      <c r="C331" s="17" t="s">
        <v>882</v>
      </c>
      <c r="D331" s="22" t="s">
        <v>153</v>
      </c>
      <c r="E331" s="95">
        <v>71</v>
      </c>
      <c r="F331" s="96" t="s">
        <v>446</v>
      </c>
      <c r="G331" s="21">
        <v>24</v>
      </c>
      <c r="H331" s="22">
        <v>21</v>
      </c>
      <c r="I331" s="23">
        <v>52.165999999999997</v>
      </c>
      <c r="J331" s="21">
        <v>124</v>
      </c>
      <c r="K331" s="24">
        <v>2</v>
      </c>
      <c r="L331" s="23">
        <v>29.641999999999999</v>
      </c>
      <c r="M331" s="26" t="s">
        <v>167</v>
      </c>
      <c r="N331" s="27" t="s">
        <v>174</v>
      </c>
      <c r="O331" s="24" t="s">
        <v>18</v>
      </c>
      <c r="P331" s="25" t="s">
        <v>75</v>
      </c>
    </row>
    <row r="332" spans="1:16" ht="27.6" customHeight="1">
      <c r="A332" s="21" t="s">
        <v>881</v>
      </c>
      <c r="B332" s="94">
        <v>13</v>
      </c>
      <c r="C332" s="17" t="s">
        <v>882</v>
      </c>
      <c r="D332" s="22" t="s">
        <v>153</v>
      </c>
      <c r="E332" s="95">
        <v>72</v>
      </c>
      <c r="F332" s="96" t="s">
        <v>447</v>
      </c>
      <c r="G332" s="21">
        <v>24</v>
      </c>
      <c r="H332" s="22">
        <v>22</v>
      </c>
      <c r="I332" s="23">
        <v>10.768000000000001</v>
      </c>
      <c r="J332" s="21">
        <v>124</v>
      </c>
      <c r="K332" s="24">
        <v>0</v>
      </c>
      <c r="L332" s="23">
        <v>34.765000000000001</v>
      </c>
      <c r="M332" s="26" t="s">
        <v>167</v>
      </c>
      <c r="N332" s="27" t="s">
        <v>174</v>
      </c>
      <c r="O332" s="24" t="s">
        <v>18</v>
      </c>
      <c r="P332" s="25" t="s">
        <v>99</v>
      </c>
    </row>
    <row r="333" spans="1:16" ht="27.6" customHeight="1">
      <c r="A333" s="21" t="s">
        <v>881</v>
      </c>
      <c r="B333" s="94">
        <v>13</v>
      </c>
      <c r="C333" s="17" t="s">
        <v>882</v>
      </c>
      <c r="D333" s="22" t="s">
        <v>153</v>
      </c>
      <c r="E333" s="95">
        <v>73</v>
      </c>
      <c r="F333" s="96" t="s">
        <v>448</v>
      </c>
      <c r="G333" s="21">
        <v>24</v>
      </c>
      <c r="H333" s="22">
        <v>22</v>
      </c>
      <c r="I333" s="23">
        <v>12.903</v>
      </c>
      <c r="J333" s="21">
        <v>123</v>
      </c>
      <c r="K333" s="24">
        <v>59</v>
      </c>
      <c r="L333" s="25">
        <v>23.364999999999998</v>
      </c>
      <c r="M333" s="26" t="s">
        <v>167</v>
      </c>
      <c r="N333" s="27" t="s">
        <v>174</v>
      </c>
      <c r="O333" s="24" t="s">
        <v>18</v>
      </c>
      <c r="P333" s="25" t="s">
        <v>15</v>
      </c>
    </row>
    <row r="334" spans="1:16" ht="27.6" customHeight="1">
      <c r="A334" s="21" t="s">
        <v>881</v>
      </c>
      <c r="B334" s="94">
        <v>13</v>
      </c>
      <c r="C334" s="17" t="s">
        <v>882</v>
      </c>
      <c r="D334" s="22" t="s">
        <v>153</v>
      </c>
      <c r="E334" s="95">
        <v>74</v>
      </c>
      <c r="F334" s="96" t="s">
        <v>449</v>
      </c>
      <c r="G334" s="21">
        <v>24</v>
      </c>
      <c r="H334" s="22">
        <v>22</v>
      </c>
      <c r="I334" s="23">
        <v>16.902000000000001</v>
      </c>
      <c r="J334" s="21">
        <v>123</v>
      </c>
      <c r="K334" s="24">
        <v>58</v>
      </c>
      <c r="L334" s="23">
        <v>28.07</v>
      </c>
      <c r="M334" s="26" t="s">
        <v>167</v>
      </c>
      <c r="N334" s="27" t="s">
        <v>174</v>
      </c>
      <c r="O334" s="24" t="s">
        <v>18</v>
      </c>
      <c r="P334" s="25" t="s">
        <v>85</v>
      </c>
    </row>
    <row r="335" spans="1:16" ht="27.6" customHeight="1">
      <c r="A335" s="21" t="s">
        <v>881</v>
      </c>
      <c r="B335" s="94">
        <v>13</v>
      </c>
      <c r="C335" s="17" t="s">
        <v>882</v>
      </c>
      <c r="D335" s="22" t="s">
        <v>153</v>
      </c>
      <c r="E335" s="95">
        <v>75</v>
      </c>
      <c r="F335" s="96" t="s">
        <v>450</v>
      </c>
      <c r="G335" s="21">
        <v>24</v>
      </c>
      <c r="H335" s="22">
        <v>21</v>
      </c>
      <c r="I335" s="23">
        <v>33.508000000000003</v>
      </c>
      <c r="J335" s="21">
        <v>123</v>
      </c>
      <c r="K335" s="24">
        <v>57</v>
      </c>
      <c r="L335" s="25">
        <v>18.375</v>
      </c>
      <c r="M335" s="26" t="s">
        <v>167</v>
      </c>
      <c r="N335" s="27" t="s">
        <v>154</v>
      </c>
      <c r="O335" s="24" t="s">
        <v>18</v>
      </c>
      <c r="P335" s="25" t="s">
        <v>15</v>
      </c>
    </row>
    <row r="336" spans="1:16" ht="27.6" customHeight="1">
      <c r="A336" s="21" t="s">
        <v>881</v>
      </c>
      <c r="B336" s="94">
        <v>13</v>
      </c>
      <c r="C336" s="17" t="s">
        <v>882</v>
      </c>
      <c r="D336" s="22" t="s">
        <v>153</v>
      </c>
      <c r="E336" s="95">
        <v>110</v>
      </c>
      <c r="F336" s="96" t="s">
        <v>451</v>
      </c>
      <c r="G336" s="21">
        <v>24</v>
      </c>
      <c r="H336" s="22">
        <v>20</v>
      </c>
      <c r="I336" s="23">
        <v>9.4749999999999996</v>
      </c>
      <c r="J336" s="21">
        <v>124</v>
      </c>
      <c r="K336" s="24">
        <v>0</v>
      </c>
      <c r="L336" s="25">
        <v>32.853000000000002</v>
      </c>
      <c r="M336" s="26" t="s">
        <v>139</v>
      </c>
      <c r="N336" s="27" t="s">
        <v>345</v>
      </c>
      <c r="O336" s="24" t="s">
        <v>18</v>
      </c>
      <c r="P336" s="25" t="s">
        <v>133</v>
      </c>
    </row>
    <row r="337" spans="1:16" ht="27.6" customHeight="1">
      <c r="A337" s="21" t="s">
        <v>881</v>
      </c>
      <c r="B337" s="94">
        <v>13</v>
      </c>
      <c r="C337" s="17" t="s">
        <v>882</v>
      </c>
      <c r="D337" s="22" t="s">
        <v>153</v>
      </c>
      <c r="E337" s="95">
        <v>112</v>
      </c>
      <c r="F337" s="96" t="s">
        <v>452</v>
      </c>
      <c r="G337" s="21">
        <v>24</v>
      </c>
      <c r="H337" s="22">
        <v>20</v>
      </c>
      <c r="I337" s="23">
        <v>19.686</v>
      </c>
      <c r="J337" s="21">
        <v>124</v>
      </c>
      <c r="K337" s="24">
        <v>4</v>
      </c>
      <c r="L337" s="25">
        <v>14.747999999999999</v>
      </c>
      <c r="M337" s="26" t="s">
        <v>167</v>
      </c>
      <c r="N337" s="27" t="s">
        <v>345</v>
      </c>
      <c r="O337" s="24" t="s">
        <v>18</v>
      </c>
      <c r="P337" s="25" t="s">
        <v>35</v>
      </c>
    </row>
    <row r="338" spans="1:16" ht="27.6" customHeight="1" thickBot="1">
      <c r="A338" s="124" t="s">
        <v>881</v>
      </c>
      <c r="B338" s="97">
        <v>13</v>
      </c>
      <c r="C338" s="32" t="s">
        <v>882</v>
      </c>
      <c r="D338" s="57" t="s">
        <v>153</v>
      </c>
      <c r="E338" s="98">
        <v>116</v>
      </c>
      <c r="F338" s="99" t="s">
        <v>1588</v>
      </c>
      <c r="G338" s="124">
        <v>24</v>
      </c>
      <c r="H338" s="57">
        <v>22</v>
      </c>
      <c r="I338" s="119">
        <v>16.803999999999998</v>
      </c>
      <c r="J338" s="124">
        <v>123</v>
      </c>
      <c r="K338" s="37">
        <v>56</v>
      </c>
      <c r="L338" s="38">
        <v>59.777999999999999</v>
      </c>
      <c r="M338" s="35" t="s">
        <v>167</v>
      </c>
      <c r="N338" s="36" t="s">
        <v>174</v>
      </c>
      <c r="O338" s="37" t="s">
        <v>18</v>
      </c>
      <c r="P338" s="38" t="s">
        <v>85</v>
      </c>
    </row>
    <row r="339" spans="1:16" ht="27.6" customHeight="1" thickTop="1">
      <c r="A339" s="106" t="s">
        <v>884</v>
      </c>
      <c r="B339" s="570">
        <v>14</v>
      </c>
      <c r="C339" s="40" t="s">
        <v>885</v>
      </c>
      <c r="D339" s="41" t="s">
        <v>153</v>
      </c>
      <c r="E339" s="100">
        <v>46</v>
      </c>
      <c r="F339" s="101" t="s">
        <v>453</v>
      </c>
      <c r="G339" s="106">
        <v>24</v>
      </c>
      <c r="H339" s="41">
        <v>18</v>
      </c>
      <c r="I339" s="81">
        <v>28.992999999999999</v>
      </c>
      <c r="J339" s="106">
        <v>124</v>
      </c>
      <c r="K339" s="59">
        <v>3</v>
      </c>
      <c r="L339" s="60">
        <v>12.955</v>
      </c>
      <c r="M339" s="61" t="s">
        <v>139</v>
      </c>
      <c r="N339" s="62" t="s">
        <v>320</v>
      </c>
      <c r="O339" s="59" t="s">
        <v>18</v>
      </c>
      <c r="P339" s="60" t="s">
        <v>99</v>
      </c>
    </row>
    <row r="340" spans="1:16" ht="27.6" customHeight="1">
      <c r="A340" s="21" t="s">
        <v>884</v>
      </c>
      <c r="B340" s="94">
        <v>14</v>
      </c>
      <c r="C340" s="17" t="s">
        <v>885</v>
      </c>
      <c r="D340" s="22" t="s">
        <v>153</v>
      </c>
      <c r="E340" s="95">
        <v>47</v>
      </c>
      <c r="F340" s="96" t="s">
        <v>454</v>
      </c>
      <c r="G340" s="21">
        <v>24</v>
      </c>
      <c r="H340" s="22">
        <v>18</v>
      </c>
      <c r="I340" s="23">
        <v>52.591999999999999</v>
      </c>
      <c r="J340" s="21">
        <v>124</v>
      </c>
      <c r="K340" s="24">
        <v>4</v>
      </c>
      <c r="L340" s="23">
        <v>4.75</v>
      </c>
      <c r="M340" s="26" t="s">
        <v>167</v>
      </c>
      <c r="N340" s="27" t="s">
        <v>320</v>
      </c>
      <c r="O340" s="24" t="s">
        <v>18</v>
      </c>
      <c r="P340" s="25" t="s">
        <v>346</v>
      </c>
    </row>
    <row r="341" spans="1:16" ht="27.6" customHeight="1">
      <c r="A341" s="21" t="s">
        <v>884</v>
      </c>
      <c r="B341" s="94">
        <v>14</v>
      </c>
      <c r="C341" s="17" t="s">
        <v>885</v>
      </c>
      <c r="D341" s="22" t="s">
        <v>153</v>
      </c>
      <c r="E341" s="95">
        <v>54</v>
      </c>
      <c r="F341" s="96" t="s">
        <v>455</v>
      </c>
      <c r="G341" s="21">
        <v>24</v>
      </c>
      <c r="H341" s="22">
        <v>19</v>
      </c>
      <c r="I341" s="23">
        <v>19.187000000000001</v>
      </c>
      <c r="J341" s="21">
        <v>124</v>
      </c>
      <c r="K341" s="24">
        <v>6</v>
      </c>
      <c r="L341" s="25">
        <v>27.538</v>
      </c>
      <c r="M341" s="26" t="s">
        <v>139</v>
      </c>
      <c r="N341" s="27" t="s">
        <v>320</v>
      </c>
      <c r="O341" s="24" t="s">
        <v>18</v>
      </c>
      <c r="P341" s="25" t="s">
        <v>133</v>
      </c>
    </row>
    <row r="342" spans="1:16" ht="27.6" customHeight="1">
      <c r="A342" s="21" t="s">
        <v>884</v>
      </c>
      <c r="B342" s="94">
        <v>14</v>
      </c>
      <c r="C342" s="17" t="s">
        <v>885</v>
      </c>
      <c r="D342" s="22" t="s">
        <v>153</v>
      </c>
      <c r="E342" s="95">
        <v>76</v>
      </c>
      <c r="F342" s="96" t="s">
        <v>456</v>
      </c>
      <c r="G342" s="21">
        <v>24</v>
      </c>
      <c r="H342" s="22">
        <v>18</v>
      </c>
      <c r="I342" s="23">
        <v>42.19</v>
      </c>
      <c r="J342" s="21">
        <v>124</v>
      </c>
      <c r="K342" s="24">
        <v>6</v>
      </c>
      <c r="L342" s="25">
        <v>32.438000000000002</v>
      </c>
      <c r="M342" s="26" t="s">
        <v>139</v>
      </c>
      <c r="N342" s="27" t="s">
        <v>345</v>
      </c>
      <c r="O342" s="24" t="s">
        <v>18</v>
      </c>
      <c r="P342" s="25" t="s">
        <v>133</v>
      </c>
    </row>
    <row r="343" spans="1:16" ht="27.6" customHeight="1">
      <c r="A343" s="21" t="s">
        <v>884</v>
      </c>
      <c r="B343" s="94">
        <v>14</v>
      </c>
      <c r="C343" s="17" t="s">
        <v>885</v>
      </c>
      <c r="D343" s="22" t="s">
        <v>153</v>
      </c>
      <c r="E343" s="95">
        <v>77</v>
      </c>
      <c r="F343" s="96" t="s">
        <v>457</v>
      </c>
      <c r="G343" s="21">
        <v>24</v>
      </c>
      <c r="H343" s="22">
        <v>17</v>
      </c>
      <c r="I343" s="23">
        <v>25.899000000000001</v>
      </c>
      <c r="J343" s="21">
        <v>124</v>
      </c>
      <c r="K343" s="24">
        <v>7</v>
      </c>
      <c r="L343" s="25">
        <v>42.134</v>
      </c>
      <c r="M343" s="26" t="s">
        <v>130</v>
      </c>
      <c r="N343" s="27" t="s">
        <v>320</v>
      </c>
      <c r="O343" s="24" t="s">
        <v>18</v>
      </c>
      <c r="P343" s="25" t="s">
        <v>133</v>
      </c>
    </row>
    <row r="344" spans="1:16" ht="27.6" customHeight="1">
      <c r="A344" s="21" t="s">
        <v>884</v>
      </c>
      <c r="B344" s="94">
        <v>14</v>
      </c>
      <c r="C344" s="17" t="s">
        <v>885</v>
      </c>
      <c r="D344" s="22" t="s">
        <v>153</v>
      </c>
      <c r="E344" s="95">
        <v>78</v>
      </c>
      <c r="F344" s="96" t="s">
        <v>458</v>
      </c>
      <c r="G344" s="21">
        <v>24</v>
      </c>
      <c r="H344" s="22">
        <v>17</v>
      </c>
      <c r="I344" s="23">
        <v>5.3010000000000002</v>
      </c>
      <c r="J344" s="21">
        <v>124</v>
      </c>
      <c r="K344" s="24">
        <v>8</v>
      </c>
      <c r="L344" s="25">
        <v>33.628999999999998</v>
      </c>
      <c r="M344" s="26" t="s">
        <v>130</v>
      </c>
      <c r="N344" s="27" t="s">
        <v>320</v>
      </c>
      <c r="O344" s="24" t="s">
        <v>18</v>
      </c>
      <c r="P344" s="25" t="s">
        <v>128</v>
      </c>
    </row>
    <row r="345" spans="1:16" ht="27.6" customHeight="1">
      <c r="A345" s="21" t="s">
        <v>884</v>
      </c>
      <c r="B345" s="94">
        <v>14</v>
      </c>
      <c r="C345" s="17" t="s">
        <v>885</v>
      </c>
      <c r="D345" s="22" t="s">
        <v>153</v>
      </c>
      <c r="E345" s="95">
        <v>79</v>
      </c>
      <c r="F345" s="96" t="s">
        <v>459</v>
      </c>
      <c r="G345" s="21">
        <v>24</v>
      </c>
      <c r="H345" s="22">
        <v>17</v>
      </c>
      <c r="I345" s="23">
        <v>7.7009999999999996</v>
      </c>
      <c r="J345" s="21">
        <v>124</v>
      </c>
      <c r="K345" s="24">
        <v>8</v>
      </c>
      <c r="L345" s="25">
        <v>58.326999999999998</v>
      </c>
      <c r="M345" s="26" t="s">
        <v>167</v>
      </c>
      <c r="N345" s="27" t="s">
        <v>154</v>
      </c>
      <c r="O345" s="24" t="s">
        <v>18</v>
      </c>
      <c r="P345" s="25" t="s">
        <v>77</v>
      </c>
    </row>
    <row r="346" spans="1:16" ht="27.6" customHeight="1">
      <c r="A346" s="21" t="s">
        <v>884</v>
      </c>
      <c r="B346" s="94">
        <v>14</v>
      </c>
      <c r="C346" s="17" t="s">
        <v>885</v>
      </c>
      <c r="D346" s="22" t="s">
        <v>153</v>
      </c>
      <c r="E346" s="95">
        <v>80</v>
      </c>
      <c r="F346" s="96" t="s">
        <v>460</v>
      </c>
      <c r="G346" s="21">
        <v>24</v>
      </c>
      <c r="H346" s="22">
        <v>16</v>
      </c>
      <c r="I346" s="23">
        <v>28.404</v>
      </c>
      <c r="J346" s="21">
        <v>124</v>
      </c>
      <c r="K346" s="24">
        <v>9</v>
      </c>
      <c r="L346" s="25">
        <v>9.1280000000000001</v>
      </c>
      <c r="M346" s="26" t="s">
        <v>130</v>
      </c>
      <c r="N346" s="27" t="s">
        <v>174</v>
      </c>
      <c r="O346" s="24" t="s">
        <v>18</v>
      </c>
      <c r="P346" s="25" t="s">
        <v>133</v>
      </c>
    </row>
    <row r="347" spans="1:16" ht="27.6" customHeight="1">
      <c r="A347" s="21" t="s">
        <v>884</v>
      </c>
      <c r="B347" s="94">
        <v>14</v>
      </c>
      <c r="C347" s="17" t="s">
        <v>885</v>
      </c>
      <c r="D347" s="22" t="s">
        <v>153</v>
      </c>
      <c r="E347" s="95">
        <v>81</v>
      </c>
      <c r="F347" s="96" t="s">
        <v>461</v>
      </c>
      <c r="G347" s="21">
        <v>24</v>
      </c>
      <c r="H347" s="22">
        <v>16</v>
      </c>
      <c r="I347" s="23">
        <v>3.8079999999999998</v>
      </c>
      <c r="J347" s="21">
        <v>124</v>
      </c>
      <c r="K347" s="24">
        <v>8</v>
      </c>
      <c r="L347" s="25">
        <v>2.9329999999999998</v>
      </c>
      <c r="M347" s="26" t="s">
        <v>130</v>
      </c>
      <c r="N347" s="27" t="s">
        <v>320</v>
      </c>
      <c r="O347" s="24" t="s">
        <v>18</v>
      </c>
      <c r="P347" s="25" t="s">
        <v>128</v>
      </c>
    </row>
    <row r="348" spans="1:16" ht="27.6" customHeight="1">
      <c r="A348" s="21" t="s">
        <v>884</v>
      </c>
      <c r="B348" s="94">
        <v>14</v>
      </c>
      <c r="C348" s="17" t="s">
        <v>885</v>
      </c>
      <c r="D348" s="22" t="s">
        <v>153</v>
      </c>
      <c r="E348" s="95">
        <v>82</v>
      </c>
      <c r="F348" s="96" t="s">
        <v>462</v>
      </c>
      <c r="G348" s="21">
        <v>24</v>
      </c>
      <c r="H348" s="22">
        <v>15</v>
      </c>
      <c r="I348" s="23">
        <v>8.6129999999999995</v>
      </c>
      <c r="J348" s="21">
        <v>124</v>
      </c>
      <c r="K348" s="24">
        <v>6</v>
      </c>
      <c r="L348" s="25">
        <v>38.451999999999998</v>
      </c>
      <c r="M348" s="26" t="s">
        <v>130</v>
      </c>
      <c r="N348" s="27" t="s">
        <v>320</v>
      </c>
      <c r="O348" s="24" t="s">
        <v>18</v>
      </c>
      <c r="P348" s="25" t="s">
        <v>35</v>
      </c>
    </row>
    <row r="349" spans="1:16" ht="27.6" customHeight="1">
      <c r="A349" s="21" t="s">
        <v>884</v>
      </c>
      <c r="B349" s="94">
        <v>14</v>
      </c>
      <c r="C349" s="17" t="s">
        <v>885</v>
      </c>
      <c r="D349" s="22" t="s">
        <v>153</v>
      </c>
      <c r="E349" s="95">
        <v>83</v>
      </c>
      <c r="F349" s="96" t="s">
        <v>463</v>
      </c>
      <c r="G349" s="21">
        <v>24</v>
      </c>
      <c r="H349" s="22">
        <v>15</v>
      </c>
      <c r="I349" s="23">
        <v>32.31</v>
      </c>
      <c r="J349" s="21">
        <v>124</v>
      </c>
      <c r="K349" s="24">
        <v>5</v>
      </c>
      <c r="L349" s="23">
        <v>46.93</v>
      </c>
      <c r="M349" s="26" t="s">
        <v>130</v>
      </c>
      <c r="N349" s="27" t="s">
        <v>174</v>
      </c>
      <c r="O349" s="24" t="s">
        <v>18</v>
      </c>
      <c r="P349" s="25" t="s">
        <v>35</v>
      </c>
    </row>
    <row r="350" spans="1:16" ht="27.6" customHeight="1">
      <c r="A350" s="21" t="s">
        <v>884</v>
      </c>
      <c r="B350" s="94">
        <v>14</v>
      </c>
      <c r="C350" s="17" t="s">
        <v>885</v>
      </c>
      <c r="D350" s="22" t="s">
        <v>153</v>
      </c>
      <c r="E350" s="95">
        <v>84</v>
      </c>
      <c r="F350" s="96" t="s">
        <v>464</v>
      </c>
      <c r="G350" s="21">
        <v>24</v>
      </c>
      <c r="H350" s="22">
        <v>14</v>
      </c>
      <c r="I350" s="23">
        <v>50.415999999999997</v>
      </c>
      <c r="J350" s="21">
        <v>124</v>
      </c>
      <c r="K350" s="24">
        <v>6</v>
      </c>
      <c r="L350" s="25">
        <v>16.597000000000001</v>
      </c>
      <c r="M350" s="26" t="s">
        <v>167</v>
      </c>
      <c r="N350" s="27" t="s">
        <v>154</v>
      </c>
      <c r="O350" s="24" t="s">
        <v>18</v>
      </c>
      <c r="P350" s="25" t="s">
        <v>107</v>
      </c>
    </row>
    <row r="351" spans="1:16" ht="27.6" customHeight="1">
      <c r="A351" s="21" t="s">
        <v>884</v>
      </c>
      <c r="B351" s="94">
        <v>14</v>
      </c>
      <c r="C351" s="17" t="s">
        <v>885</v>
      </c>
      <c r="D351" s="22" t="s">
        <v>153</v>
      </c>
      <c r="E351" s="95">
        <v>87</v>
      </c>
      <c r="F351" s="96" t="s">
        <v>465</v>
      </c>
      <c r="G351" s="21">
        <v>24</v>
      </c>
      <c r="H351" s="22">
        <v>18</v>
      </c>
      <c r="I351" s="23">
        <v>46.789000000000001</v>
      </c>
      <c r="J351" s="21">
        <v>124</v>
      </c>
      <c r="K351" s="24">
        <v>6</v>
      </c>
      <c r="L351" s="25">
        <v>38.238</v>
      </c>
      <c r="M351" s="26" t="s">
        <v>139</v>
      </c>
      <c r="N351" s="27" t="s">
        <v>320</v>
      </c>
      <c r="O351" s="24" t="s">
        <v>18</v>
      </c>
      <c r="P351" s="25" t="s">
        <v>128</v>
      </c>
    </row>
    <row r="352" spans="1:16" ht="27.6" customHeight="1">
      <c r="A352" s="21" t="s">
        <v>884</v>
      </c>
      <c r="B352" s="94">
        <v>14</v>
      </c>
      <c r="C352" s="17" t="s">
        <v>885</v>
      </c>
      <c r="D352" s="22" t="s">
        <v>153</v>
      </c>
      <c r="E352" s="95">
        <v>88</v>
      </c>
      <c r="F352" s="96" t="s">
        <v>466</v>
      </c>
      <c r="G352" s="21">
        <v>24</v>
      </c>
      <c r="H352" s="22">
        <v>18</v>
      </c>
      <c r="I352" s="23">
        <v>15.493</v>
      </c>
      <c r="J352" s="21">
        <v>124</v>
      </c>
      <c r="K352" s="24">
        <v>7</v>
      </c>
      <c r="L352" s="25">
        <v>24.434999999999999</v>
      </c>
      <c r="M352" s="26" t="s">
        <v>139</v>
      </c>
      <c r="N352" s="27" t="s">
        <v>320</v>
      </c>
      <c r="O352" s="24" t="s">
        <v>18</v>
      </c>
      <c r="P352" s="25" t="s">
        <v>128</v>
      </c>
    </row>
    <row r="353" spans="1:16" ht="27.6" customHeight="1">
      <c r="A353" s="21" t="s">
        <v>884</v>
      </c>
      <c r="B353" s="94">
        <v>14</v>
      </c>
      <c r="C353" s="17" t="s">
        <v>885</v>
      </c>
      <c r="D353" s="22" t="s">
        <v>153</v>
      </c>
      <c r="E353" s="95">
        <v>89</v>
      </c>
      <c r="F353" s="96" t="s">
        <v>467</v>
      </c>
      <c r="G353" s="21">
        <v>24</v>
      </c>
      <c r="H353" s="22">
        <v>17</v>
      </c>
      <c r="I353" s="23">
        <v>36.295000000000002</v>
      </c>
      <c r="J353" s="21">
        <v>124</v>
      </c>
      <c r="K353" s="24">
        <v>8</v>
      </c>
      <c r="L353" s="23">
        <v>32.43</v>
      </c>
      <c r="M353" s="26" t="s">
        <v>139</v>
      </c>
      <c r="N353" s="27" t="s">
        <v>345</v>
      </c>
      <c r="O353" s="24" t="s">
        <v>18</v>
      </c>
      <c r="P353" s="25" t="s">
        <v>404</v>
      </c>
    </row>
    <row r="354" spans="1:16" ht="27.6" customHeight="1">
      <c r="A354" s="21" t="s">
        <v>884</v>
      </c>
      <c r="B354" s="94">
        <v>14</v>
      </c>
      <c r="C354" s="17" t="s">
        <v>885</v>
      </c>
      <c r="D354" s="22" t="s">
        <v>153</v>
      </c>
      <c r="E354" s="95">
        <v>90</v>
      </c>
      <c r="F354" s="96" t="s">
        <v>468</v>
      </c>
      <c r="G354" s="21">
        <v>24</v>
      </c>
      <c r="H354" s="22">
        <v>18</v>
      </c>
      <c r="I354" s="23">
        <v>2.1850000000000001</v>
      </c>
      <c r="J354" s="21">
        <v>124</v>
      </c>
      <c r="K354" s="24">
        <v>9</v>
      </c>
      <c r="L354" s="25">
        <v>17.13</v>
      </c>
      <c r="M354" s="26" t="s">
        <v>139</v>
      </c>
      <c r="N354" s="27" t="s">
        <v>320</v>
      </c>
      <c r="O354" s="24" t="s">
        <v>18</v>
      </c>
      <c r="P354" s="25" t="s">
        <v>35</v>
      </c>
    </row>
    <row r="355" spans="1:16" ht="27.6" customHeight="1">
      <c r="A355" s="21" t="s">
        <v>884</v>
      </c>
      <c r="B355" s="94">
        <v>14</v>
      </c>
      <c r="C355" s="17" t="s">
        <v>885</v>
      </c>
      <c r="D355" s="22" t="s">
        <v>153</v>
      </c>
      <c r="E355" s="95">
        <v>93</v>
      </c>
      <c r="F355" s="96" t="s">
        <v>469</v>
      </c>
      <c r="G355" s="21">
        <v>24</v>
      </c>
      <c r="H355" s="22">
        <v>16</v>
      </c>
      <c r="I355" s="23">
        <v>34.6</v>
      </c>
      <c r="J355" s="21">
        <v>124</v>
      </c>
      <c r="K355" s="24">
        <v>9</v>
      </c>
      <c r="L355" s="25">
        <v>24.728000000000002</v>
      </c>
      <c r="M355" s="26" t="s">
        <v>167</v>
      </c>
      <c r="N355" s="27" t="s">
        <v>154</v>
      </c>
      <c r="O355" s="24" t="s">
        <v>18</v>
      </c>
      <c r="P355" s="25" t="s">
        <v>85</v>
      </c>
    </row>
    <row r="356" spans="1:16" ht="27.6" customHeight="1">
      <c r="A356" s="21" t="s">
        <v>884</v>
      </c>
      <c r="B356" s="94">
        <v>14</v>
      </c>
      <c r="C356" s="17" t="s">
        <v>885</v>
      </c>
      <c r="D356" s="22" t="s">
        <v>153</v>
      </c>
      <c r="E356" s="95">
        <v>109</v>
      </c>
      <c r="F356" s="96" t="s">
        <v>470</v>
      </c>
      <c r="G356" s="21">
        <v>24</v>
      </c>
      <c r="H356" s="22">
        <v>17</v>
      </c>
      <c r="I356" s="23">
        <v>53.097000000000001</v>
      </c>
      <c r="J356" s="21">
        <v>124</v>
      </c>
      <c r="K356" s="24">
        <v>4</v>
      </c>
      <c r="L356" s="25">
        <v>38.548000000000002</v>
      </c>
      <c r="M356" s="26" t="s">
        <v>139</v>
      </c>
      <c r="N356" s="27" t="s">
        <v>320</v>
      </c>
      <c r="O356" s="24" t="s">
        <v>18</v>
      </c>
      <c r="P356" s="25" t="s">
        <v>112</v>
      </c>
    </row>
    <row r="357" spans="1:16" ht="27.6" customHeight="1">
      <c r="A357" s="21" t="s">
        <v>884</v>
      </c>
      <c r="B357" s="94">
        <v>14</v>
      </c>
      <c r="C357" s="17" t="s">
        <v>885</v>
      </c>
      <c r="D357" s="22" t="s">
        <v>153</v>
      </c>
      <c r="E357" s="95">
        <v>114</v>
      </c>
      <c r="F357" s="96" t="s">
        <v>471</v>
      </c>
      <c r="G357" s="21">
        <v>24</v>
      </c>
      <c r="H357" s="22">
        <v>17</v>
      </c>
      <c r="I357" s="23">
        <v>12.9</v>
      </c>
      <c r="J357" s="21">
        <v>124</v>
      </c>
      <c r="K357" s="24">
        <v>5</v>
      </c>
      <c r="L357" s="25">
        <v>27.945</v>
      </c>
      <c r="M357" s="26" t="s">
        <v>139</v>
      </c>
      <c r="N357" s="27" t="s">
        <v>174</v>
      </c>
      <c r="O357" s="24" t="s">
        <v>18</v>
      </c>
      <c r="P357" s="25" t="s">
        <v>75</v>
      </c>
    </row>
    <row r="358" spans="1:16" ht="27.6" customHeight="1" thickBot="1">
      <c r="A358" s="107" t="s">
        <v>884</v>
      </c>
      <c r="B358" s="102">
        <v>14</v>
      </c>
      <c r="C358" s="135" t="s">
        <v>885</v>
      </c>
      <c r="D358" s="108" t="s">
        <v>153</v>
      </c>
      <c r="E358" s="103">
        <v>115</v>
      </c>
      <c r="F358" s="104" t="s">
        <v>472</v>
      </c>
      <c r="G358" s="107">
        <v>24</v>
      </c>
      <c r="H358" s="108">
        <v>17</v>
      </c>
      <c r="I358" s="109">
        <v>11.8</v>
      </c>
      <c r="J358" s="107">
        <v>124</v>
      </c>
      <c r="K358" s="86">
        <v>6</v>
      </c>
      <c r="L358" s="109">
        <v>30.04</v>
      </c>
      <c r="M358" s="87" t="s">
        <v>139</v>
      </c>
      <c r="N358" s="88" t="s">
        <v>320</v>
      </c>
      <c r="O358" s="86" t="s">
        <v>18</v>
      </c>
      <c r="P358" s="85" t="s">
        <v>85</v>
      </c>
    </row>
    <row r="359" spans="1:16" ht="27.6" customHeight="1" thickTop="1">
      <c r="A359" s="45" t="s">
        <v>886</v>
      </c>
      <c r="B359" s="92">
        <v>15</v>
      </c>
      <c r="C359" s="47" t="s">
        <v>887</v>
      </c>
      <c r="D359" s="121" t="s">
        <v>153</v>
      </c>
      <c r="E359" s="93">
        <v>4</v>
      </c>
      <c r="F359" s="105" t="s">
        <v>473</v>
      </c>
      <c r="G359" s="120">
        <v>24</v>
      </c>
      <c r="H359" s="121">
        <v>16</v>
      </c>
      <c r="I359" s="122">
        <v>52.4</v>
      </c>
      <c r="J359" s="120">
        <v>124</v>
      </c>
      <c r="K359" s="51">
        <v>0</v>
      </c>
      <c r="L359" s="52">
        <v>27.635000000000002</v>
      </c>
      <c r="M359" s="53" t="s">
        <v>139</v>
      </c>
      <c r="N359" s="54" t="s">
        <v>320</v>
      </c>
      <c r="O359" s="51" t="s">
        <v>18</v>
      </c>
      <c r="P359" s="52" t="s">
        <v>128</v>
      </c>
    </row>
    <row r="360" spans="1:16" ht="27.6" customHeight="1">
      <c r="A360" s="15" t="s">
        <v>886</v>
      </c>
      <c r="B360" s="94">
        <v>15</v>
      </c>
      <c r="C360" s="17" t="s">
        <v>887</v>
      </c>
      <c r="D360" s="22" t="s">
        <v>153</v>
      </c>
      <c r="E360" s="95">
        <v>5</v>
      </c>
      <c r="F360" s="96" t="s">
        <v>474</v>
      </c>
      <c r="G360" s="21">
        <v>24</v>
      </c>
      <c r="H360" s="22">
        <v>16</v>
      </c>
      <c r="I360" s="23">
        <v>44.301000000000002</v>
      </c>
      <c r="J360" s="21">
        <v>124</v>
      </c>
      <c r="K360" s="24">
        <v>0</v>
      </c>
      <c r="L360" s="23">
        <v>58.93</v>
      </c>
      <c r="M360" s="26" t="s">
        <v>139</v>
      </c>
      <c r="N360" s="27" t="s">
        <v>320</v>
      </c>
      <c r="O360" s="24" t="s">
        <v>18</v>
      </c>
      <c r="P360" s="25" t="s">
        <v>338</v>
      </c>
    </row>
    <row r="361" spans="1:16" ht="27.6" customHeight="1">
      <c r="A361" s="15" t="s">
        <v>886</v>
      </c>
      <c r="B361" s="94">
        <v>15</v>
      </c>
      <c r="C361" s="17" t="s">
        <v>887</v>
      </c>
      <c r="D361" s="22" t="s">
        <v>153</v>
      </c>
      <c r="E361" s="95">
        <v>19</v>
      </c>
      <c r="F361" s="96" t="s">
        <v>475</v>
      </c>
      <c r="G361" s="21">
        <v>24</v>
      </c>
      <c r="H361" s="22">
        <v>15</v>
      </c>
      <c r="I361" s="23">
        <v>47.506</v>
      </c>
      <c r="J361" s="21">
        <v>123</v>
      </c>
      <c r="K361" s="24">
        <v>59</v>
      </c>
      <c r="L361" s="25">
        <v>52.636000000000003</v>
      </c>
      <c r="M361" s="26" t="s">
        <v>139</v>
      </c>
      <c r="N361" s="27" t="s">
        <v>159</v>
      </c>
      <c r="O361" s="24" t="s">
        <v>18</v>
      </c>
      <c r="P361" s="25" t="s">
        <v>338</v>
      </c>
    </row>
    <row r="362" spans="1:16" ht="27.6" customHeight="1">
      <c r="A362" s="15" t="s">
        <v>886</v>
      </c>
      <c r="B362" s="94">
        <v>15</v>
      </c>
      <c r="C362" s="17" t="s">
        <v>887</v>
      </c>
      <c r="D362" s="22" t="s">
        <v>153</v>
      </c>
      <c r="E362" s="95">
        <v>20</v>
      </c>
      <c r="F362" s="96" t="s">
        <v>476</v>
      </c>
      <c r="G362" s="21">
        <v>24</v>
      </c>
      <c r="H362" s="22">
        <v>16</v>
      </c>
      <c r="I362" s="23">
        <v>6.3040000000000003</v>
      </c>
      <c r="J362" s="21">
        <v>123</v>
      </c>
      <c r="K362" s="24">
        <v>59</v>
      </c>
      <c r="L362" s="25">
        <v>49.337000000000003</v>
      </c>
      <c r="M362" s="26" t="s">
        <v>139</v>
      </c>
      <c r="N362" s="27" t="s">
        <v>320</v>
      </c>
      <c r="O362" s="24" t="s">
        <v>18</v>
      </c>
      <c r="P362" s="25" t="s">
        <v>338</v>
      </c>
    </row>
    <row r="363" spans="1:16" ht="27.6" customHeight="1">
      <c r="A363" s="15" t="s">
        <v>886</v>
      </c>
      <c r="B363" s="94">
        <v>15</v>
      </c>
      <c r="C363" s="17" t="s">
        <v>887</v>
      </c>
      <c r="D363" s="22" t="s">
        <v>153</v>
      </c>
      <c r="E363" s="95">
        <v>22</v>
      </c>
      <c r="F363" s="96" t="s">
        <v>477</v>
      </c>
      <c r="G363" s="21">
        <v>24</v>
      </c>
      <c r="H363" s="22">
        <v>18</v>
      </c>
      <c r="I363" s="23">
        <v>9.3919999999999995</v>
      </c>
      <c r="J363" s="21">
        <v>123</v>
      </c>
      <c r="K363" s="24">
        <v>59</v>
      </c>
      <c r="L363" s="25">
        <v>59.143999999999998</v>
      </c>
      <c r="M363" s="26" t="s">
        <v>139</v>
      </c>
      <c r="N363" s="27" t="s">
        <v>356</v>
      </c>
      <c r="O363" s="24" t="s">
        <v>18</v>
      </c>
      <c r="P363" s="25" t="s">
        <v>338</v>
      </c>
    </row>
    <row r="364" spans="1:16" ht="27.6" customHeight="1">
      <c r="A364" s="15" t="s">
        <v>886</v>
      </c>
      <c r="B364" s="94">
        <v>15</v>
      </c>
      <c r="C364" s="17" t="s">
        <v>887</v>
      </c>
      <c r="D364" s="22" t="s">
        <v>153</v>
      </c>
      <c r="E364" s="95">
        <v>23</v>
      </c>
      <c r="F364" s="96" t="s">
        <v>478</v>
      </c>
      <c r="G364" s="21">
        <v>24</v>
      </c>
      <c r="H364" s="22">
        <v>19</v>
      </c>
      <c r="I364" s="23">
        <v>26.981999999999999</v>
      </c>
      <c r="J364" s="21">
        <v>124</v>
      </c>
      <c r="K364" s="24">
        <v>0</v>
      </c>
      <c r="L364" s="25">
        <v>17.245999999999999</v>
      </c>
      <c r="M364" s="26" t="s">
        <v>167</v>
      </c>
      <c r="N364" s="27" t="s">
        <v>345</v>
      </c>
      <c r="O364" s="24" t="s">
        <v>18</v>
      </c>
      <c r="P364" s="25" t="s">
        <v>133</v>
      </c>
    </row>
    <row r="365" spans="1:16" ht="27.6" customHeight="1">
      <c r="A365" s="15" t="s">
        <v>886</v>
      </c>
      <c r="B365" s="94">
        <v>15</v>
      </c>
      <c r="C365" s="17" t="s">
        <v>887</v>
      </c>
      <c r="D365" s="22" t="s">
        <v>153</v>
      </c>
      <c r="E365" s="95">
        <v>24</v>
      </c>
      <c r="F365" s="96" t="s">
        <v>479</v>
      </c>
      <c r="G365" s="21">
        <v>24</v>
      </c>
      <c r="H365" s="22">
        <v>19</v>
      </c>
      <c r="I365" s="23">
        <v>14.585000000000001</v>
      </c>
      <c r="J365" s="21">
        <v>124</v>
      </c>
      <c r="K365" s="24">
        <v>1</v>
      </c>
      <c r="L365" s="25">
        <v>0.53700000000000003</v>
      </c>
      <c r="M365" s="26" t="s">
        <v>167</v>
      </c>
      <c r="N365" s="27" t="s">
        <v>356</v>
      </c>
      <c r="O365" s="24" t="s">
        <v>18</v>
      </c>
      <c r="P365" s="25" t="s">
        <v>133</v>
      </c>
    </row>
    <row r="366" spans="1:16" ht="27.6" customHeight="1">
      <c r="A366" s="15" t="s">
        <v>886</v>
      </c>
      <c r="B366" s="94">
        <v>15</v>
      </c>
      <c r="C366" s="17" t="s">
        <v>887</v>
      </c>
      <c r="D366" s="22" t="s">
        <v>153</v>
      </c>
      <c r="E366" s="95">
        <v>25</v>
      </c>
      <c r="F366" s="96" t="s">
        <v>480</v>
      </c>
      <c r="G366" s="21">
        <v>24</v>
      </c>
      <c r="H366" s="22">
        <v>19</v>
      </c>
      <c r="I366" s="23">
        <v>31.081</v>
      </c>
      <c r="J366" s="21">
        <v>124</v>
      </c>
      <c r="K366" s="24">
        <v>0</v>
      </c>
      <c r="L366" s="25">
        <v>51.045000000000002</v>
      </c>
      <c r="M366" s="26" t="s">
        <v>167</v>
      </c>
      <c r="N366" s="27" t="s">
        <v>345</v>
      </c>
      <c r="O366" s="24" t="s">
        <v>18</v>
      </c>
      <c r="P366" s="25">
        <v>4</v>
      </c>
    </row>
    <row r="367" spans="1:16" ht="27.6" customHeight="1">
      <c r="A367" s="15" t="s">
        <v>886</v>
      </c>
      <c r="B367" s="94">
        <v>15</v>
      </c>
      <c r="C367" s="17" t="s">
        <v>887</v>
      </c>
      <c r="D367" s="22" t="s">
        <v>153</v>
      </c>
      <c r="E367" s="95">
        <v>37</v>
      </c>
      <c r="F367" s="96" t="s">
        <v>481</v>
      </c>
      <c r="G367" s="21">
        <v>24</v>
      </c>
      <c r="H367" s="22">
        <v>18</v>
      </c>
      <c r="I367" s="23">
        <v>0.13300000000000001</v>
      </c>
      <c r="J367" s="21">
        <v>123</v>
      </c>
      <c r="K367" s="24">
        <v>56</v>
      </c>
      <c r="L367" s="25">
        <v>57.872999999999998</v>
      </c>
      <c r="M367" s="26" t="s">
        <v>139</v>
      </c>
      <c r="N367" s="27" t="s">
        <v>356</v>
      </c>
      <c r="O367" s="24" t="s">
        <v>18</v>
      </c>
      <c r="P367" s="25" t="s">
        <v>99</v>
      </c>
    </row>
    <row r="368" spans="1:16" ht="27.6" customHeight="1">
      <c r="A368" s="15" t="s">
        <v>886</v>
      </c>
      <c r="B368" s="94">
        <v>15</v>
      </c>
      <c r="C368" s="17" t="s">
        <v>887</v>
      </c>
      <c r="D368" s="22" t="s">
        <v>153</v>
      </c>
      <c r="E368" s="95">
        <v>38</v>
      </c>
      <c r="F368" s="96" t="s">
        <v>482</v>
      </c>
      <c r="G368" s="21">
        <v>24</v>
      </c>
      <c r="H368" s="22">
        <v>17</v>
      </c>
      <c r="I368" s="23">
        <v>4.3250000000000002</v>
      </c>
      <c r="J368" s="21">
        <v>123</v>
      </c>
      <c r="K368" s="24">
        <v>57</v>
      </c>
      <c r="L368" s="25">
        <v>47.526000000000003</v>
      </c>
      <c r="M368" s="26" t="s">
        <v>139</v>
      </c>
      <c r="N368" s="27" t="s">
        <v>345</v>
      </c>
      <c r="O368" s="24" t="s">
        <v>18</v>
      </c>
      <c r="P368" s="25" t="s">
        <v>404</v>
      </c>
    </row>
    <row r="369" spans="1:16" ht="27.6" customHeight="1">
      <c r="A369" s="15" t="s">
        <v>886</v>
      </c>
      <c r="B369" s="94">
        <v>15</v>
      </c>
      <c r="C369" s="17" t="s">
        <v>887</v>
      </c>
      <c r="D369" s="22" t="s">
        <v>153</v>
      </c>
      <c r="E369" s="95">
        <v>39</v>
      </c>
      <c r="F369" s="96" t="s">
        <v>483</v>
      </c>
      <c r="G369" s="21">
        <v>24</v>
      </c>
      <c r="H369" s="22">
        <v>18</v>
      </c>
      <c r="I369" s="23">
        <v>5.593</v>
      </c>
      <c r="J369" s="21">
        <v>124</v>
      </c>
      <c r="K369" s="24">
        <v>0</v>
      </c>
      <c r="L369" s="25">
        <v>54.938000000000002</v>
      </c>
      <c r="M369" s="26" t="s">
        <v>139</v>
      </c>
      <c r="N369" s="27" t="s">
        <v>320</v>
      </c>
      <c r="O369" s="24" t="s">
        <v>18</v>
      </c>
      <c r="P369" s="25" t="s">
        <v>88</v>
      </c>
    </row>
    <row r="370" spans="1:16" ht="27.6" customHeight="1">
      <c r="A370" s="15" t="s">
        <v>886</v>
      </c>
      <c r="B370" s="94">
        <v>15</v>
      </c>
      <c r="C370" s="17" t="s">
        <v>887</v>
      </c>
      <c r="D370" s="22" t="s">
        <v>153</v>
      </c>
      <c r="E370" s="95">
        <v>40</v>
      </c>
      <c r="F370" s="96" t="s">
        <v>484</v>
      </c>
      <c r="G370" s="21">
        <v>24</v>
      </c>
      <c r="H370" s="22">
        <v>18</v>
      </c>
      <c r="I370" s="23">
        <v>49.188000000000002</v>
      </c>
      <c r="J370" s="21">
        <v>124</v>
      </c>
      <c r="K370" s="24">
        <v>1</v>
      </c>
      <c r="L370" s="25">
        <v>19.036000000000001</v>
      </c>
      <c r="M370" s="26" t="s">
        <v>139</v>
      </c>
      <c r="N370" s="27" t="s">
        <v>356</v>
      </c>
      <c r="O370" s="24" t="s">
        <v>18</v>
      </c>
      <c r="P370" s="25" t="s">
        <v>96</v>
      </c>
    </row>
    <row r="371" spans="1:16" ht="27.6" customHeight="1">
      <c r="A371" s="15" t="s">
        <v>886</v>
      </c>
      <c r="B371" s="94">
        <v>15</v>
      </c>
      <c r="C371" s="17" t="s">
        <v>887</v>
      </c>
      <c r="D371" s="22" t="s">
        <v>153</v>
      </c>
      <c r="E371" s="95">
        <v>41</v>
      </c>
      <c r="F371" s="96" t="s">
        <v>485</v>
      </c>
      <c r="G371" s="21">
        <v>24</v>
      </c>
      <c r="H371" s="22">
        <v>19</v>
      </c>
      <c r="I371" s="23">
        <v>1.9870000000000001</v>
      </c>
      <c r="J371" s="21">
        <v>124</v>
      </c>
      <c r="K371" s="24">
        <v>1</v>
      </c>
      <c r="L371" s="25">
        <v>13.436</v>
      </c>
      <c r="M371" s="26" t="s">
        <v>139</v>
      </c>
      <c r="N371" s="27" t="s">
        <v>356</v>
      </c>
      <c r="O371" s="24" t="s">
        <v>18</v>
      </c>
      <c r="P371" s="25" t="s">
        <v>128</v>
      </c>
    </row>
    <row r="372" spans="1:16" ht="27.6" customHeight="1">
      <c r="A372" s="15" t="s">
        <v>886</v>
      </c>
      <c r="B372" s="94">
        <v>15</v>
      </c>
      <c r="C372" s="17" t="s">
        <v>887</v>
      </c>
      <c r="D372" s="22" t="s">
        <v>153</v>
      </c>
      <c r="E372" s="95">
        <v>58</v>
      </c>
      <c r="F372" s="96" t="s">
        <v>486</v>
      </c>
      <c r="G372" s="21">
        <v>24</v>
      </c>
      <c r="H372" s="22">
        <v>17</v>
      </c>
      <c r="I372" s="23">
        <v>30.137</v>
      </c>
      <c r="J372" s="21">
        <v>123</v>
      </c>
      <c r="K372" s="24">
        <v>56</v>
      </c>
      <c r="L372" s="25">
        <v>12.074999999999999</v>
      </c>
      <c r="M372" s="26" t="s">
        <v>139</v>
      </c>
      <c r="N372" s="27" t="s">
        <v>356</v>
      </c>
      <c r="O372" s="24" t="s">
        <v>18</v>
      </c>
      <c r="P372" s="25" t="s">
        <v>112</v>
      </c>
    </row>
    <row r="373" spans="1:16" ht="27.6" customHeight="1">
      <c r="A373" s="15" t="s">
        <v>886</v>
      </c>
      <c r="B373" s="94">
        <v>15</v>
      </c>
      <c r="C373" s="17" t="s">
        <v>887</v>
      </c>
      <c r="D373" s="22" t="s">
        <v>153</v>
      </c>
      <c r="E373" s="95">
        <v>59</v>
      </c>
      <c r="F373" s="96" t="s">
        <v>487</v>
      </c>
      <c r="G373" s="21">
        <v>24</v>
      </c>
      <c r="H373" s="22">
        <v>18</v>
      </c>
      <c r="I373" s="23">
        <v>7.6319999999999997</v>
      </c>
      <c r="J373" s="21">
        <v>123</v>
      </c>
      <c r="K373" s="24">
        <v>56</v>
      </c>
      <c r="L373" s="25">
        <v>1.177</v>
      </c>
      <c r="M373" s="26" t="s">
        <v>139</v>
      </c>
      <c r="N373" s="27" t="s">
        <v>345</v>
      </c>
      <c r="O373" s="24" t="s">
        <v>18</v>
      </c>
      <c r="P373" s="25" t="s">
        <v>35</v>
      </c>
    </row>
    <row r="374" spans="1:16" ht="27.6" customHeight="1">
      <c r="A374" s="15" t="s">
        <v>886</v>
      </c>
      <c r="B374" s="94">
        <v>15</v>
      </c>
      <c r="C374" s="17" t="s">
        <v>887</v>
      </c>
      <c r="D374" s="22" t="s">
        <v>153</v>
      </c>
      <c r="E374" s="95">
        <v>60</v>
      </c>
      <c r="F374" s="96" t="s">
        <v>488</v>
      </c>
      <c r="G374" s="21">
        <v>24</v>
      </c>
      <c r="H374" s="22">
        <v>18</v>
      </c>
      <c r="I374" s="23">
        <v>15.632</v>
      </c>
      <c r="J374" s="21">
        <v>123</v>
      </c>
      <c r="K374" s="24">
        <v>55</v>
      </c>
      <c r="L374" s="25">
        <v>51.277000000000001</v>
      </c>
      <c r="M374" s="26" t="s">
        <v>139</v>
      </c>
      <c r="N374" s="27" t="s">
        <v>345</v>
      </c>
      <c r="O374" s="24" t="s">
        <v>18</v>
      </c>
      <c r="P374" s="25" t="s">
        <v>96</v>
      </c>
    </row>
    <row r="375" spans="1:16" ht="27.6" customHeight="1">
      <c r="A375" s="15" t="s">
        <v>886</v>
      </c>
      <c r="B375" s="94">
        <v>15</v>
      </c>
      <c r="C375" s="17" t="s">
        <v>887</v>
      </c>
      <c r="D375" s="22" t="s">
        <v>153</v>
      </c>
      <c r="E375" s="95">
        <v>61</v>
      </c>
      <c r="F375" s="96" t="s">
        <v>489</v>
      </c>
      <c r="G375" s="21">
        <v>24</v>
      </c>
      <c r="H375" s="22">
        <v>18</v>
      </c>
      <c r="I375" s="23">
        <v>42.328000000000003</v>
      </c>
      <c r="J375" s="21">
        <v>123</v>
      </c>
      <c r="K375" s="24">
        <v>55</v>
      </c>
      <c r="L375" s="25">
        <v>32.878999999999998</v>
      </c>
      <c r="M375" s="26" t="s">
        <v>130</v>
      </c>
      <c r="N375" s="27" t="s">
        <v>490</v>
      </c>
      <c r="O375" s="24" t="s">
        <v>18</v>
      </c>
      <c r="P375" s="25">
        <v>2</v>
      </c>
    </row>
    <row r="376" spans="1:16" ht="27.6" customHeight="1">
      <c r="A376" s="15" t="s">
        <v>886</v>
      </c>
      <c r="B376" s="94">
        <v>15</v>
      </c>
      <c r="C376" s="17" t="s">
        <v>887</v>
      </c>
      <c r="D376" s="22" t="s">
        <v>153</v>
      </c>
      <c r="E376" s="95">
        <v>66</v>
      </c>
      <c r="F376" s="96" t="s">
        <v>491</v>
      </c>
      <c r="G376" s="21">
        <v>24</v>
      </c>
      <c r="H376" s="22">
        <v>19</v>
      </c>
      <c r="I376" s="23">
        <v>33.305</v>
      </c>
      <c r="J376" s="21">
        <v>123</v>
      </c>
      <c r="K376" s="24">
        <v>58</v>
      </c>
      <c r="L376" s="25">
        <v>47.021000000000001</v>
      </c>
      <c r="M376" s="26" t="s">
        <v>167</v>
      </c>
      <c r="N376" s="27" t="s">
        <v>159</v>
      </c>
      <c r="O376" s="24" t="s">
        <v>18</v>
      </c>
      <c r="P376" s="25" t="s">
        <v>128</v>
      </c>
    </row>
    <row r="377" spans="1:16" ht="27.6" customHeight="1">
      <c r="A377" s="15" t="s">
        <v>886</v>
      </c>
      <c r="B377" s="94">
        <v>15</v>
      </c>
      <c r="C377" s="17" t="s">
        <v>887</v>
      </c>
      <c r="D377" s="22" t="s">
        <v>153</v>
      </c>
      <c r="E377" s="95">
        <v>104</v>
      </c>
      <c r="F377" s="96" t="s">
        <v>492</v>
      </c>
      <c r="G377" s="21">
        <v>24</v>
      </c>
      <c r="H377" s="22">
        <v>15</v>
      </c>
      <c r="I377" s="23">
        <v>51.610999999999997</v>
      </c>
      <c r="J377" s="21">
        <v>123</v>
      </c>
      <c r="K377" s="24">
        <v>56</v>
      </c>
      <c r="L377" s="25">
        <v>17.952999999999999</v>
      </c>
      <c r="M377" s="26" t="s">
        <v>139</v>
      </c>
      <c r="N377" s="27" t="s">
        <v>320</v>
      </c>
      <c r="O377" s="24" t="s">
        <v>18</v>
      </c>
      <c r="P377" s="25" t="s">
        <v>128</v>
      </c>
    </row>
    <row r="378" spans="1:16" ht="27.6" customHeight="1">
      <c r="A378" s="15" t="s">
        <v>886</v>
      </c>
      <c r="B378" s="94">
        <v>15</v>
      </c>
      <c r="C378" s="17" t="s">
        <v>887</v>
      </c>
      <c r="D378" s="22" t="s">
        <v>153</v>
      </c>
      <c r="E378" s="95">
        <v>106</v>
      </c>
      <c r="F378" s="96" t="s">
        <v>493</v>
      </c>
      <c r="G378" s="21">
        <v>24</v>
      </c>
      <c r="H378" s="22">
        <v>16</v>
      </c>
      <c r="I378" s="23">
        <v>33.502000000000002</v>
      </c>
      <c r="J378" s="21">
        <v>123</v>
      </c>
      <c r="K378" s="24">
        <v>59</v>
      </c>
      <c r="L378" s="25">
        <v>2.64</v>
      </c>
      <c r="M378" s="26" t="s">
        <v>139</v>
      </c>
      <c r="N378" s="27" t="s">
        <v>320</v>
      </c>
      <c r="O378" s="24" t="s">
        <v>18</v>
      </c>
      <c r="P378" s="25" t="s">
        <v>35</v>
      </c>
    </row>
    <row r="379" spans="1:16" ht="27.6" customHeight="1">
      <c r="A379" s="15" t="s">
        <v>886</v>
      </c>
      <c r="B379" s="94">
        <v>15</v>
      </c>
      <c r="C379" s="17" t="s">
        <v>887</v>
      </c>
      <c r="D379" s="22" t="s">
        <v>153</v>
      </c>
      <c r="E379" s="95">
        <v>107</v>
      </c>
      <c r="F379" s="96" t="s">
        <v>494</v>
      </c>
      <c r="G379" s="21">
        <v>24</v>
      </c>
      <c r="H379" s="22">
        <v>18</v>
      </c>
      <c r="I379" s="23">
        <v>18.606000000000002</v>
      </c>
      <c r="J379" s="21">
        <v>123</v>
      </c>
      <c r="K379" s="24">
        <v>58</v>
      </c>
      <c r="L379" s="25">
        <v>7.1980000000000004</v>
      </c>
      <c r="M379" s="26" t="s">
        <v>139</v>
      </c>
      <c r="N379" s="27" t="s">
        <v>345</v>
      </c>
      <c r="O379" s="24" t="s">
        <v>18</v>
      </c>
      <c r="P379" s="25" t="s">
        <v>96</v>
      </c>
    </row>
    <row r="380" spans="1:16" ht="27.6" customHeight="1">
      <c r="A380" s="15" t="s">
        <v>886</v>
      </c>
      <c r="B380" s="94">
        <v>15</v>
      </c>
      <c r="C380" s="17" t="s">
        <v>887</v>
      </c>
      <c r="D380" s="22" t="s">
        <v>153</v>
      </c>
      <c r="E380" s="95">
        <v>108</v>
      </c>
      <c r="F380" s="96" t="s">
        <v>495</v>
      </c>
      <c r="G380" s="21">
        <v>24</v>
      </c>
      <c r="H380" s="22">
        <v>19</v>
      </c>
      <c r="I380" s="23">
        <v>2.7250000000000001</v>
      </c>
      <c r="J380" s="21">
        <v>123</v>
      </c>
      <c r="K380" s="24">
        <v>56</v>
      </c>
      <c r="L380" s="25">
        <v>37.274000000000001</v>
      </c>
      <c r="M380" s="26" t="s">
        <v>139</v>
      </c>
      <c r="N380" s="27" t="s">
        <v>496</v>
      </c>
      <c r="O380" s="24" t="s">
        <v>18</v>
      </c>
      <c r="P380" s="25" t="s">
        <v>133</v>
      </c>
    </row>
    <row r="381" spans="1:16" ht="27.6" customHeight="1">
      <c r="A381" s="15" t="s">
        <v>886</v>
      </c>
      <c r="B381" s="94">
        <v>15</v>
      </c>
      <c r="C381" s="17" t="s">
        <v>887</v>
      </c>
      <c r="D381" s="22" t="s">
        <v>153</v>
      </c>
      <c r="E381" s="95">
        <v>111</v>
      </c>
      <c r="F381" s="96" t="s">
        <v>497</v>
      </c>
      <c r="G381" s="21">
        <v>24</v>
      </c>
      <c r="H381" s="22">
        <v>18</v>
      </c>
      <c r="I381" s="23">
        <v>55.188000000000002</v>
      </c>
      <c r="J381" s="21">
        <v>124</v>
      </c>
      <c r="K381" s="24">
        <v>1</v>
      </c>
      <c r="L381" s="25">
        <v>12.236000000000001</v>
      </c>
      <c r="M381" s="26" t="s">
        <v>139</v>
      </c>
      <c r="N381" s="27" t="s">
        <v>345</v>
      </c>
      <c r="O381" s="24" t="s">
        <v>18</v>
      </c>
      <c r="P381" s="25" t="s">
        <v>346</v>
      </c>
    </row>
    <row r="382" spans="1:16" ht="27.6" customHeight="1" thickBot="1">
      <c r="A382" s="30" t="s">
        <v>886</v>
      </c>
      <c r="B382" s="97">
        <v>15</v>
      </c>
      <c r="C382" s="32" t="s">
        <v>887</v>
      </c>
      <c r="D382" s="57" t="s">
        <v>153</v>
      </c>
      <c r="E382" s="98">
        <v>113</v>
      </c>
      <c r="F382" s="99" t="s">
        <v>498</v>
      </c>
      <c r="G382" s="124">
        <v>24</v>
      </c>
      <c r="H382" s="57">
        <v>16</v>
      </c>
      <c r="I382" s="119">
        <v>21.611000000000001</v>
      </c>
      <c r="J382" s="124">
        <v>123</v>
      </c>
      <c r="K382" s="37">
        <v>55</v>
      </c>
      <c r="L382" s="38">
        <v>3.0609999999999999</v>
      </c>
      <c r="M382" s="35" t="s">
        <v>139</v>
      </c>
      <c r="N382" s="36" t="s">
        <v>159</v>
      </c>
      <c r="O382" s="37" t="s">
        <v>18</v>
      </c>
      <c r="P382" s="38" t="s">
        <v>404</v>
      </c>
    </row>
    <row r="383" spans="1:16" ht="27.6" customHeight="1" thickTop="1">
      <c r="A383" s="90" t="s">
        <v>888</v>
      </c>
      <c r="B383" s="570">
        <v>16</v>
      </c>
      <c r="C383" s="40" t="s">
        <v>499</v>
      </c>
      <c r="D383" s="41" t="s">
        <v>153</v>
      </c>
      <c r="E383" s="100">
        <v>1</v>
      </c>
      <c r="F383" s="101" t="s">
        <v>500</v>
      </c>
      <c r="G383" s="106">
        <v>24</v>
      </c>
      <c r="H383" s="41">
        <v>15</v>
      </c>
      <c r="I383" s="81">
        <v>50.406999999999996</v>
      </c>
      <c r="J383" s="106">
        <v>124</v>
      </c>
      <c r="K383" s="59">
        <v>1</v>
      </c>
      <c r="L383" s="60">
        <v>48.026000000000003</v>
      </c>
      <c r="M383" s="61" t="s">
        <v>139</v>
      </c>
      <c r="N383" s="62" t="s">
        <v>320</v>
      </c>
      <c r="O383" s="59" t="s">
        <v>18</v>
      </c>
      <c r="P383" s="60" t="s">
        <v>501</v>
      </c>
    </row>
    <row r="384" spans="1:16" ht="27.6" customHeight="1">
      <c r="A384" s="15" t="s">
        <v>888</v>
      </c>
      <c r="B384" s="94">
        <v>16</v>
      </c>
      <c r="C384" s="17" t="s">
        <v>499</v>
      </c>
      <c r="D384" s="22" t="s">
        <v>153</v>
      </c>
      <c r="E384" s="95">
        <v>2</v>
      </c>
      <c r="F384" s="96" t="s">
        <v>502</v>
      </c>
      <c r="G384" s="21">
        <v>24</v>
      </c>
      <c r="H384" s="22">
        <v>16</v>
      </c>
      <c r="I384" s="23">
        <v>6.0000000000000001E-3</v>
      </c>
      <c r="J384" s="21">
        <v>124</v>
      </c>
      <c r="K384" s="24">
        <v>2</v>
      </c>
      <c r="L384" s="25">
        <v>5.0250000000000004</v>
      </c>
      <c r="M384" s="26" t="s">
        <v>139</v>
      </c>
      <c r="N384" s="27" t="s">
        <v>174</v>
      </c>
      <c r="O384" s="24" t="s">
        <v>18</v>
      </c>
      <c r="P384" s="25" t="s">
        <v>112</v>
      </c>
    </row>
    <row r="385" spans="1:16" ht="27.6" customHeight="1">
      <c r="A385" s="15" t="s">
        <v>888</v>
      </c>
      <c r="B385" s="94">
        <v>16</v>
      </c>
      <c r="C385" s="17" t="s">
        <v>499</v>
      </c>
      <c r="D385" s="22" t="s">
        <v>153</v>
      </c>
      <c r="E385" s="95">
        <v>3</v>
      </c>
      <c r="F385" s="96" t="s">
        <v>503</v>
      </c>
      <c r="G385" s="21">
        <v>24</v>
      </c>
      <c r="H385" s="22">
        <v>16</v>
      </c>
      <c r="I385" s="23">
        <v>26.204000000000001</v>
      </c>
      <c r="J385" s="21">
        <v>124</v>
      </c>
      <c r="K385" s="24">
        <v>2</v>
      </c>
      <c r="L385" s="25">
        <v>14.724</v>
      </c>
      <c r="M385" s="26" t="s">
        <v>139</v>
      </c>
      <c r="N385" s="27" t="s">
        <v>174</v>
      </c>
      <c r="O385" s="24" t="s">
        <v>18</v>
      </c>
      <c r="P385" s="25" t="s">
        <v>73</v>
      </c>
    </row>
    <row r="386" spans="1:16" ht="27.6" customHeight="1">
      <c r="A386" s="15" t="s">
        <v>888</v>
      </c>
      <c r="B386" s="94">
        <v>16</v>
      </c>
      <c r="C386" s="17" t="s">
        <v>499</v>
      </c>
      <c r="D386" s="22" t="s">
        <v>153</v>
      </c>
      <c r="E386" s="95">
        <v>6</v>
      </c>
      <c r="F386" s="96" t="s">
        <v>504</v>
      </c>
      <c r="G386" s="21">
        <v>24</v>
      </c>
      <c r="H386" s="22">
        <v>15</v>
      </c>
      <c r="I386" s="23">
        <v>1.8109999999999999</v>
      </c>
      <c r="J386" s="21">
        <v>123</v>
      </c>
      <c r="K386" s="24">
        <v>59</v>
      </c>
      <c r="L386" s="25">
        <v>16.838999999999999</v>
      </c>
      <c r="M386" s="26" t="s">
        <v>139</v>
      </c>
      <c r="N386" s="27" t="s">
        <v>174</v>
      </c>
      <c r="O386" s="24" t="s">
        <v>18</v>
      </c>
      <c r="P386" s="25" t="s">
        <v>112</v>
      </c>
    </row>
    <row r="387" spans="1:16" ht="27.6" customHeight="1">
      <c r="A387" s="15" t="s">
        <v>888</v>
      </c>
      <c r="B387" s="94">
        <v>16</v>
      </c>
      <c r="C387" s="17" t="s">
        <v>499</v>
      </c>
      <c r="D387" s="22" t="s">
        <v>153</v>
      </c>
      <c r="E387" s="95">
        <v>7</v>
      </c>
      <c r="F387" s="96" t="s">
        <v>505</v>
      </c>
      <c r="G387" s="21">
        <v>24</v>
      </c>
      <c r="H387" s="22">
        <v>14</v>
      </c>
      <c r="I387" s="23">
        <v>5.8170000000000002</v>
      </c>
      <c r="J387" s="21">
        <v>123</v>
      </c>
      <c r="K387" s="24">
        <v>59</v>
      </c>
      <c r="L387" s="25">
        <v>36.735999999999997</v>
      </c>
      <c r="M387" s="26" t="s">
        <v>130</v>
      </c>
      <c r="N387" s="27" t="s">
        <v>159</v>
      </c>
      <c r="O387" s="24" t="s">
        <v>18</v>
      </c>
      <c r="P387" s="25" t="s">
        <v>128</v>
      </c>
    </row>
    <row r="388" spans="1:16" ht="27.6" customHeight="1">
      <c r="A388" s="15" t="s">
        <v>888</v>
      </c>
      <c r="B388" s="94">
        <v>16</v>
      </c>
      <c r="C388" s="17" t="s">
        <v>499</v>
      </c>
      <c r="D388" s="22" t="s">
        <v>153</v>
      </c>
      <c r="E388" s="95">
        <v>8</v>
      </c>
      <c r="F388" s="96" t="s">
        <v>506</v>
      </c>
      <c r="G388" s="21">
        <v>24</v>
      </c>
      <c r="H388" s="22">
        <v>13</v>
      </c>
      <c r="I388" s="23">
        <v>30.122</v>
      </c>
      <c r="J388" s="21">
        <v>123</v>
      </c>
      <c r="K388" s="24">
        <v>59</v>
      </c>
      <c r="L388" s="25">
        <v>56.133000000000003</v>
      </c>
      <c r="M388" s="26" t="s">
        <v>130</v>
      </c>
      <c r="N388" s="27" t="s">
        <v>320</v>
      </c>
      <c r="O388" s="24" t="s">
        <v>18</v>
      </c>
      <c r="P388" s="25" t="s">
        <v>128</v>
      </c>
    </row>
    <row r="389" spans="1:16" ht="27.6" customHeight="1">
      <c r="A389" s="15" t="s">
        <v>888</v>
      </c>
      <c r="B389" s="94">
        <v>16</v>
      </c>
      <c r="C389" s="17" t="s">
        <v>499</v>
      </c>
      <c r="D389" s="22" t="s">
        <v>153</v>
      </c>
      <c r="E389" s="95">
        <v>9</v>
      </c>
      <c r="F389" s="96" t="s">
        <v>507</v>
      </c>
      <c r="G389" s="21">
        <v>24</v>
      </c>
      <c r="H389" s="22">
        <v>12</v>
      </c>
      <c r="I389" s="23">
        <v>57.926000000000002</v>
      </c>
      <c r="J389" s="21">
        <v>124</v>
      </c>
      <c r="K389" s="24">
        <v>0</v>
      </c>
      <c r="L389" s="25">
        <v>29.831</v>
      </c>
      <c r="M389" s="26" t="s">
        <v>130</v>
      </c>
      <c r="N389" s="27" t="s">
        <v>159</v>
      </c>
      <c r="O389" s="24" t="s">
        <v>18</v>
      </c>
      <c r="P389" s="25" t="s">
        <v>338</v>
      </c>
    </row>
    <row r="390" spans="1:16" ht="27.6" customHeight="1">
      <c r="A390" s="15" t="s">
        <v>888</v>
      </c>
      <c r="B390" s="94">
        <v>16</v>
      </c>
      <c r="C390" s="17" t="s">
        <v>499</v>
      </c>
      <c r="D390" s="22" t="s">
        <v>153</v>
      </c>
      <c r="E390" s="95">
        <v>10</v>
      </c>
      <c r="F390" s="96" t="s">
        <v>508</v>
      </c>
      <c r="G390" s="21">
        <v>24</v>
      </c>
      <c r="H390" s="22">
        <v>13</v>
      </c>
      <c r="I390" s="23">
        <v>53.319000000000003</v>
      </c>
      <c r="J390" s="21">
        <v>124</v>
      </c>
      <c r="K390" s="24">
        <v>2</v>
      </c>
      <c r="L390" s="25">
        <v>4.7240000000000002</v>
      </c>
      <c r="M390" s="26" t="s">
        <v>130</v>
      </c>
      <c r="N390" s="27" t="s">
        <v>320</v>
      </c>
      <c r="O390" s="24" t="s">
        <v>18</v>
      </c>
      <c r="P390" s="25" t="s">
        <v>338</v>
      </c>
    </row>
    <row r="391" spans="1:16" ht="27.6" customHeight="1">
      <c r="A391" s="15" t="s">
        <v>888</v>
      </c>
      <c r="B391" s="94">
        <v>16</v>
      </c>
      <c r="C391" s="17" t="s">
        <v>499</v>
      </c>
      <c r="D391" s="22" t="s">
        <v>153</v>
      </c>
      <c r="E391" s="95">
        <v>11</v>
      </c>
      <c r="F391" s="96" t="s">
        <v>509</v>
      </c>
      <c r="G391" s="21">
        <v>24</v>
      </c>
      <c r="H391" s="22">
        <v>15</v>
      </c>
      <c r="I391" s="23">
        <v>3.4119999999999999</v>
      </c>
      <c r="J391" s="21">
        <v>124</v>
      </c>
      <c r="K391" s="24">
        <v>1</v>
      </c>
      <c r="L391" s="25">
        <v>38.228000000000002</v>
      </c>
      <c r="M391" s="26" t="s">
        <v>130</v>
      </c>
      <c r="N391" s="27" t="s">
        <v>174</v>
      </c>
      <c r="O391" s="24" t="s">
        <v>18</v>
      </c>
      <c r="P391" s="25" t="s">
        <v>35</v>
      </c>
    </row>
    <row r="392" spans="1:16" ht="27.6" customHeight="1">
      <c r="A392" s="15" t="s">
        <v>888</v>
      </c>
      <c r="B392" s="94">
        <v>16</v>
      </c>
      <c r="C392" s="17" t="s">
        <v>499</v>
      </c>
      <c r="D392" s="22" t="s">
        <v>153</v>
      </c>
      <c r="E392" s="95">
        <v>12</v>
      </c>
      <c r="F392" s="96" t="s">
        <v>510</v>
      </c>
      <c r="G392" s="21">
        <v>24</v>
      </c>
      <c r="H392" s="22">
        <v>14</v>
      </c>
      <c r="I392" s="23">
        <v>38.517000000000003</v>
      </c>
      <c r="J392" s="21">
        <v>123</v>
      </c>
      <c r="K392" s="24">
        <v>57</v>
      </c>
      <c r="L392" s="25">
        <v>10.749000000000001</v>
      </c>
      <c r="M392" s="26" t="s">
        <v>139</v>
      </c>
      <c r="N392" s="27" t="s">
        <v>159</v>
      </c>
      <c r="O392" s="24" t="s">
        <v>18</v>
      </c>
      <c r="P392" s="25" t="s">
        <v>338</v>
      </c>
    </row>
    <row r="393" spans="1:16" ht="27.6" customHeight="1">
      <c r="A393" s="15" t="s">
        <v>888</v>
      </c>
      <c r="B393" s="94">
        <v>16</v>
      </c>
      <c r="C393" s="17" t="s">
        <v>499</v>
      </c>
      <c r="D393" s="22" t="s">
        <v>153</v>
      </c>
      <c r="E393" s="95">
        <v>13</v>
      </c>
      <c r="F393" s="96" t="s">
        <v>511</v>
      </c>
      <c r="G393" s="21">
        <v>24</v>
      </c>
      <c r="H393" s="22">
        <v>14</v>
      </c>
      <c r="I393" s="23">
        <v>30.518000000000001</v>
      </c>
      <c r="J393" s="21">
        <v>123</v>
      </c>
      <c r="K393" s="24">
        <v>55</v>
      </c>
      <c r="L393" s="25">
        <v>48.555</v>
      </c>
      <c r="M393" s="26" t="s">
        <v>139</v>
      </c>
      <c r="N393" s="27" t="s">
        <v>159</v>
      </c>
      <c r="O393" s="24" t="s">
        <v>18</v>
      </c>
      <c r="P393" s="25" t="s">
        <v>338</v>
      </c>
    </row>
    <row r="394" spans="1:16" ht="27.6" customHeight="1">
      <c r="A394" s="15" t="s">
        <v>888</v>
      </c>
      <c r="B394" s="94">
        <v>16</v>
      </c>
      <c r="C394" s="17" t="s">
        <v>499</v>
      </c>
      <c r="D394" s="22" t="s">
        <v>153</v>
      </c>
      <c r="E394" s="95">
        <v>14</v>
      </c>
      <c r="F394" s="96" t="s">
        <v>512</v>
      </c>
      <c r="G394" s="21">
        <v>24</v>
      </c>
      <c r="H394" s="22">
        <v>13</v>
      </c>
      <c r="I394" s="23">
        <v>57.722999999999999</v>
      </c>
      <c r="J394" s="21">
        <v>123</v>
      </c>
      <c r="K394" s="24">
        <v>56</v>
      </c>
      <c r="L394" s="25">
        <v>8.9529999999999994</v>
      </c>
      <c r="M394" s="26" t="s">
        <v>139</v>
      </c>
      <c r="N394" s="27" t="s">
        <v>345</v>
      </c>
      <c r="O394" s="24" t="s">
        <v>18</v>
      </c>
      <c r="P394" s="25" t="s">
        <v>128</v>
      </c>
    </row>
    <row r="395" spans="1:16" ht="27.6" customHeight="1">
      <c r="A395" s="15" t="s">
        <v>888</v>
      </c>
      <c r="B395" s="94">
        <v>16</v>
      </c>
      <c r="C395" s="17" t="s">
        <v>499</v>
      </c>
      <c r="D395" s="22" t="s">
        <v>153</v>
      </c>
      <c r="E395" s="95">
        <v>15</v>
      </c>
      <c r="F395" s="96" t="s">
        <v>513</v>
      </c>
      <c r="G395" s="21">
        <v>24</v>
      </c>
      <c r="H395" s="22">
        <v>13</v>
      </c>
      <c r="I395" s="23">
        <v>27.026</v>
      </c>
      <c r="J395" s="21">
        <v>123</v>
      </c>
      <c r="K395" s="24">
        <v>56</v>
      </c>
      <c r="L395" s="25">
        <v>2.3519999999999999</v>
      </c>
      <c r="M395" s="26" t="s">
        <v>139</v>
      </c>
      <c r="N395" s="27" t="s">
        <v>320</v>
      </c>
      <c r="O395" s="24" t="s">
        <v>18</v>
      </c>
      <c r="P395" s="25" t="s">
        <v>35</v>
      </c>
    </row>
    <row r="396" spans="1:16" ht="27.6" customHeight="1">
      <c r="A396" s="15" t="s">
        <v>888</v>
      </c>
      <c r="B396" s="94">
        <v>16</v>
      </c>
      <c r="C396" s="17" t="s">
        <v>499</v>
      </c>
      <c r="D396" s="22" t="s">
        <v>153</v>
      </c>
      <c r="E396" s="95">
        <v>16</v>
      </c>
      <c r="F396" s="96" t="s">
        <v>514</v>
      </c>
      <c r="G396" s="21">
        <v>24</v>
      </c>
      <c r="H396" s="22">
        <v>12</v>
      </c>
      <c r="I396" s="23">
        <v>59.930999999999997</v>
      </c>
      <c r="J396" s="21">
        <v>123</v>
      </c>
      <c r="K396" s="24">
        <v>54</v>
      </c>
      <c r="L396" s="25">
        <v>55.356999999999999</v>
      </c>
      <c r="M396" s="26" t="s">
        <v>130</v>
      </c>
      <c r="N396" s="27" t="s">
        <v>174</v>
      </c>
      <c r="O396" s="24" t="s">
        <v>18</v>
      </c>
      <c r="P396" s="25" t="s">
        <v>35</v>
      </c>
    </row>
    <row r="397" spans="1:16" ht="27.6" customHeight="1">
      <c r="A397" s="15" t="s">
        <v>888</v>
      </c>
      <c r="B397" s="94">
        <v>16</v>
      </c>
      <c r="C397" s="17" t="s">
        <v>499</v>
      </c>
      <c r="D397" s="22" t="s">
        <v>153</v>
      </c>
      <c r="E397" s="95">
        <v>17</v>
      </c>
      <c r="F397" s="96" t="s">
        <v>515</v>
      </c>
      <c r="G397" s="21">
        <v>24</v>
      </c>
      <c r="H397" s="22">
        <v>12</v>
      </c>
      <c r="I397" s="23">
        <v>56.430999999999997</v>
      </c>
      <c r="J397" s="21">
        <v>123</v>
      </c>
      <c r="K397" s="24">
        <v>55</v>
      </c>
      <c r="L397" s="25">
        <v>7.4560000000000004</v>
      </c>
      <c r="M397" s="26" t="s">
        <v>130</v>
      </c>
      <c r="N397" s="27" t="s">
        <v>320</v>
      </c>
      <c r="O397" s="24" t="s">
        <v>18</v>
      </c>
      <c r="P397" s="25" t="s">
        <v>338</v>
      </c>
    </row>
    <row r="398" spans="1:16" ht="27.6" customHeight="1">
      <c r="A398" s="15" t="s">
        <v>888</v>
      </c>
      <c r="B398" s="94">
        <v>16</v>
      </c>
      <c r="C398" s="17" t="s">
        <v>499</v>
      </c>
      <c r="D398" s="22" t="s">
        <v>153</v>
      </c>
      <c r="E398" s="95">
        <v>45</v>
      </c>
      <c r="F398" s="96" t="s">
        <v>516</v>
      </c>
      <c r="G398" s="21">
        <v>24</v>
      </c>
      <c r="H398" s="22">
        <v>16</v>
      </c>
      <c r="I398" s="23">
        <v>39.402000000000001</v>
      </c>
      <c r="J398" s="21">
        <v>124</v>
      </c>
      <c r="K398" s="24">
        <v>2</v>
      </c>
      <c r="L398" s="25">
        <v>8.8239999999999998</v>
      </c>
      <c r="M398" s="26" t="s">
        <v>139</v>
      </c>
      <c r="N398" s="27" t="s">
        <v>174</v>
      </c>
      <c r="O398" s="24" t="s">
        <v>18</v>
      </c>
      <c r="P398" s="25" t="s">
        <v>85</v>
      </c>
    </row>
    <row r="399" spans="1:16" ht="27.6" customHeight="1">
      <c r="A399" s="15" t="s">
        <v>888</v>
      </c>
      <c r="B399" s="94">
        <v>16</v>
      </c>
      <c r="C399" s="17" t="s">
        <v>499</v>
      </c>
      <c r="D399" s="22" t="s">
        <v>153</v>
      </c>
      <c r="E399" s="95">
        <v>69</v>
      </c>
      <c r="F399" s="96" t="s">
        <v>517</v>
      </c>
      <c r="G399" s="21">
        <v>24</v>
      </c>
      <c r="H399" s="22">
        <v>13</v>
      </c>
      <c r="I399" s="23">
        <v>20.422999999999998</v>
      </c>
      <c r="J399" s="21">
        <v>124</v>
      </c>
      <c r="K399" s="24">
        <v>1</v>
      </c>
      <c r="L399" s="25">
        <v>8.2279999999999998</v>
      </c>
      <c r="M399" s="26" t="s">
        <v>130</v>
      </c>
      <c r="N399" s="27" t="s">
        <v>345</v>
      </c>
      <c r="O399" s="24" t="s">
        <v>18</v>
      </c>
      <c r="P399" s="25" t="s">
        <v>338</v>
      </c>
    </row>
    <row r="400" spans="1:16" ht="27.6" customHeight="1">
      <c r="A400" s="15" t="s">
        <v>888</v>
      </c>
      <c r="B400" s="94">
        <v>16</v>
      </c>
      <c r="C400" s="17" t="s">
        <v>499</v>
      </c>
      <c r="D400" s="22" t="s">
        <v>153</v>
      </c>
      <c r="E400" s="95">
        <v>70</v>
      </c>
      <c r="F400" s="96" t="s">
        <v>518</v>
      </c>
      <c r="G400" s="21">
        <v>24</v>
      </c>
      <c r="H400" s="22">
        <v>13</v>
      </c>
      <c r="I400" s="23">
        <v>17.123000000000001</v>
      </c>
      <c r="J400" s="21">
        <v>124</v>
      </c>
      <c r="K400" s="24">
        <v>0</v>
      </c>
      <c r="L400" s="25">
        <v>0.33300000000000002</v>
      </c>
      <c r="M400" s="26" t="s">
        <v>130</v>
      </c>
      <c r="N400" s="27" t="s">
        <v>320</v>
      </c>
      <c r="O400" s="24" t="s">
        <v>18</v>
      </c>
      <c r="P400" s="25" t="s">
        <v>128</v>
      </c>
    </row>
    <row r="401" spans="1:16" ht="27.6" customHeight="1">
      <c r="A401" s="15" t="s">
        <v>888</v>
      </c>
      <c r="B401" s="94">
        <v>16</v>
      </c>
      <c r="C401" s="17" t="s">
        <v>499</v>
      </c>
      <c r="D401" s="22" t="s">
        <v>153</v>
      </c>
      <c r="E401" s="95">
        <v>85</v>
      </c>
      <c r="F401" s="96" t="s">
        <v>519</v>
      </c>
      <c r="G401" s="21">
        <v>24</v>
      </c>
      <c r="H401" s="22">
        <v>13</v>
      </c>
      <c r="I401" s="23">
        <v>21.626999999999999</v>
      </c>
      <c r="J401" s="21">
        <v>123</v>
      </c>
      <c r="K401" s="24">
        <v>56</v>
      </c>
      <c r="L401" s="25">
        <v>16.751000000000001</v>
      </c>
      <c r="M401" s="26" t="s">
        <v>130</v>
      </c>
      <c r="N401" s="27" t="s">
        <v>154</v>
      </c>
      <c r="O401" s="24" t="s">
        <v>18</v>
      </c>
      <c r="P401" s="25" t="s">
        <v>128</v>
      </c>
    </row>
    <row r="402" spans="1:16" ht="27.6" customHeight="1">
      <c r="A402" s="15" t="s">
        <v>888</v>
      </c>
      <c r="B402" s="94">
        <v>16</v>
      </c>
      <c r="C402" s="17" t="s">
        <v>499</v>
      </c>
      <c r="D402" s="22" t="s">
        <v>153</v>
      </c>
      <c r="E402" s="95">
        <v>94</v>
      </c>
      <c r="F402" s="96" t="s">
        <v>520</v>
      </c>
      <c r="G402" s="21">
        <v>24</v>
      </c>
      <c r="H402" s="22">
        <v>13</v>
      </c>
      <c r="I402" s="23">
        <v>47.12</v>
      </c>
      <c r="J402" s="21">
        <v>123</v>
      </c>
      <c r="K402" s="24">
        <v>59</v>
      </c>
      <c r="L402" s="25">
        <v>40.734999999999999</v>
      </c>
      <c r="M402" s="26" t="s">
        <v>167</v>
      </c>
      <c r="N402" s="27" t="s">
        <v>174</v>
      </c>
      <c r="O402" s="24" t="s">
        <v>18</v>
      </c>
      <c r="P402" s="25" t="s">
        <v>35</v>
      </c>
    </row>
    <row r="403" spans="1:16" ht="27.6" customHeight="1">
      <c r="A403" s="15" t="s">
        <v>888</v>
      </c>
      <c r="B403" s="94">
        <v>16</v>
      </c>
      <c r="C403" s="17" t="s">
        <v>499</v>
      </c>
      <c r="D403" s="22" t="s">
        <v>153</v>
      </c>
      <c r="E403" s="95">
        <v>95</v>
      </c>
      <c r="F403" s="96" t="s">
        <v>521</v>
      </c>
      <c r="G403" s="21">
        <v>24</v>
      </c>
      <c r="H403" s="22">
        <v>12</v>
      </c>
      <c r="I403" s="23">
        <v>40.228000000000002</v>
      </c>
      <c r="J403" s="21">
        <v>124</v>
      </c>
      <c r="K403" s="24">
        <v>0</v>
      </c>
      <c r="L403" s="23">
        <v>30.23</v>
      </c>
      <c r="M403" s="26" t="s">
        <v>167</v>
      </c>
      <c r="N403" s="27" t="s">
        <v>174</v>
      </c>
      <c r="O403" s="24" t="s">
        <v>18</v>
      </c>
      <c r="P403" s="25" t="s">
        <v>85</v>
      </c>
    </row>
    <row r="404" spans="1:16" ht="27.6" customHeight="1">
      <c r="A404" s="15" t="s">
        <v>888</v>
      </c>
      <c r="B404" s="94">
        <v>16</v>
      </c>
      <c r="C404" s="17" t="s">
        <v>499</v>
      </c>
      <c r="D404" s="22" t="s">
        <v>153</v>
      </c>
      <c r="E404" s="95">
        <v>96</v>
      </c>
      <c r="F404" s="96" t="s">
        <v>522</v>
      </c>
      <c r="G404" s="21">
        <v>24</v>
      </c>
      <c r="H404" s="22">
        <v>13</v>
      </c>
      <c r="I404" s="23">
        <v>20.523</v>
      </c>
      <c r="J404" s="21">
        <v>124</v>
      </c>
      <c r="K404" s="24">
        <v>1</v>
      </c>
      <c r="L404" s="25">
        <v>49.524000000000001</v>
      </c>
      <c r="M404" s="26" t="s">
        <v>167</v>
      </c>
      <c r="N404" s="27" t="s">
        <v>154</v>
      </c>
      <c r="O404" s="24" t="s">
        <v>18</v>
      </c>
      <c r="P404" s="25" t="s">
        <v>75</v>
      </c>
    </row>
    <row r="405" spans="1:16" ht="27.6" customHeight="1">
      <c r="A405" s="15" t="s">
        <v>888</v>
      </c>
      <c r="B405" s="94">
        <v>16</v>
      </c>
      <c r="C405" s="17" t="s">
        <v>499</v>
      </c>
      <c r="D405" s="22" t="s">
        <v>153</v>
      </c>
      <c r="E405" s="95">
        <v>97</v>
      </c>
      <c r="F405" s="96" t="s">
        <v>523</v>
      </c>
      <c r="G405" s="21">
        <v>24</v>
      </c>
      <c r="H405" s="22">
        <v>15</v>
      </c>
      <c r="I405" s="23">
        <v>4.6120000000000001</v>
      </c>
      <c r="J405" s="21">
        <v>124</v>
      </c>
      <c r="K405" s="24">
        <v>2</v>
      </c>
      <c r="L405" s="25">
        <v>4.5250000000000004</v>
      </c>
      <c r="M405" s="26" t="s">
        <v>167</v>
      </c>
      <c r="N405" s="27" t="s">
        <v>174</v>
      </c>
      <c r="O405" s="24" t="s">
        <v>18</v>
      </c>
      <c r="P405" s="25" t="s">
        <v>15</v>
      </c>
    </row>
    <row r="406" spans="1:16" ht="27.6" customHeight="1">
      <c r="A406" s="15" t="s">
        <v>888</v>
      </c>
      <c r="B406" s="94">
        <v>16</v>
      </c>
      <c r="C406" s="17" t="s">
        <v>499</v>
      </c>
      <c r="D406" s="22" t="s">
        <v>153</v>
      </c>
      <c r="E406" s="95">
        <v>98</v>
      </c>
      <c r="F406" s="96" t="s">
        <v>524</v>
      </c>
      <c r="G406" s="21">
        <v>24</v>
      </c>
      <c r="H406" s="22">
        <v>14</v>
      </c>
      <c r="I406" s="23">
        <v>10.419</v>
      </c>
      <c r="J406" s="21">
        <v>123</v>
      </c>
      <c r="K406" s="24">
        <v>57</v>
      </c>
      <c r="L406" s="25">
        <v>47.844999999999999</v>
      </c>
      <c r="M406" s="26" t="s">
        <v>167</v>
      </c>
      <c r="N406" s="27" t="s">
        <v>174</v>
      </c>
      <c r="O406" s="24" t="s">
        <v>18</v>
      </c>
      <c r="P406" s="25" t="s">
        <v>85</v>
      </c>
    </row>
    <row r="407" spans="1:16" ht="27.6" customHeight="1">
      <c r="A407" s="15" t="s">
        <v>888</v>
      </c>
      <c r="B407" s="94">
        <v>16</v>
      </c>
      <c r="C407" s="17" t="s">
        <v>499</v>
      </c>
      <c r="D407" s="22" t="s">
        <v>153</v>
      </c>
      <c r="E407" s="95">
        <v>99</v>
      </c>
      <c r="F407" s="96" t="s">
        <v>525</v>
      </c>
      <c r="G407" s="21">
        <v>24</v>
      </c>
      <c r="H407" s="22">
        <v>12</v>
      </c>
      <c r="I407" s="23">
        <v>22.234000000000002</v>
      </c>
      <c r="J407" s="21">
        <v>123</v>
      </c>
      <c r="K407" s="24">
        <v>56</v>
      </c>
      <c r="L407" s="23">
        <v>21.35</v>
      </c>
      <c r="M407" s="26" t="s">
        <v>167</v>
      </c>
      <c r="N407" s="27" t="s">
        <v>174</v>
      </c>
      <c r="O407" s="24" t="s">
        <v>18</v>
      </c>
      <c r="P407" s="25" t="s">
        <v>112</v>
      </c>
    </row>
    <row r="408" spans="1:16" ht="27.6" customHeight="1">
      <c r="A408" s="15" t="s">
        <v>888</v>
      </c>
      <c r="B408" s="94">
        <v>16</v>
      </c>
      <c r="C408" s="17" t="s">
        <v>499</v>
      </c>
      <c r="D408" s="22" t="s">
        <v>153</v>
      </c>
      <c r="E408" s="95">
        <v>100</v>
      </c>
      <c r="F408" s="96" t="s">
        <v>526</v>
      </c>
      <c r="G408" s="21">
        <v>24</v>
      </c>
      <c r="H408" s="22">
        <v>13</v>
      </c>
      <c r="I408" s="23">
        <v>10.33</v>
      </c>
      <c r="J408" s="21">
        <v>123</v>
      </c>
      <c r="K408" s="24">
        <v>54</v>
      </c>
      <c r="L408" s="25">
        <v>29.859000000000002</v>
      </c>
      <c r="M408" s="26" t="s">
        <v>167</v>
      </c>
      <c r="N408" s="27" t="s">
        <v>174</v>
      </c>
      <c r="O408" s="24" t="s">
        <v>18</v>
      </c>
      <c r="P408" s="25" t="s">
        <v>112</v>
      </c>
    </row>
    <row r="409" spans="1:16" ht="27.6" customHeight="1">
      <c r="A409" s="15" t="s">
        <v>888</v>
      </c>
      <c r="B409" s="94">
        <v>16</v>
      </c>
      <c r="C409" s="17" t="s">
        <v>499</v>
      </c>
      <c r="D409" s="22" t="s">
        <v>153</v>
      </c>
      <c r="E409" s="95">
        <v>101</v>
      </c>
      <c r="F409" s="96" t="s">
        <v>527</v>
      </c>
      <c r="G409" s="21">
        <v>24</v>
      </c>
      <c r="H409" s="22">
        <v>13</v>
      </c>
      <c r="I409" s="23">
        <v>41.625</v>
      </c>
      <c r="J409" s="21">
        <v>123</v>
      </c>
      <c r="K409" s="24">
        <v>55</v>
      </c>
      <c r="L409" s="25">
        <v>18.457000000000001</v>
      </c>
      <c r="M409" s="26" t="s">
        <v>139</v>
      </c>
      <c r="N409" s="27" t="s">
        <v>159</v>
      </c>
      <c r="O409" s="24" t="s">
        <v>18</v>
      </c>
      <c r="P409" s="25" t="s">
        <v>75</v>
      </c>
    </row>
    <row r="410" spans="1:16" ht="27.6" customHeight="1">
      <c r="A410" s="15" t="s">
        <v>888</v>
      </c>
      <c r="B410" s="94">
        <v>16</v>
      </c>
      <c r="C410" s="17" t="s">
        <v>499</v>
      </c>
      <c r="D410" s="22" t="s">
        <v>153</v>
      </c>
      <c r="E410" s="95">
        <v>102</v>
      </c>
      <c r="F410" s="96" t="s">
        <v>528</v>
      </c>
      <c r="G410" s="21">
        <v>24</v>
      </c>
      <c r="H410" s="22">
        <v>14</v>
      </c>
      <c r="I410" s="23">
        <v>56.515999999999998</v>
      </c>
      <c r="J410" s="21">
        <v>123</v>
      </c>
      <c r="K410" s="24">
        <v>55</v>
      </c>
      <c r="L410" s="25">
        <v>2.66</v>
      </c>
      <c r="M410" s="26" t="s">
        <v>139</v>
      </c>
      <c r="N410" s="27" t="s">
        <v>159</v>
      </c>
      <c r="O410" s="24" t="s">
        <v>18</v>
      </c>
      <c r="P410" s="25" t="s">
        <v>85</v>
      </c>
    </row>
    <row r="411" spans="1:16" ht="27.6" customHeight="1">
      <c r="A411" s="15" t="s">
        <v>888</v>
      </c>
      <c r="B411" s="94">
        <v>16</v>
      </c>
      <c r="C411" s="17" t="s">
        <v>499</v>
      </c>
      <c r="D411" s="22" t="s">
        <v>153</v>
      </c>
      <c r="E411" s="95">
        <v>103</v>
      </c>
      <c r="F411" s="96" t="s">
        <v>529</v>
      </c>
      <c r="G411" s="21">
        <v>24</v>
      </c>
      <c r="H411" s="22">
        <v>14</v>
      </c>
      <c r="I411" s="23">
        <v>37.25</v>
      </c>
      <c r="J411" s="21">
        <v>123</v>
      </c>
      <c r="K411" s="24">
        <v>53</v>
      </c>
      <c r="L411" s="25">
        <v>50.454000000000001</v>
      </c>
      <c r="M411" s="26" t="s">
        <v>167</v>
      </c>
      <c r="N411" s="27" t="s">
        <v>174</v>
      </c>
      <c r="O411" s="24" t="s">
        <v>18</v>
      </c>
      <c r="P411" s="25" t="s">
        <v>75</v>
      </c>
    </row>
    <row r="412" spans="1:16" ht="27.6" customHeight="1" thickBot="1">
      <c r="A412" s="429" t="s">
        <v>888</v>
      </c>
      <c r="B412" s="102">
        <v>16</v>
      </c>
      <c r="C412" s="135" t="s">
        <v>499</v>
      </c>
      <c r="D412" s="108" t="s">
        <v>153</v>
      </c>
      <c r="E412" s="103">
        <v>105</v>
      </c>
      <c r="F412" s="104" t="s">
        <v>530</v>
      </c>
      <c r="G412" s="107">
        <v>24</v>
      </c>
      <c r="H412" s="108">
        <v>15</v>
      </c>
      <c r="I412" s="109">
        <v>25.81</v>
      </c>
      <c r="J412" s="107">
        <v>123</v>
      </c>
      <c r="K412" s="86">
        <v>58</v>
      </c>
      <c r="L412" s="85">
        <v>4.9450000000000003</v>
      </c>
      <c r="M412" s="87" t="s">
        <v>139</v>
      </c>
      <c r="N412" s="88" t="s">
        <v>174</v>
      </c>
      <c r="O412" s="86" t="s">
        <v>18</v>
      </c>
      <c r="P412" s="85" t="s">
        <v>35</v>
      </c>
    </row>
    <row r="413" spans="1:16" ht="27.6" customHeight="1" thickTop="1">
      <c r="A413" s="120" t="s">
        <v>889</v>
      </c>
      <c r="B413" s="92">
        <v>17</v>
      </c>
      <c r="C413" s="47" t="s">
        <v>531</v>
      </c>
      <c r="D413" s="121" t="s">
        <v>153</v>
      </c>
      <c r="E413" s="93">
        <v>120</v>
      </c>
      <c r="F413" s="105" t="s">
        <v>532</v>
      </c>
      <c r="G413" s="120">
        <v>24</v>
      </c>
      <c r="H413" s="121">
        <v>24</v>
      </c>
      <c r="I413" s="122">
        <v>4.2990000000000004</v>
      </c>
      <c r="J413" s="120">
        <v>123</v>
      </c>
      <c r="K413" s="51">
        <v>53</v>
      </c>
      <c r="L413" s="52">
        <v>21.199000000000002</v>
      </c>
      <c r="M413" s="53" t="s">
        <v>533</v>
      </c>
      <c r="N413" s="54" t="s">
        <v>320</v>
      </c>
      <c r="O413" s="51" t="s">
        <v>18</v>
      </c>
      <c r="P413" s="52" t="s">
        <v>112</v>
      </c>
    </row>
    <row r="414" spans="1:16" ht="27.6" customHeight="1">
      <c r="A414" s="21" t="s">
        <v>889</v>
      </c>
      <c r="B414" s="94">
        <v>17</v>
      </c>
      <c r="C414" s="17" t="s">
        <v>531</v>
      </c>
      <c r="D414" s="22" t="s">
        <v>153</v>
      </c>
      <c r="E414" s="95">
        <v>121</v>
      </c>
      <c r="F414" s="96" t="s">
        <v>534</v>
      </c>
      <c r="G414" s="21">
        <v>24</v>
      </c>
      <c r="H414" s="22">
        <v>25</v>
      </c>
      <c r="I414" s="23">
        <v>27.292999999999999</v>
      </c>
      <c r="J414" s="21">
        <v>123</v>
      </c>
      <c r="K414" s="24">
        <v>51</v>
      </c>
      <c r="L414" s="25">
        <v>16.510999999999999</v>
      </c>
      <c r="M414" s="26" t="s">
        <v>167</v>
      </c>
      <c r="N414" s="27" t="s">
        <v>174</v>
      </c>
      <c r="O414" s="24" t="s">
        <v>18</v>
      </c>
      <c r="P414" s="25" t="s">
        <v>338</v>
      </c>
    </row>
    <row r="415" spans="1:16" ht="27.6" customHeight="1">
      <c r="A415" s="21" t="s">
        <v>889</v>
      </c>
      <c r="B415" s="94">
        <v>17</v>
      </c>
      <c r="C415" s="17" t="s">
        <v>531</v>
      </c>
      <c r="D415" s="22" t="s">
        <v>153</v>
      </c>
      <c r="E415" s="95">
        <v>122</v>
      </c>
      <c r="F415" s="96" t="s">
        <v>535</v>
      </c>
      <c r="G415" s="21">
        <v>24</v>
      </c>
      <c r="H415" s="22">
        <v>26</v>
      </c>
      <c r="I415" s="23">
        <v>5.4939999999999998</v>
      </c>
      <c r="J415" s="21">
        <v>123</v>
      </c>
      <c r="K415" s="24">
        <v>48</v>
      </c>
      <c r="L415" s="25">
        <v>57.524000000000001</v>
      </c>
      <c r="M415" s="26" t="s">
        <v>139</v>
      </c>
      <c r="N415" s="27" t="s">
        <v>356</v>
      </c>
      <c r="O415" s="24" t="s">
        <v>18</v>
      </c>
      <c r="P415" s="25" t="s">
        <v>15</v>
      </c>
    </row>
    <row r="416" spans="1:16" ht="27.6" customHeight="1">
      <c r="A416" s="21" t="s">
        <v>889</v>
      </c>
      <c r="B416" s="94">
        <v>17</v>
      </c>
      <c r="C416" s="17" t="s">
        <v>531</v>
      </c>
      <c r="D416" s="22" t="s">
        <v>153</v>
      </c>
      <c r="E416" s="95">
        <v>123</v>
      </c>
      <c r="F416" s="96" t="s">
        <v>536</v>
      </c>
      <c r="G416" s="21">
        <v>24</v>
      </c>
      <c r="H416" s="22">
        <v>27</v>
      </c>
      <c r="I416" s="23">
        <v>10.285</v>
      </c>
      <c r="J416" s="21">
        <v>123</v>
      </c>
      <c r="K416" s="24">
        <v>50</v>
      </c>
      <c r="L416" s="25">
        <v>12.321999999999999</v>
      </c>
      <c r="M416" s="26" t="s">
        <v>126</v>
      </c>
      <c r="N416" s="27" t="s">
        <v>320</v>
      </c>
      <c r="O416" s="24" t="s">
        <v>18</v>
      </c>
      <c r="P416" s="25" t="s">
        <v>133</v>
      </c>
    </row>
    <row r="417" spans="1:16" ht="27.6" customHeight="1">
      <c r="A417" s="21" t="s">
        <v>889</v>
      </c>
      <c r="B417" s="94">
        <v>17</v>
      </c>
      <c r="C417" s="17" t="s">
        <v>531</v>
      </c>
      <c r="D417" s="22" t="s">
        <v>153</v>
      </c>
      <c r="E417" s="95">
        <v>124</v>
      </c>
      <c r="F417" s="96" t="s">
        <v>537</v>
      </c>
      <c r="G417" s="21">
        <v>24</v>
      </c>
      <c r="H417" s="22">
        <v>27</v>
      </c>
      <c r="I417" s="23">
        <v>7.4850000000000003</v>
      </c>
      <c r="J417" s="21">
        <v>123</v>
      </c>
      <c r="K417" s="24">
        <v>50</v>
      </c>
      <c r="L417" s="25">
        <v>0.623</v>
      </c>
      <c r="M417" s="26" t="s">
        <v>139</v>
      </c>
      <c r="N417" s="27" t="s">
        <v>320</v>
      </c>
      <c r="O417" s="24" t="s">
        <v>18</v>
      </c>
      <c r="P417" s="25" t="s">
        <v>128</v>
      </c>
    </row>
    <row r="418" spans="1:16" ht="27.6" customHeight="1">
      <c r="A418" s="21" t="s">
        <v>889</v>
      </c>
      <c r="B418" s="94">
        <v>17</v>
      </c>
      <c r="C418" s="17" t="s">
        <v>531</v>
      </c>
      <c r="D418" s="22" t="s">
        <v>153</v>
      </c>
      <c r="E418" s="95">
        <v>125</v>
      </c>
      <c r="F418" s="96" t="s">
        <v>538</v>
      </c>
      <c r="G418" s="21">
        <v>24</v>
      </c>
      <c r="H418" s="22">
        <v>27</v>
      </c>
      <c r="I418" s="23">
        <v>14.986000000000001</v>
      </c>
      <c r="J418" s="21">
        <v>123</v>
      </c>
      <c r="K418" s="24">
        <v>48</v>
      </c>
      <c r="L418" s="23">
        <v>31.53</v>
      </c>
      <c r="M418" s="26" t="s">
        <v>139</v>
      </c>
      <c r="N418" s="27" t="s">
        <v>174</v>
      </c>
      <c r="O418" s="24" t="s">
        <v>18</v>
      </c>
      <c r="P418" s="25" t="s">
        <v>75</v>
      </c>
    </row>
    <row r="419" spans="1:16" ht="27.6" customHeight="1">
      <c r="A419" s="21" t="s">
        <v>889</v>
      </c>
      <c r="B419" s="94">
        <v>17</v>
      </c>
      <c r="C419" s="17" t="s">
        <v>531</v>
      </c>
      <c r="D419" s="22" t="s">
        <v>153</v>
      </c>
      <c r="E419" s="95">
        <v>126</v>
      </c>
      <c r="F419" s="96" t="s">
        <v>539</v>
      </c>
      <c r="G419" s="21">
        <v>24</v>
      </c>
      <c r="H419" s="22">
        <v>26</v>
      </c>
      <c r="I419" s="23">
        <v>22.594000000000001</v>
      </c>
      <c r="J419" s="21">
        <v>123</v>
      </c>
      <c r="K419" s="24">
        <v>46</v>
      </c>
      <c r="L419" s="25">
        <v>28.835999999999999</v>
      </c>
      <c r="M419" s="26" t="s">
        <v>167</v>
      </c>
      <c r="N419" s="27" t="s">
        <v>174</v>
      </c>
      <c r="O419" s="24" t="s">
        <v>18</v>
      </c>
      <c r="P419" s="25" t="s">
        <v>96</v>
      </c>
    </row>
    <row r="420" spans="1:16" ht="27.6" customHeight="1">
      <c r="A420" s="21" t="s">
        <v>889</v>
      </c>
      <c r="B420" s="94">
        <v>17</v>
      </c>
      <c r="C420" s="17" t="s">
        <v>531</v>
      </c>
      <c r="D420" s="22" t="s">
        <v>153</v>
      </c>
      <c r="E420" s="95" t="s">
        <v>890</v>
      </c>
      <c r="F420" s="96" t="s">
        <v>556</v>
      </c>
      <c r="G420" s="21">
        <v>24</v>
      </c>
      <c r="H420" s="22">
        <v>26</v>
      </c>
      <c r="I420" s="23">
        <v>22.594000000000001</v>
      </c>
      <c r="J420" s="21">
        <v>123</v>
      </c>
      <c r="K420" s="24">
        <v>46</v>
      </c>
      <c r="L420" s="25">
        <v>28.835999999999999</v>
      </c>
      <c r="M420" s="26" t="s">
        <v>130</v>
      </c>
      <c r="N420" s="27" t="s">
        <v>320</v>
      </c>
      <c r="O420" s="24" t="s">
        <v>18</v>
      </c>
      <c r="P420" s="25" t="s">
        <v>133</v>
      </c>
    </row>
    <row r="421" spans="1:16" ht="27.6" customHeight="1">
      <c r="A421" s="21" t="s">
        <v>889</v>
      </c>
      <c r="B421" s="94">
        <v>17</v>
      </c>
      <c r="C421" s="17" t="s">
        <v>531</v>
      </c>
      <c r="D421" s="22" t="s">
        <v>153</v>
      </c>
      <c r="E421" s="95">
        <v>127</v>
      </c>
      <c r="F421" s="96" t="s">
        <v>540</v>
      </c>
      <c r="G421" s="21">
        <v>24</v>
      </c>
      <c r="H421" s="22">
        <v>19</v>
      </c>
      <c r="I421" s="23">
        <v>48.841000000000001</v>
      </c>
      <c r="J421" s="21">
        <v>123</v>
      </c>
      <c r="K421" s="24">
        <v>44</v>
      </c>
      <c r="L421" s="25">
        <v>16.635000000000002</v>
      </c>
      <c r="M421" s="26" t="s">
        <v>135</v>
      </c>
      <c r="N421" s="27" t="s">
        <v>320</v>
      </c>
      <c r="O421" s="24" t="s">
        <v>18</v>
      </c>
      <c r="P421" s="25" t="s">
        <v>88</v>
      </c>
    </row>
    <row r="422" spans="1:16" ht="27.6" customHeight="1">
      <c r="A422" s="124" t="s">
        <v>889</v>
      </c>
      <c r="B422" s="97">
        <v>17</v>
      </c>
      <c r="C422" s="32" t="s">
        <v>891</v>
      </c>
      <c r="D422" s="57" t="s">
        <v>153</v>
      </c>
      <c r="E422" s="98" t="s">
        <v>892</v>
      </c>
      <c r="F422" s="99" t="s">
        <v>557</v>
      </c>
      <c r="G422" s="124">
        <v>24</v>
      </c>
      <c r="H422" s="57">
        <v>19</v>
      </c>
      <c r="I422" s="119">
        <v>48.841000000000001</v>
      </c>
      <c r="J422" s="124">
        <v>123</v>
      </c>
      <c r="K422" s="37">
        <v>44</v>
      </c>
      <c r="L422" s="38">
        <v>16.635000000000002</v>
      </c>
      <c r="M422" s="35" t="s">
        <v>135</v>
      </c>
      <c r="N422" s="36" t="s">
        <v>345</v>
      </c>
      <c r="O422" s="37" t="s">
        <v>18</v>
      </c>
      <c r="P422" s="38">
        <v>1</v>
      </c>
    </row>
    <row r="423" spans="1:16" ht="27.6" customHeight="1">
      <c r="A423" s="21" t="s">
        <v>889</v>
      </c>
      <c r="B423" s="94">
        <v>17</v>
      </c>
      <c r="C423" s="17" t="s">
        <v>531</v>
      </c>
      <c r="D423" s="22" t="s">
        <v>153</v>
      </c>
      <c r="E423" s="95">
        <v>129</v>
      </c>
      <c r="F423" s="96" t="s">
        <v>541</v>
      </c>
      <c r="G423" s="21">
        <v>24</v>
      </c>
      <c r="H423" s="22">
        <v>19</v>
      </c>
      <c r="I423" s="23">
        <v>12.848000000000001</v>
      </c>
      <c r="J423" s="21">
        <v>123</v>
      </c>
      <c r="K423" s="24">
        <v>42</v>
      </c>
      <c r="L423" s="25">
        <v>24.942</v>
      </c>
      <c r="M423" s="26" t="s">
        <v>135</v>
      </c>
      <c r="N423" s="27" t="s">
        <v>356</v>
      </c>
      <c r="O423" s="24" t="s">
        <v>18</v>
      </c>
      <c r="P423" s="25" t="s">
        <v>542</v>
      </c>
    </row>
    <row r="424" spans="1:16" ht="27.6" customHeight="1">
      <c r="A424" s="21" t="s">
        <v>889</v>
      </c>
      <c r="B424" s="94">
        <v>17</v>
      </c>
      <c r="C424" s="17" t="s">
        <v>531</v>
      </c>
      <c r="D424" s="22" t="s">
        <v>153</v>
      </c>
      <c r="E424" s="95">
        <v>130</v>
      </c>
      <c r="F424" s="96" t="s">
        <v>543</v>
      </c>
      <c r="G424" s="21">
        <v>24</v>
      </c>
      <c r="H424" s="22">
        <v>20</v>
      </c>
      <c r="I424" s="23">
        <v>52.137999999999998</v>
      </c>
      <c r="J424" s="21">
        <v>123</v>
      </c>
      <c r="K424" s="24">
        <v>41</v>
      </c>
      <c r="L424" s="25">
        <v>10.051</v>
      </c>
      <c r="M424" s="26" t="s">
        <v>167</v>
      </c>
      <c r="N424" s="27" t="s">
        <v>174</v>
      </c>
      <c r="O424" s="24" t="s">
        <v>18</v>
      </c>
      <c r="P424" s="25" t="s">
        <v>150</v>
      </c>
    </row>
    <row r="425" spans="1:16" ht="27.6" customHeight="1">
      <c r="A425" s="21" t="s">
        <v>889</v>
      </c>
      <c r="B425" s="94">
        <v>17</v>
      </c>
      <c r="C425" s="17" t="s">
        <v>531</v>
      </c>
      <c r="D425" s="22" t="s">
        <v>153</v>
      </c>
      <c r="E425" s="95">
        <v>131</v>
      </c>
      <c r="F425" s="96" t="s">
        <v>544</v>
      </c>
      <c r="G425" s="21">
        <v>24</v>
      </c>
      <c r="H425" s="22">
        <v>19</v>
      </c>
      <c r="I425" s="23">
        <v>20.248999999999999</v>
      </c>
      <c r="J425" s="21">
        <v>123</v>
      </c>
      <c r="K425" s="24">
        <v>40</v>
      </c>
      <c r="L425" s="25">
        <v>26.550999999999998</v>
      </c>
      <c r="M425" s="26" t="s">
        <v>167</v>
      </c>
      <c r="N425" s="27" t="s">
        <v>154</v>
      </c>
      <c r="O425" s="24" t="s">
        <v>18</v>
      </c>
      <c r="P425" s="25" t="s">
        <v>545</v>
      </c>
    </row>
    <row r="426" spans="1:16" ht="27.6" customHeight="1">
      <c r="A426" s="21" t="s">
        <v>889</v>
      </c>
      <c r="B426" s="94">
        <v>17</v>
      </c>
      <c r="C426" s="17" t="s">
        <v>531</v>
      </c>
      <c r="D426" s="22" t="s">
        <v>153</v>
      </c>
      <c r="E426" s="95">
        <v>132</v>
      </c>
      <c r="F426" s="96" t="s">
        <v>546</v>
      </c>
      <c r="G426" s="21">
        <v>24</v>
      </c>
      <c r="H426" s="22">
        <v>18</v>
      </c>
      <c r="I426" s="23">
        <v>58.750999999999998</v>
      </c>
      <c r="J426" s="21">
        <v>123</v>
      </c>
      <c r="K426" s="24">
        <v>40</v>
      </c>
      <c r="L426" s="23">
        <v>34.450000000000003</v>
      </c>
      <c r="M426" s="26" t="s">
        <v>130</v>
      </c>
      <c r="N426" s="27" t="s">
        <v>356</v>
      </c>
      <c r="O426" s="24" t="s">
        <v>18</v>
      </c>
      <c r="P426" s="25" t="s">
        <v>128</v>
      </c>
    </row>
    <row r="427" spans="1:16" ht="27.6" customHeight="1">
      <c r="A427" s="21" t="s">
        <v>889</v>
      </c>
      <c r="B427" s="94">
        <v>17</v>
      </c>
      <c r="C427" s="17" t="s">
        <v>531</v>
      </c>
      <c r="D427" s="22" t="s">
        <v>153</v>
      </c>
      <c r="E427" s="95">
        <v>133</v>
      </c>
      <c r="F427" s="96" t="s">
        <v>547</v>
      </c>
      <c r="G427" s="21">
        <v>24</v>
      </c>
      <c r="H427" s="22">
        <v>16</v>
      </c>
      <c r="I427" s="23">
        <v>45.743000000000002</v>
      </c>
      <c r="J427" s="21">
        <v>123</v>
      </c>
      <c r="K427" s="24">
        <v>41</v>
      </c>
      <c r="L427" s="25">
        <v>30.186</v>
      </c>
      <c r="M427" s="26" t="s">
        <v>167</v>
      </c>
      <c r="N427" s="27" t="s">
        <v>154</v>
      </c>
      <c r="O427" s="24" t="s">
        <v>18</v>
      </c>
      <c r="P427" s="25" t="s">
        <v>85</v>
      </c>
    </row>
    <row r="428" spans="1:16" ht="27.6" customHeight="1">
      <c r="A428" s="21" t="s">
        <v>889</v>
      </c>
      <c r="B428" s="94">
        <v>17</v>
      </c>
      <c r="C428" s="17" t="s">
        <v>531</v>
      </c>
      <c r="D428" s="22" t="s">
        <v>153</v>
      </c>
      <c r="E428" s="95">
        <v>134</v>
      </c>
      <c r="F428" s="96" t="s">
        <v>548</v>
      </c>
      <c r="G428" s="21">
        <v>24</v>
      </c>
      <c r="H428" s="22">
        <v>17</v>
      </c>
      <c r="I428" s="23">
        <v>7.5590000000000002</v>
      </c>
      <c r="J428" s="21">
        <v>123</v>
      </c>
      <c r="K428" s="24">
        <v>43</v>
      </c>
      <c r="L428" s="25">
        <v>52.030999999999999</v>
      </c>
      <c r="M428" s="26" t="s">
        <v>167</v>
      </c>
      <c r="N428" s="27" t="s">
        <v>154</v>
      </c>
      <c r="O428" s="24" t="s">
        <v>18</v>
      </c>
      <c r="P428" s="25" t="s">
        <v>55</v>
      </c>
    </row>
    <row r="429" spans="1:16" ht="27.6" customHeight="1">
      <c r="A429" s="21" t="s">
        <v>889</v>
      </c>
      <c r="B429" s="94">
        <v>17</v>
      </c>
      <c r="C429" s="17" t="s">
        <v>531</v>
      </c>
      <c r="D429" s="22" t="s">
        <v>153</v>
      </c>
      <c r="E429" s="95">
        <v>135</v>
      </c>
      <c r="F429" s="96" t="s">
        <v>549</v>
      </c>
      <c r="G429" s="21">
        <v>24</v>
      </c>
      <c r="H429" s="22">
        <v>17</v>
      </c>
      <c r="I429" s="23">
        <v>18.556999999999999</v>
      </c>
      <c r="J429" s="21">
        <v>123</v>
      </c>
      <c r="K429" s="24">
        <v>43</v>
      </c>
      <c r="L429" s="25">
        <v>56.231000000000002</v>
      </c>
      <c r="M429" s="26" t="s">
        <v>167</v>
      </c>
      <c r="N429" s="27" t="s">
        <v>320</v>
      </c>
      <c r="O429" s="24" t="s">
        <v>18</v>
      </c>
      <c r="P429" s="25" t="s">
        <v>85</v>
      </c>
    </row>
    <row r="430" spans="1:16" ht="27.6" customHeight="1">
      <c r="A430" s="21" t="s">
        <v>889</v>
      </c>
      <c r="B430" s="94">
        <v>17</v>
      </c>
      <c r="C430" s="17" t="s">
        <v>531</v>
      </c>
      <c r="D430" s="22" t="s">
        <v>153</v>
      </c>
      <c r="E430" s="95">
        <v>136</v>
      </c>
      <c r="F430" s="96" t="s">
        <v>550</v>
      </c>
      <c r="G430" s="21">
        <v>24</v>
      </c>
      <c r="H430" s="22">
        <v>16</v>
      </c>
      <c r="I430" s="23">
        <v>31.658999999999999</v>
      </c>
      <c r="J430" s="21">
        <v>123</v>
      </c>
      <c r="K430" s="24">
        <v>45</v>
      </c>
      <c r="L430" s="25">
        <v>46.621000000000002</v>
      </c>
      <c r="M430" s="26" t="s">
        <v>167</v>
      </c>
      <c r="N430" s="27" t="s">
        <v>154</v>
      </c>
      <c r="O430" s="24" t="s">
        <v>18</v>
      </c>
      <c r="P430" s="25" t="s">
        <v>85</v>
      </c>
    </row>
    <row r="431" spans="1:16" ht="27.6" customHeight="1">
      <c r="A431" s="21" t="s">
        <v>889</v>
      </c>
      <c r="B431" s="94">
        <v>17</v>
      </c>
      <c r="C431" s="17" t="s">
        <v>531</v>
      </c>
      <c r="D431" s="22" t="s">
        <v>153</v>
      </c>
      <c r="E431" s="95">
        <v>137</v>
      </c>
      <c r="F431" s="96" t="s">
        <v>551</v>
      </c>
      <c r="G431" s="21">
        <v>24</v>
      </c>
      <c r="H431" s="22">
        <v>14</v>
      </c>
      <c r="I431" s="23">
        <v>33.561</v>
      </c>
      <c r="J431" s="21">
        <v>123</v>
      </c>
      <c r="K431" s="24">
        <v>51</v>
      </c>
      <c r="L431" s="23">
        <v>55.59</v>
      </c>
      <c r="M431" s="26" t="s">
        <v>167</v>
      </c>
      <c r="N431" s="27" t="s">
        <v>174</v>
      </c>
      <c r="O431" s="24" t="s">
        <v>18</v>
      </c>
      <c r="P431" s="25" t="s">
        <v>112</v>
      </c>
    </row>
    <row r="432" spans="1:16" ht="27.6" customHeight="1">
      <c r="A432" s="21" t="s">
        <v>889</v>
      </c>
      <c r="B432" s="94">
        <v>17</v>
      </c>
      <c r="C432" s="17" t="s">
        <v>531</v>
      </c>
      <c r="D432" s="22" t="s">
        <v>153</v>
      </c>
      <c r="E432" s="95">
        <v>138</v>
      </c>
      <c r="F432" s="96" t="s">
        <v>552</v>
      </c>
      <c r="G432" s="21">
        <v>24</v>
      </c>
      <c r="H432" s="22">
        <v>20</v>
      </c>
      <c r="I432" s="23">
        <v>35.936999999999998</v>
      </c>
      <c r="J432" s="21">
        <v>123</v>
      </c>
      <c r="K432" s="24">
        <v>43</v>
      </c>
      <c r="L432" s="25">
        <v>47.139000000000003</v>
      </c>
      <c r="M432" s="26" t="s">
        <v>126</v>
      </c>
      <c r="N432" s="27" t="s">
        <v>320</v>
      </c>
      <c r="O432" s="24" t="s">
        <v>18</v>
      </c>
      <c r="P432" s="25" t="s">
        <v>133</v>
      </c>
    </row>
    <row r="433" spans="1:16" ht="27.6" customHeight="1">
      <c r="A433" s="21" t="s">
        <v>889</v>
      </c>
      <c r="B433" s="94">
        <v>17</v>
      </c>
      <c r="C433" s="17" t="s">
        <v>531</v>
      </c>
      <c r="D433" s="22" t="s">
        <v>153</v>
      </c>
      <c r="E433" s="95">
        <v>139</v>
      </c>
      <c r="F433" s="96" t="s">
        <v>553</v>
      </c>
      <c r="G433" s="21">
        <v>24</v>
      </c>
      <c r="H433" s="22">
        <v>22</v>
      </c>
      <c r="I433" s="23">
        <v>14.427</v>
      </c>
      <c r="J433" s="21">
        <v>123</v>
      </c>
      <c r="K433" s="24">
        <v>42</v>
      </c>
      <c r="L433" s="25">
        <v>21.649000000000001</v>
      </c>
      <c r="M433" s="26" t="s">
        <v>533</v>
      </c>
      <c r="N433" s="27" t="s">
        <v>174</v>
      </c>
      <c r="O433" s="24" t="s">
        <v>18</v>
      </c>
      <c r="P433" s="25" t="s">
        <v>99</v>
      </c>
    </row>
    <row r="434" spans="1:16" ht="27.6" customHeight="1">
      <c r="A434" s="21" t="s">
        <v>889</v>
      </c>
      <c r="B434" s="94">
        <v>17</v>
      </c>
      <c r="C434" s="17" t="s">
        <v>531</v>
      </c>
      <c r="D434" s="22" t="s">
        <v>153</v>
      </c>
      <c r="E434" s="95">
        <v>141</v>
      </c>
      <c r="F434" s="96" t="s">
        <v>554</v>
      </c>
      <c r="G434" s="21">
        <v>24</v>
      </c>
      <c r="H434" s="22">
        <v>27</v>
      </c>
      <c r="I434" s="23">
        <v>23.77</v>
      </c>
      <c r="J434" s="21">
        <v>123</v>
      </c>
      <c r="K434" s="24">
        <v>50</v>
      </c>
      <c r="L434" s="23">
        <v>30.08</v>
      </c>
      <c r="M434" s="26"/>
      <c r="N434" s="27" t="s">
        <v>174</v>
      </c>
      <c r="O434" s="24" t="s">
        <v>18</v>
      </c>
      <c r="P434" s="25" t="s">
        <v>35</v>
      </c>
    </row>
    <row r="435" spans="1:16" ht="27.6" customHeight="1" thickBot="1">
      <c r="A435" s="21" t="s">
        <v>889</v>
      </c>
      <c r="B435" s="94">
        <v>17</v>
      </c>
      <c r="C435" s="17" t="s">
        <v>531</v>
      </c>
      <c r="D435" s="22" t="s">
        <v>153</v>
      </c>
      <c r="E435" s="95">
        <v>142</v>
      </c>
      <c r="F435" s="96" t="s">
        <v>555</v>
      </c>
      <c r="G435" s="21">
        <v>24</v>
      </c>
      <c r="H435" s="22">
        <v>28</v>
      </c>
      <c r="I435" s="23">
        <v>34.53</v>
      </c>
      <c r="J435" s="21">
        <v>123</v>
      </c>
      <c r="K435" s="24">
        <v>49</v>
      </c>
      <c r="L435" s="23">
        <v>45.02</v>
      </c>
      <c r="M435" s="26"/>
      <c r="N435" s="27" t="s">
        <v>174</v>
      </c>
      <c r="O435" s="24" t="s">
        <v>18</v>
      </c>
      <c r="P435" s="25" t="s">
        <v>35</v>
      </c>
    </row>
    <row r="436" spans="1:16" ht="27.6" customHeight="1" thickTop="1">
      <c r="A436" s="90" t="s">
        <v>558</v>
      </c>
      <c r="B436" s="91">
        <v>18</v>
      </c>
      <c r="C436" s="40" t="s">
        <v>559</v>
      </c>
      <c r="D436" s="41" t="s">
        <v>560</v>
      </c>
      <c r="E436" s="100">
        <v>1</v>
      </c>
      <c r="F436" s="60" t="s">
        <v>561</v>
      </c>
      <c r="G436" s="106">
        <v>27</v>
      </c>
      <c r="H436" s="41">
        <v>7</v>
      </c>
      <c r="I436" s="81">
        <v>7.38</v>
      </c>
      <c r="J436" s="106">
        <v>142</v>
      </c>
      <c r="K436" s="59">
        <v>12</v>
      </c>
      <c r="L436" s="60">
        <v>10.85</v>
      </c>
      <c r="M436" s="61" t="s">
        <v>562</v>
      </c>
      <c r="N436" s="62" t="s">
        <v>563</v>
      </c>
      <c r="O436" s="59" t="s">
        <v>18</v>
      </c>
      <c r="P436" s="58" t="s">
        <v>564</v>
      </c>
    </row>
    <row r="437" spans="1:16" ht="27.6" customHeight="1">
      <c r="A437" s="15" t="s">
        <v>558</v>
      </c>
      <c r="B437" s="16">
        <v>18</v>
      </c>
      <c r="C437" s="17" t="s">
        <v>559</v>
      </c>
      <c r="D437" s="22" t="s">
        <v>560</v>
      </c>
      <c r="E437" s="95">
        <v>2</v>
      </c>
      <c r="F437" s="25" t="s">
        <v>893</v>
      </c>
      <c r="G437" s="21">
        <v>27</v>
      </c>
      <c r="H437" s="22">
        <v>6</v>
      </c>
      <c r="I437" s="23">
        <v>35</v>
      </c>
      <c r="J437" s="21">
        <v>142</v>
      </c>
      <c r="K437" s="24">
        <v>12</v>
      </c>
      <c r="L437" s="25">
        <v>14.5</v>
      </c>
      <c r="M437" s="26" t="s">
        <v>565</v>
      </c>
      <c r="N437" s="27" t="s">
        <v>566</v>
      </c>
      <c r="O437" s="24" t="s">
        <v>567</v>
      </c>
      <c r="P437" s="55" t="s">
        <v>261</v>
      </c>
    </row>
    <row r="438" spans="1:16" ht="27.6" customHeight="1">
      <c r="A438" s="15" t="s">
        <v>558</v>
      </c>
      <c r="B438" s="16">
        <v>18</v>
      </c>
      <c r="C438" s="17" t="s">
        <v>559</v>
      </c>
      <c r="D438" s="22" t="s">
        <v>560</v>
      </c>
      <c r="E438" s="95">
        <v>3</v>
      </c>
      <c r="F438" s="25" t="s">
        <v>568</v>
      </c>
      <c r="G438" s="21">
        <v>27</v>
      </c>
      <c r="H438" s="22">
        <v>6</v>
      </c>
      <c r="I438" s="23">
        <v>36.01</v>
      </c>
      <c r="J438" s="21">
        <v>142</v>
      </c>
      <c r="K438" s="24">
        <v>13</v>
      </c>
      <c r="L438" s="25">
        <v>29.67</v>
      </c>
      <c r="M438" s="26" t="s">
        <v>562</v>
      </c>
      <c r="N438" s="27" t="s">
        <v>569</v>
      </c>
      <c r="O438" s="24" t="s">
        <v>570</v>
      </c>
      <c r="P438" s="55" t="s">
        <v>571</v>
      </c>
    </row>
    <row r="439" spans="1:16" ht="27.6" customHeight="1">
      <c r="A439" s="15" t="s">
        <v>558</v>
      </c>
      <c r="B439" s="16">
        <v>18</v>
      </c>
      <c r="C439" s="17" t="s">
        <v>559</v>
      </c>
      <c r="D439" s="22" t="s">
        <v>560</v>
      </c>
      <c r="E439" s="95">
        <v>4</v>
      </c>
      <c r="F439" s="25" t="s">
        <v>572</v>
      </c>
      <c r="G439" s="21">
        <v>27</v>
      </c>
      <c r="H439" s="22">
        <v>6</v>
      </c>
      <c r="I439" s="23">
        <v>24.3</v>
      </c>
      <c r="J439" s="21">
        <v>142</v>
      </c>
      <c r="K439" s="24">
        <v>11</v>
      </c>
      <c r="L439" s="25">
        <v>39.450000000000003</v>
      </c>
      <c r="M439" s="26" t="s">
        <v>562</v>
      </c>
      <c r="N439" s="27" t="s">
        <v>563</v>
      </c>
      <c r="O439" s="24" t="s">
        <v>573</v>
      </c>
      <c r="P439" s="55" t="s">
        <v>574</v>
      </c>
    </row>
    <row r="440" spans="1:16" ht="27.6" customHeight="1">
      <c r="A440" s="15" t="s">
        <v>558</v>
      </c>
      <c r="B440" s="16">
        <v>18</v>
      </c>
      <c r="C440" s="17" t="s">
        <v>559</v>
      </c>
      <c r="D440" s="22" t="s">
        <v>560</v>
      </c>
      <c r="E440" s="95">
        <v>5</v>
      </c>
      <c r="F440" s="55" t="s">
        <v>575</v>
      </c>
      <c r="G440" s="21">
        <v>27</v>
      </c>
      <c r="H440" s="22">
        <v>6</v>
      </c>
      <c r="I440" s="23">
        <v>16.27</v>
      </c>
      <c r="J440" s="21">
        <v>142</v>
      </c>
      <c r="K440" s="24">
        <v>12</v>
      </c>
      <c r="L440" s="25">
        <v>19.940000000000001</v>
      </c>
      <c r="M440" s="26" t="s">
        <v>562</v>
      </c>
      <c r="N440" s="27" t="s">
        <v>576</v>
      </c>
      <c r="O440" s="24" t="s">
        <v>577</v>
      </c>
      <c r="P440" s="55" t="s">
        <v>272</v>
      </c>
    </row>
    <row r="441" spans="1:16" ht="27.6" customHeight="1">
      <c r="A441" s="15" t="s">
        <v>558</v>
      </c>
      <c r="B441" s="16">
        <v>18</v>
      </c>
      <c r="C441" s="17" t="s">
        <v>559</v>
      </c>
      <c r="D441" s="22" t="s">
        <v>560</v>
      </c>
      <c r="E441" s="95">
        <v>6</v>
      </c>
      <c r="F441" s="25" t="s">
        <v>578</v>
      </c>
      <c r="G441" s="21">
        <v>27</v>
      </c>
      <c r="H441" s="22">
        <v>5</v>
      </c>
      <c r="I441" s="23">
        <v>2.7</v>
      </c>
      <c r="J441" s="21">
        <v>142</v>
      </c>
      <c r="K441" s="24">
        <v>13</v>
      </c>
      <c r="L441" s="25">
        <v>31.96</v>
      </c>
      <c r="M441" s="26" t="s">
        <v>579</v>
      </c>
      <c r="N441" s="27" t="s">
        <v>576</v>
      </c>
      <c r="O441" s="24" t="s">
        <v>18</v>
      </c>
      <c r="P441" s="55" t="s">
        <v>580</v>
      </c>
    </row>
    <row r="442" spans="1:16" ht="27.6" customHeight="1">
      <c r="A442" s="15" t="s">
        <v>558</v>
      </c>
      <c r="B442" s="16">
        <v>18</v>
      </c>
      <c r="C442" s="17" t="s">
        <v>559</v>
      </c>
      <c r="D442" s="22" t="s">
        <v>560</v>
      </c>
      <c r="E442" s="95">
        <v>7</v>
      </c>
      <c r="F442" s="25" t="s">
        <v>581</v>
      </c>
      <c r="G442" s="21">
        <v>27</v>
      </c>
      <c r="H442" s="22">
        <v>3</v>
      </c>
      <c r="I442" s="23">
        <v>18.98</v>
      </c>
      <c r="J442" s="21">
        <v>142</v>
      </c>
      <c r="K442" s="24">
        <v>13</v>
      </c>
      <c r="L442" s="25">
        <v>44.58</v>
      </c>
      <c r="M442" s="26" t="s">
        <v>562</v>
      </c>
      <c r="N442" s="27" t="s">
        <v>582</v>
      </c>
      <c r="O442" s="24" t="s">
        <v>583</v>
      </c>
      <c r="P442" s="55" t="s">
        <v>584</v>
      </c>
    </row>
    <row r="443" spans="1:16" ht="27.6" customHeight="1">
      <c r="A443" s="15" t="s">
        <v>558</v>
      </c>
      <c r="B443" s="16">
        <v>18</v>
      </c>
      <c r="C443" s="17" t="s">
        <v>559</v>
      </c>
      <c r="D443" s="22" t="s">
        <v>560</v>
      </c>
      <c r="E443" s="95">
        <v>8</v>
      </c>
      <c r="F443" s="25" t="s">
        <v>585</v>
      </c>
      <c r="G443" s="21">
        <v>27</v>
      </c>
      <c r="H443" s="22">
        <v>3</v>
      </c>
      <c r="I443" s="23">
        <v>9.14</v>
      </c>
      <c r="J443" s="21">
        <v>142</v>
      </c>
      <c r="K443" s="24">
        <v>13</v>
      </c>
      <c r="L443" s="25">
        <v>23.83</v>
      </c>
      <c r="M443" s="26" t="s">
        <v>562</v>
      </c>
      <c r="N443" s="27" t="s">
        <v>586</v>
      </c>
      <c r="O443" s="24" t="s">
        <v>18</v>
      </c>
      <c r="P443" s="55" t="s">
        <v>587</v>
      </c>
    </row>
    <row r="444" spans="1:16" ht="27.6" customHeight="1">
      <c r="A444" s="15" t="s">
        <v>558</v>
      </c>
      <c r="B444" s="16">
        <v>18</v>
      </c>
      <c r="C444" s="17" t="s">
        <v>559</v>
      </c>
      <c r="D444" s="22" t="s">
        <v>560</v>
      </c>
      <c r="E444" s="95">
        <v>9</v>
      </c>
      <c r="F444" s="55" t="s">
        <v>588</v>
      </c>
      <c r="G444" s="21">
        <v>27</v>
      </c>
      <c r="H444" s="22">
        <v>2</v>
      </c>
      <c r="I444" s="23">
        <v>50.16</v>
      </c>
      <c r="J444" s="21">
        <v>142</v>
      </c>
      <c r="K444" s="24">
        <v>10</v>
      </c>
      <c r="L444" s="25">
        <v>57.64</v>
      </c>
      <c r="M444" s="26" t="s">
        <v>589</v>
      </c>
      <c r="N444" s="27" t="s">
        <v>576</v>
      </c>
      <c r="O444" s="24" t="s">
        <v>590</v>
      </c>
      <c r="P444" s="55" t="s">
        <v>591</v>
      </c>
    </row>
    <row r="445" spans="1:16" ht="27.6" customHeight="1">
      <c r="A445" s="15" t="s">
        <v>558</v>
      </c>
      <c r="B445" s="16">
        <v>18</v>
      </c>
      <c r="C445" s="17" t="s">
        <v>559</v>
      </c>
      <c r="D445" s="22" t="s">
        <v>560</v>
      </c>
      <c r="E445" s="95">
        <v>10</v>
      </c>
      <c r="F445" s="55" t="s">
        <v>592</v>
      </c>
      <c r="G445" s="21">
        <v>27</v>
      </c>
      <c r="H445" s="22">
        <v>3</v>
      </c>
      <c r="I445" s="23">
        <v>48.01</v>
      </c>
      <c r="J445" s="21">
        <v>142</v>
      </c>
      <c r="K445" s="24">
        <v>11</v>
      </c>
      <c r="L445" s="25">
        <v>32.450000000000003</v>
      </c>
      <c r="M445" s="26" t="s">
        <v>562</v>
      </c>
      <c r="N445" s="27" t="s">
        <v>593</v>
      </c>
      <c r="O445" s="24" t="s">
        <v>18</v>
      </c>
      <c r="P445" s="55" t="s">
        <v>594</v>
      </c>
    </row>
    <row r="446" spans="1:16" ht="27.6" customHeight="1">
      <c r="A446" s="15" t="s">
        <v>558</v>
      </c>
      <c r="B446" s="16">
        <v>18</v>
      </c>
      <c r="C446" s="17" t="s">
        <v>559</v>
      </c>
      <c r="D446" s="22" t="s">
        <v>560</v>
      </c>
      <c r="E446" s="95">
        <v>11</v>
      </c>
      <c r="F446" s="55" t="s">
        <v>595</v>
      </c>
      <c r="G446" s="21">
        <v>27</v>
      </c>
      <c r="H446" s="22">
        <v>4</v>
      </c>
      <c r="I446" s="23">
        <v>30.46</v>
      </c>
      <c r="J446" s="21">
        <v>142</v>
      </c>
      <c r="K446" s="24">
        <v>11</v>
      </c>
      <c r="L446" s="25">
        <v>6.54</v>
      </c>
      <c r="M446" s="26" t="s">
        <v>562</v>
      </c>
      <c r="N446" s="27" t="s">
        <v>596</v>
      </c>
      <c r="O446" s="24" t="s">
        <v>583</v>
      </c>
      <c r="P446" s="55" t="s">
        <v>597</v>
      </c>
    </row>
    <row r="447" spans="1:16" ht="27.6" customHeight="1" thickBot="1">
      <c r="A447" s="429" t="s">
        <v>558</v>
      </c>
      <c r="B447" s="44">
        <v>18</v>
      </c>
      <c r="C447" s="135" t="s">
        <v>559</v>
      </c>
      <c r="D447" s="108" t="s">
        <v>560</v>
      </c>
      <c r="E447" s="103">
        <v>12</v>
      </c>
      <c r="F447" s="110" t="s">
        <v>598</v>
      </c>
      <c r="G447" s="107">
        <v>27</v>
      </c>
      <c r="H447" s="108">
        <v>5</v>
      </c>
      <c r="I447" s="109">
        <v>37.04</v>
      </c>
      <c r="J447" s="107">
        <v>142</v>
      </c>
      <c r="K447" s="86">
        <v>11</v>
      </c>
      <c r="L447" s="85">
        <v>55.98</v>
      </c>
      <c r="M447" s="87" t="s">
        <v>562</v>
      </c>
      <c r="N447" s="88" t="s">
        <v>599</v>
      </c>
      <c r="O447" s="86" t="s">
        <v>600</v>
      </c>
      <c r="P447" s="110" t="s">
        <v>261</v>
      </c>
    </row>
    <row r="448" spans="1:16" ht="27.6" customHeight="1" thickTop="1">
      <c r="A448" s="45" t="s">
        <v>601</v>
      </c>
      <c r="B448" s="46">
        <v>19</v>
      </c>
      <c r="C448" s="47" t="s">
        <v>602</v>
      </c>
      <c r="D448" s="48" t="s">
        <v>603</v>
      </c>
      <c r="E448" s="49">
        <v>1</v>
      </c>
      <c r="F448" s="52" t="s">
        <v>894</v>
      </c>
      <c r="G448" s="111">
        <v>34</v>
      </c>
      <c r="H448" s="41">
        <v>59</v>
      </c>
      <c r="I448" s="112" t="s">
        <v>909</v>
      </c>
      <c r="J448" s="111">
        <v>139</v>
      </c>
      <c r="K448" s="59">
        <v>49</v>
      </c>
      <c r="L448" s="112" t="s">
        <v>909</v>
      </c>
      <c r="M448" s="53" t="s">
        <v>140</v>
      </c>
      <c r="N448" s="54" t="s">
        <v>154</v>
      </c>
      <c r="O448" s="51" t="s">
        <v>604</v>
      </c>
      <c r="P448" s="52" t="s">
        <v>19</v>
      </c>
    </row>
    <row r="449" spans="1:16" ht="27.6" customHeight="1">
      <c r="A449" s="15" t="s">
        <v>605</v>
      </c>
      <c r="B449" s="16">
        <v>19</v>
      </c>
      <c r="C449" s="17" t="s">
        <v>602</v>
      </c>
      <c r="D449" s="18" t="s">
        <v>603</v>
      </c>
      <c r="E449" s="19">
        <v>2</v>
      </c>
      <c r="F449" s="25" t="s">
        <v>895</v>
      </c>
      <c r="G449" s="113">
        <v>34</v>
      </c>
      <c r="H449" s="22">
        <v>59</v>
      </c>
      <c r="I449" s="112" t="s">
        <v>909</v>
      </c>
      <c r="J449" s="113">
        <v>139</v>
      </c>
      <c r="K449" s="24">
        <v>49</v>
      </c>
      <c r="L449" s="112" t="s">
        <v>909</v>
      </c>
      <c r="M449" s="26" t="s">
        <v>140</v>
      </c>
      <c r="N449" s="27" t="s">
        <v>154</v>
      </c>
      <c r="O449" s="24" t="s">
        <v>604</v>
      </c>
      <c r="P449" s="25" t="s">
        <v>19</v>
      </c>
    </row>
    <row r="450" spans="1:16" ht="27.6" customHeight="1">
      <c r="A450" s="15" t="s">
        <v>605</v>
      </c>
      <c r="B450" s="16">
        <v>19</v>
      </c>
      <c r="C450" s="17" t="s">
        <v>602</v>
      </c>
      <c r="D450" s="18" t="s">
        <v>606</v>
      </c>
      <c r="E450" s="19">
        <v>3</v>
      </c>
      <c r="F450" s="25" t="s">
        <v>607</v>
      </c>
      <c r="G450" s="113">
        <v>34</v>
      </c>
      <c r="H450" s="22">
        <v>58</v>
      </c>
      <c r="I450" s="112" t="s">
        <v>909</v>
      </c>
      <c r="J450" s="113">
        <v>139</v>
      </c>
      <c r="K450" s="24">
        <v>46</v>
      </c>
      <c r="L450" s="112" t="s">
        <v>909</v>
      </c>
      <c r="M450" s="26" t="s">
        <v>608</v>
      </c>
      <c r="N450" s="27" t="s">
        <v>609</v>
      </c>
      <c r="O450" s="24" t="s">
        <v>610</v>
      </c>
      <c r="P450" s="25" t="s">
        <v>611</v>
      </c>
    </row>
    <row r="451" spans="1:16" ht="27.6" customHeight="1">
      <c r="A451" s="15" t="s">
        <v>605</v>
      </c>
      <c r="B451" s="16">
        <v>19</v>
      </c>
      <c r="C451" s="17" t="s">
        <v>602</v>
      </c>
      <c r="D451" s="18" t="s">
        <v>606</v>
      </c>
      <c r="E451" s="19">
        <v>4</v>
      </c>
      <c r="F451" s="25" t="s">
        <v>612</v>
      </c>
      <c r="G451" s="113">
        <v>34</v>
      </c>
      <c r="H451" s="22">
        <v>58</v>
      </c>
      <c r="I451" s="112" t="s">
        <v>909</v>
      </c>
      <c r="J451" s="113">
        <v>139</v>
      </c>
      <c r="K451" s="24">
        <v>46</v>
      </c>
      <c r="L451" s="112" t="s">
        <v>909</v>
      </c>
      <c r="M451" s="114" t="s">
        <v>608</v>
      </c>
      <c r="N451" s="115" t="s">
        <v>154</v>
      </c>
      <c r="O451" s="116" t="s">
        <v>613</v>
      </c>
      <c r="P451" s="117" t="s">
        <v>81</v>
      </c>
    </row>
    <row r="452" spans="1:16" ht="27.6" customHeight="1">
      <c r="A452" s="15" t="s">
        <v>605</v>
      </c>
      <c r="B452" s="16">
        <v>19</v>
      </c>
      <c r="C452" s="17" t="s">
        <v>602</v>
      </c>
      <c r="D452" s="18" t="s">
        <v>606</v>
      </c>
      <c r="E452" s="19">
        <v>5</v>
      </c>
      <c r="F452" s="25" t="s">
        <v>614</v>
      </c>
      <c r="G452" s="113">
        <v>35</v>
      </c>
      <c r="H452" s="22">
        <v>1</v>
      </c>
      <c r="I452" s="112" t="s">
        <v>909</v>
      </c>
      <c r="J452" s="113">
        <v>139</v>
      </c>
      <c r="K452" s="24">
        <v>49</v>
      </c>
      <c r="L452" s="112" t="s">
        <v>909</v>
      </c>
      <c r="M452" s="26" t="s">
        <v>896</v>
      </c>
      <c r="N452" s="27" t="s">
        <v>154</v>
      </c>
      <c r="O452" s="24" t="s">
        <v>604</v>
      </c>
      <c r="P452" s="25" t="s">
        <v>615</v>
      </c>
    </row>
    <row r="453" spans="1:16" ht="27.6" customHeight="1" thickBot="1">
      <c r="A453" s="136" t="s">
        <v>605</v>
      </c>
      <c r="B453" s="571">
        <v>19</v>
      </c>
      <c r="C453" s="135" t="s">
        <v>602</v>
      </c>
      <c r="D453" s="83" t="s">
        <v>606</v>
      </c>
      <c r="E453" s="84">
        <v>6</v>
      </c>
      <c r="F453" s="85" t="s">
        <v>616</v>
      </c>
      <c r="G453" s="572">
        <v>34</v>
      </c>
      <c r="H453" s="108">
        <v>58</v>
      </c>
      <c r="I453" s="424" t="s">
        <v>909</v>
      </c>
      <c r="J453" s="572">
        <v>139</v>
      </c>
      <c r="K453" s="86">
        <v>46</v>
      </c>
      <c r="L453" s="424" t="s">
        <v>909</v>
      </c>
      <c r="M453" s="87" t="s">
        <v>617</v>
      </c>
      <c r="N453" s="88" t="s">
        <v>168</v>
      </c>
      <c r="O453" s="86" t="s">
        <v>618</v>
      </c>
      <c r="P453" s="85" t="s">
        <v>619</v>
      </c>
    </row>
    <row r="454" spans="1:16" ht="27.6" customHeight="1" thickTop="1">
      <c r="A454" s="45" t="s">
        <v>620</v>
      </c>
      <c r="B454" s="46">
        <v>20</v>
      </c>
      <c r="C454" s="47" t="s">
        <v>621</v>
      </c>
      <c r="D454" s="48" t="s">
        <v>622</v>
      </c>
      <c r="E454" s="49">
        <v>1</v>
      </c>
      <c r="F454" s="50" t="s">
        <v>623</v>
      </c>
      <c r="G454" s="120">
        <v>32</v>
      </c>
      <c r="H454" s="121">
        <v>39</v>
      </c>
      <c r="I454" s="52" t="s">
        <v>909</v>
      </c>
      <c r="J454" s="120">
        <v>128</v>
      </c>
      <c r="K454" s="121">
        <v>39</v>
      </c>
      <c r="L454" s="52" t="s">
        <v>909</v>
      </c>
      <c r="M454" s="53" t="s">
        <v>896</v>
      </c>
      <c r="N454" s="382" t="s">
        <v>624</v>
      </c>
      <c r="O454" s="382" t="s">
        <v>897</v>
      </c>
      <c r="P454" s="52" t="s">
        <v>128</v>
      </c>
    </row>
    <row r="455" spans="1:16" ht="27.6" customHeight="1">
      <c r="A455" s="15" t="s">
        <v>620</v>
      </c>
      <c r="B455" s="16">
        <v>20</v>
      </c>
      <c r="C455" s="17" t="s">
        <v>621</v>
      </c>
      <c r="D455" s="18" t="s">
        <v>622</v>
      </c>
      <c r="E455" s="19">
        <v>2</v>
      </c>
      <c r="F455" s="55" t="s">
        <v>625</v>
      </c>
      <c r="G455" s="21">
        <v>32</v>
      </c>
      <c r="H455" s="22">
        <v>39</v>
      </c>
      <c r="I455" s="23" t="s">
        <v>909</v>
      </c>
      <c r="J455" s="21">
        <v>128</v>
      </c>
      <c r="K455" s="22">
        <v>39</v>
      </c>
      <c r="L455" s="25" t="s">
        <v>909</v>
      </c>
      <c r="M455" s="26" t="s">
        <v>896</v>
      </c>
      <c r="N455" s="118" t="s">
        <v>626</v>
      </c>
      <c r="O455" s="118" t="s">
        <v>898</v>
      </c>
      <c r="P455" s="25" t="s">
        <v>346</v>
      </c>
    </row>
    <row r="456" spans="1:16" ht="27.6" customHeight="1">
      <c r="A456" s="15" t="s">
        <v>620</v>
      </c>
      <c r="B456" s="16">
        <v>20</v>
      </c>
      <c r="C456" s="17" t="s">
        <v>621</v>
      </c>
      <c r="D456" s="18" t="s">
        <v>622</v>
      </c>
      <c r="E456" s="19">
        <v>3</v>
      </c>
      <c r="F456" s="55" t="s">
        <v>627</v>
      </c>
      <c r="G456" s="21">
        <v>32</v>
      </c>
      <c r="H456" s="22">
        <v>34</v>
      </c>
      <c r="I456" s="23" t="s">
        <v>909</v>
      </c>
      <c r="J456" s="21">
        <v>128</v>
      </c>
      <c r="K456" s="22">
        <v>43</v>
      </c>
      <c r="L456" s="25" t="s">
        <v>909</v>
      </c>
      <c r="M456" s="26" t="s">
        <v>899</v>
      </c>
      <c r="N456" s="118" t="s">
        <v>628</v>
      </c>
      <c r="O456" s="118" t="s">
        <v>825</v>
      </c>
      <c r="P456" s="25" t="s">
        <v>96</v>
      </c>
    </row>
    <row r="457" spans="1:16" ht="27.6" customHeight="1">
      <c r="A457" s="15" t="s">
        <v>620</v>
      </c>
      <c r="B457" s="16">
        <v>20</v>
      </c>
      <c r="C457" s="17" t="s">
        <v>621</v>
      </c>
      <c r="D457" s="18" t="s">
        <v>622</v>
      </c>
      <c r="E457" s="19">
        <v>4</v>
      </c>
      <c r="F457" s="55" t="s">
        <v>629</v>
      </c>
      <c r="G457" s="21">
        <v>32</v>
      </c>
      <c r="H457" s="22">
        <v>34</v>
      </c>
      <c r="I457" s="23" t="s">
        <v>909</v>
      </c>
      <c r="J457" s="21">
        <v>128</v>
      </c>
      <c r="K457" s="22">
        <v>43</v>
      </c>
      <c r="L457" s="25" t="s">
        <v>909</v>
      </c>
      <c r="M457" s="26" t="s">
        <v>899</v>
      </c>
      <c r="N457" s="118" t="s">
        <v>628</v>
      </c>
      <c r="O457" s="118" t="s">
        <v>825</v>
      </c>
      <c r="P457" s="25" t="s">
        <v>96</v>
      </c>
    </row>
    <row r="458" spans="1:16" ht="27.6" customHeight="1">
      <c r="A458" s="15" t="s">
        <v>620</v>
      </c>
      <c r="B458" s="16">
        <v>20</v>
      </c>
      <c r="C458" s="17" t="s">
        <v>621</v>
      </c>
      <c r="D458" s="18" t="s">
        <v>622</v>
      </c>
      <c r="E458" s="19">
        <v>5</v>
      </c>
      <c r="F458" s="55" t="s">
        <v>630</v>
      </c>
      <c r="G458" s="21">
        <v>32</v>
      </c>
      <c r="H458" s="22">
        <v>34</v>
      </c>
      <c r="I458" s="23" t="s">
        <v>909</v>
      </c>
      <c r="J458" s="21">
        <v>128</v>
      </c>
      <c r="K458" s="22">
        <v>43</v>
      </c>
      <c r="L458" s="25" t="s">
        <v>909</v>
      </c>
      <c r="M458" s="26" t="s">
        <v>899</v>
      </c>
      <c r="N458" s="118" t="s">
        <v>628</v>
      </c>
      <c r="O458" s="118" t="s">
        <v>900</v>
      </c>
      <c r="P458" s="25" t="s">
        <v>404</v>
      </c>
    </row>
    <row r="459" spans="1:16" ht="27.6" customHeight="1">
      <c r="A459" s="15" t="s">
        <v>620</v>
      </c>
      <c r="B459" s="16">
        <v>20</v>
      </c>
      <c r="C459" s="17" t="s">
        <v>621</v>
      </c>
      <c r="D459" s="18" t="s">
        <v>622</v>
      </c>
      <c r="E459" s="19">
        <v>6</v>
      </c>
      <c r="F459" s="55" t="s">
        <v>631</v>
      </c>
      <c r="G459" s="21">
        <v>33</v>
      </c>
      <c r="H459" s="22">
        <v>48</v>
      </c>
      <c r="I459" s="23" t="s">
        <v>909</v>
      </c>
      <c r="J459" s="21">
        <v>129</v>
      </c>
      <c r="K459" s="24">
        <v>40</v>
      </c>
      <c r="L459" s="25" t="s">
        <v>909</v>
      </c>
      <c r="M459" s="26" t="s">
        <v>135</v>
      </c>
      <c r="N459" s="118" t="s">
        <v>632</v>
      </c>
      <c r="O459" s="118" t="s">
        <v>900</v>
      </c>
      <c r="P459" s="25" t="s">
        <v>346</v>
      </c>
    </row>
    <row r="460" spans="1:16" ht="27.6" customHeight="1">
      <c r="A460" s="15" t="s">
        <v>620</v>
      </c>
      <c r="B460" s="16">
        <v>20</v>
      </c>
      <c r="C460" s="17" t="s">
        <v>621</v>
      </c>
      <c r="D460" s="18" t="s">
        <v>622</v>
      </c>
      <c r="E460" s="19">
        <v>7</v>
      </c>
      <c r="F460" s="55" t="s">
        <v>633</v>
      </c>
      <c r="G460" s="21">
        <v>33</v>
      </c>
      <c r="H460" s="22">
        <v>45</v>
      </c>
      <c r="I460" s="23" t="s">
        <v>909</v>
      </c>
      <c r="J460" s="21">
        <v>129</v>
      </c>
      <c r="K460" s="24">
        <v>39</v>
      </c>
      <c r="L460" s="25" t="s">
        <v>909</v>
      </c>
      <c r="M460" s="26" t="s">
        <v>135</v>
      </c>
      <c r="N460" s="118" t="s">
        <v>634</v>
      </c>
      <c r="O460" s="118" t="s">
        <v>897</v>
      </c>
      <c r="P460" s="25" t="s">
        <v>346</v>
      </c>
    </row>
    <row r="461" spans="1:16" ht="27.6" customHeight="1">
      <c r="A461" s="15" t="s">
        <v>620</v>
      </c>
      <c r="B461" s="16">
        <v>20</v>
      </c>
      <c r="C461" s="17" t="s">
        <v>621</v>
      </c>
      <c r="D461" s="18" t="s">
        <v>622</v>
      </c>
      <c r="E461" s="19">
        <v>8</v>
      </c>
      <c r="F461" s="55" t="s">
        <v>635</v>
      </c>
      <c r="G461" s="21">
        <v>33</v>
      </c>
      <c r="H461" s="22">
        <v>46</v>
      </c>
      <c r="I461" s="23" t="s">
        <v>909</v>
      </c>
      <c r="J461" s="21">
        <v>129</v>
      </c>
      <c r="K461" s="24">
        <v>39</v>
      </c>
      <c r="L461" s="25" t="s">
        <v>909</v>
      </c>
      <c r="M461" s="26" t="s">
        <v>135</v>
      </c>
      <c r="N461" s="118" t="s">
        <v>632</v>
      </c>
      <c r="O461" s="118" t="s">
        <v>901</v>
      </c>
      <c r="P461" s="25" t="s">
        <v>346</v>
      </c>
    </row>
    <row r="462" spans="1:16" ht="27.6" customHeight="1">
      <c r="A462" s="15" t="s">
        <v>620</v>
      </c>
      <c r="B462" s="16">
        <v>20</v>
      </c>
      <c r="C462" s="17" t="s">
        <v>621</v>
      </c>
      <c r="D462" s="18" t="s">
        <v>622</v>
      </c>
      <c r="E462" s="19">
        <v>9</v>
      </c>
      <c r="F462" s="55" t="s">
        <v>636</v>
      </c>
      <c r="G462" s="21">
        <v>34</v>
      </c>
      <c r="H462" s="22">
        <v>24</v>
      </c>
      <c r="I462" s="23" t="s">
        <v>909</v>
      </c>
      <c r="J462" s="21">
        <v>129</v>
      </c>
      <c r="K462" s="24">
        <v>16</v>
      </c>
      <c r="L462" s="25" t="s">
        <v>909</v>
      </c>
      <c r="M462" s="26" t="s">
        <v>135</v>
      </c>
      <c r="N462" s="118" t="s">
        <v>632</v>
      </c>
      <c r="O462" s="118" t="s">
        <v>898</v>
      </c>
      <c r="P462" s="25" t="s">
        <v>346</v>
      </c>
    </row>
    <row r="463" spans="1:16" ht="27.6" customHeight="1">
      <c r="A463" s="15" t="s">
        <v>620</v>
      </c>
      <c r="B463" s="16">
        <v>20</v>
      </c>
      <c r="C463" s="17" t="s">
        <v>621</v>
      </c>
      <c r="D463" s="18" t="s">
        <v>622</v>
      </c>
      <c r="E463" s="19">
        <v>10</v>
      </c>
      <c r="F463" s="55" t="s">
        <v>637</v>
      </c>
      <c r="G463" s="21">
        <v>34</v>
      </c>
      <c r="H463" s="22">
        <v>16</v>
      </c>
      <c r="I463" s="23" t="s">
        <v>909</v>
      </c>
      <c r="J463" s="21">
        <v>129</v>
      </c>
      <c r="K463" s="22">
        <v>19</v>
      </c>
      <c r="L463" s="25" t="s">
        <v>909</v>
      </c>
      <c r="M463" s="26" t="s">
        <v>896</v>
      </c>
      <c r="N463" s="118" t="s">
        <v>626</v>
      </c>
      <c r="O463" s="118" t="s">
        <v>902</v>
      </c>
      <c r="P463" s="25" t="s">
        <v>638</v>
      </c>
    </row>
    <row r="464" spans="1:16" ht="27.6" customHeight="1">
      <c r="A464" s="15" t="s">
        <v>620</v>
      </c>
      <c r="B464" s="16">
        <v>20</v>
      </c>
      <c r="C464" s="17" t="s">
        <v>621</v>
      </c>
      <c r="D464" s="18" t="s">
        <v>622</v>
      </c>
      <c r="E464" s="19">
        <v>11</v>
      </c>
      <c r="F464" s="55" t="s">
        <v>639</v>
      </c>
      <c r="G464" s="64">
        <v>32</v>
      </c>
      <c r="H464" s="18">
        <v>48</v>
      </c>
      <c r="I464" s="23" t="s">
        <v>909</v>
      </c>
      <c r="J464" s="64">
        <v>129</v>
      </c>
      <c r="K464" s="18">
        <v>3</v>
      </c>
      <c r="L464" s="25" t="s">
        <v>909</v>
      </c>
      <c r="M464" s="26" t="s">
        <v>899</v>
      </c>
      <c r="N464" s="118" t="s">
        <v>628</v>
      </c>
      <c r="O464" s="118" t="s">
        <v>640</v>
      </c>
      <c r="P464" s="25" t="s">
        <v>638</v>
      </c>
    </row>
    <row r="465" spans="1:16" ht="27.6" customHeight="1">
      <c r="A465" s="15" t="s">
        <v>620</v>
      </c>
      <c r="B465" s="16">
        <v>20</v>
      </c>
      <c r="C465" s="17" t="s">
        <v>621</v>
      </c>
      <c r="D465" s="18" t="s">
        <v>622</v>
      </c>
      <c r="E465" s="19">
        <v>12</v>
      </c>
      <c r="F465" s="55" t="s">
        <v>641</v>
      </c>
      <c r="G465" s="64">
        <v>32</v>
      </c>
      <c r="H465" s="18">
        <v>49</v>
      </c>
      <c r="I465" s="23" t="s">
        <v>909</v>
      </c>
      <c r="J465" s="64">
        <v>129</v>
      </c>
      <c r="K465" s="18">
        <v>2</v>
      </c>
      <c r="L465" s="25" t="s">
        <v>909</v>
      </c>
      <c r="M465" s="26" t="s">
        <v>899</v>
      </c>
      <c r="N465" s="118" t="s">
        <v>628</v>
      </c>
      <c r="O465" s="118" t="s">
        <v>642</v>
      </c>
      <c r="P465" s="25" t="s">
        <v>88</v>
      </c>
    </row>
    <row r="466" spans="1:16" ht="27.6" customHeight="1">
      <c r="A466" s="15" t="s">
        <v>620</v>
      </c>
      <c r="B466" s="16">
        <v>20</v>
      </c>
      <c r="C466" s="17" t="s">
        <v>621</v>
      </c>
      <c r="D466" s="18" t="s">
        <v>622</v>
      </c>
      <c r="E466" s="19">
        <v>13</v>
      </c>
      <c r="F466" s="55" t="s">
        <v>643</v>
      </c>
      <c r="G466" s="64">
        <v>32</v>
      </c>
      <c r="H466" s="18">
        <v>48</v>
      </c>
      <c r="I466" s="23" t="s">
        <v>909</v>
      </c>
      <c r="J466" s="64">
        <v>129</v>
      </c>
      <c r="K466" s="18">
        <v>3</v>
      </c>
      <c r="L466" s="25" t="s">
        <v>909</v>
      </c>
      <c r="M466" s="26" t="s">
        <v>899</v>
      </c>
      <c r="N466" s="118" t="s">
        <v>628</v>
      </c>
      <c r="O466" s="118" t="s">
        <v>642</v>
      </c>
      <c r="P466" s="23">
        <v>7</v>
      </c>
    </row>
    <row r="467" spans="1:16" ht="27.6" customHeight="1">
      <c r="A467" s="30" t="s">
        <v>620</v>
      </c>
      <c r="B467" s="31">
        <v>20</v>
      </c>
      <c r="C467" s="32" t="s">
        <v>621</v>
      </c>
      <c r="D467" s="33" t="s">
        <v>622</v>
      </c>
      <c r="E467" s="89">
        <v>14</v>
      </c>
      <c r="F467" s="56" t="s">
        <v>644</v>
      </c>
      <c r="G467" s="465">
        <v>32</v>
      </c>
      <c r="H467" s="33">
        <v>52</v>
      </c>
      <c r="I467" s="23" t="s">
        <v>909</v>
      </c>
      <c r="J467" s="465">
        <v>128</v>
      </c>
      <c r="K467" s="33">
        <v>58</v>
      </c>
      <c r="L467" s="38" t="s">
        <v>909</v>
      </c>
      <c r="M467" s="35" t="s">
        <v>140</v>
      </c>
      <c r="N467" s="557" t="s">
        <v>626</v>
      </c>
      <c r="O467" s="557" t="s">
        <v>604</v>
      </c>
      <c r="P467" s="38" t="s">
        <v>128</v>
      </c>
    </row>
    <row r="468" spans="1:16" ht="27.6" customHeight="1">
      <c r="A468" s="15" t="s">
        <v>620</v>
      </c>
      <c r="B468" s="16">
        <v>20</v>
      </c>
      <c r="C468" s="17" t="s">
        <v>621</v>
      </c>
      <c r="D468" s="18" t="s">
        <v>622</v>
      </c>
      <c r="E468" s="19">
        <v>15</v>
      </c>
      <c r="F468" s="55" t="s">
        <v>645</v>
      </c>
      <c r="G468" s="21">
        <v>32</v>
      </c>
      <c r="H468" s="22">
        <v>44</v>
      </c>
      <c r="I468" s="23" t="s">
        <v>909</v>
      </c>
      <c r="J468" s="21">
        <v>128</v>
      </c>
      <c r="K468" s="22">
        <v>52</v>
      </c>
      <c r="L468" s="25" t="s">
        <v>909</v>
      </c>
      <c r="M468" s="26" t="s">
        <v>896</v>
      </c>
      <c r="N468" s="118" t="s">
        <v>646</v>
      </c>
      <c r="O468" s="118" t="s">
        <v>825</v>
      </c>
      <c r="P468" s="25" t="s">
        <v>96</v>
      </c>
    </row>
    <row r="469" spans="1:16" ht="27.6" customHeight="1">
      <c r="A469" s="30" t="s">
        <v>620</v>
      </c>
      <c r="B469" s="31">
        <v>20</v>
      </c>
      <c r="C469" s="32" t="s">
        <v>621</v>
      </c>
      <c r="D469" s="33" t="s">
        <v>622</v>
      </c>
      <c r="E469" s="573">
        <v>16</v>
      </c>
      <c r="F469" s="574" t="s">
        <v>647</v>
      </c>
      <c r="G469" s="575">
        <v>34</v>
      </c>
      <c r="H469" s="576">
        <v>16</v>
      </c>
      <c r="I469" s="604" t="s">
        <v>909</v>
      </c>
      <c r="J469" s="575">
        <v>129</v>
      </c>
      <c r="K469" s="576">
        <v>19</v>
      </c>
      <c r="L469" s="605" t="s">
        <v>909</v>
      </c>
      <c r="M469" s="577" t="s">
        <v>140</v>
      </c>
      <c r="N469" s="578" t="s">
        <v>626</v>
      </c>
      <c r="O469" s="578" t="s">
        <v>648</v>
      </c>
      <c r="P469" s="579" t="s">
        <v>903</v>
      </c>
    </row>
    <row r="470" spans="1:16" ht="27.6" customHeight="1">
      <c r="A470" s="15" t="s">
        <v>620</v>
      </c>
      <c r="B470" s="16">
        <v>20</v>
      </c>
      <c r="C470" s="17" t="s">
        <v>621</v>
      </c>
      <c r="D470" s="18" t="s">
        <v>622</v>
      </c>
      <c r="E470" s="19">
        <v>17</v>
      </c>
      <c r="F470" s="55" t="s">
        <v>1589</v>
      </c>
      <c r="G470" s="21">
        <v>32</v>
      </c>
      <c r="H470" s="22">
        <v>44</v>
      </c>
      <c r="I470" s="23" t="s">
        <v>909</v>
      </c>
      <c r="J470" s="21">
        <v>128</v>
      </c>
      <c r="K470" s="22">
        <v>52</v>
      </c>
      <c r="L470" s="23" t="s">
        <v>909</v>
      </c>
      <c r="M470" s="26" t="s">
        <v>1166</v>
      </c>
      <c r="N470" s="118" t="s">
        <v>1169</v>
      </c>
      <c r="O470" s="118" t="s">
        <v>825</v>
      </c>
      <c r="P470" s="25" t="s">
        <v>1168</v>
      </c>
    </row>
    <row r="471" spans="1:16" ht="27.6" customHeight="1">
      <c r="A471" s="15" t="s">
        <v>620</v>
      </c>
      <c r="B471" s="16">
        <v>20</v>
      </c>
      <c r="C471" s="17" t="s">
        <v>621</v>
      </c>
      <c r="D471" s="18" t="s">
        <v>622</v>
      </c>
      <c r="E471" s="19">
        <v>18</v>
      </c>
      <c r="F471" s="55" t="s">
        <v>1149</v>
      </c>
      <c r="G471" s="21">
        <v>32</v>
      </c>
      <c r="H471" s="22">
        <v>43</v>
      </c>
      <c r="I471" s="133" t="s">
        <v>909</v>
      </c>
      <c r="J471" s="21">
        <v>128</v>
      </c>
      <c r="K471" s="22">
        <v>51</v>
      </c>
      <c r="L471" s="606" t="s">
        <v>909</v>
      </c>
      <c r="M471" s="26" t="s">
        <v>1166</v>
      </c>
      <c r="N471" s="118" t="s">
        <v>1171</v>
      </c>
      <c r="O471" s="118" t="s">
        <v>18</v>
      </c>
      <c r="P471" s="25" t="s">
        <v>1170</v>
      </c>
    </row>
    <row r="472" spans="1:16" ht="27.6" customHeight="1">
      <c r="A472" s="15" t="s">
        <v>620</v>
      </c>
      <c r="B472" s="16">
        <v>20</v>
      </c>
      <c r="C472" s="17" t="s">
        <v>621</v>
      </c>
      <c r="D472" s="18" t="s">
        <v>622</v>
      </c>
      <c r="E472" s="19">
        <v>19</v>
      </c>
      <c r="F472" s="55" t="s">
        <v>1150</v>
      </c>
      <c r="G472" s="21">
        <v>32</v>
      </c>
      <c r="H472" s="22">
        <v>56</v>
      </c>
      <c r="I472" s="23" t="s">
        <v>909</v>
      </c>
      <c r="J472" s="21">
        <v>129</v>
      </c>
      <c r="K472" s="22">
        <v>0</v>
      </c>
      <c r="L472" s="23" t="s">
        <v>909</v>
      </c>
      <c r="M472" s="26" t="s">
        <v>1166</v>
      </c>
      <c r="N472" s="118" t="s">
        <v>1173</v>
      </c>
      <c r="O472" s="118" t="s">
        <v>18</v>
      </c>
      <c r="P472" s="25" t="s">
        <v>1172</v>
      </c>
    </row>
    <row r="473" spans="1:16" ht="27.6" customHeight="1" thickBot="1">
      <c r="A473" s="429" t="s">
        <v>620</v>
      </c>
      <c r="B473" s="44">
        <v>20</v>
      </c>
      <c r="C473" s="135" t="s">
        <v>621</v>
      </c>
      <c r="D473" s="83" t="s">
        <v>622</v>
      </c>
      <c r="E473" s="84">
        <v>20</v>
      </c>
      <c r="F473" s="110" t="s">
        <v>1151</v>
      </c>
      <c r="G473" s="107">
        <v>32</v>
      </c>
      <c r="H473" s="108">
        <v>56</v>
      </c>
      <c r="I473" s="607" t="s">
        <v>909</v>
      </c>
      <c r="J473" s="107">
        <v>129</v>
      </c>
      <c r="K473" s="108">
        <v>2</v>
      </c>
      <c r="L473" s="594" t="s">
        <v>909</v>
      </c>
      <c r="M473" s="87" t="s">
        <v>1167</v>
      </c>
      <c r="N473" s="580" t="s">
        <v>1175</v>
      </c>
      <c r="O473" s="580" t="s">
        <v>18</v>
      </c>
      <c r="P473" s="85" t="s">
        <v>1174</v>
      </c>
    </row>
    <row r="474" spans="1:16" ht="27.6" customHeight="1" thickTop="1">
      <c r="A474" s="45" t="s">
        <v>649</v>
      </c>
      <c r="B474" s="46">
        <v>21</v>
      </c>
      <c r="C474" s="47" t="s">
        <v>650</v>
      </c>
      <c r="D474" s="48" t="s">
        <v>651</v>
      </c>
      <c r="E474" s="49">
        <v>1</v>
      </c>
      <c r="F474" s="50" t="s">
        <v>1590</v>
      </c>
      <c r="G474" s="120">
        <v>33</v>
      </c>
      <c r="H474" s="121">
        <v>27</v>
      </c>
      <c r="I474" s="470">
        <v>10.16</v>
      </c>
      <c r="J474" s="120">
        <v>135</v>
      </c>
      <c r="K474" s="51">
        <v>48</v>
      </c>
      <c r="L474" s="470">
        <v>59.05</v>
      </c>
      <c r="M474" s="53" t="s">
        <v>140</v>
      </c>
      <c r="N474" s="54" t="s">
        <v>652</v>
      </c>
      <c r="O474" s="51" t="s">
        <v>653</v>
      </c>
      <c r="P474" s="52" t="s">
        <v>654</v>
      </c>
    </row>
    <row r="475" spans="1:16" ht="27.6" customHeight="1">
      <c r="A475" s="15" t="s">
        <v>649</v>
      </c>
      <c r="B475" s="16">
        <v>21</v>
      </c>
      <c r="C475" s="17" t="s">
        <v>650</v>
      </c>
      <c r="D475" s="18" t="s">
        <v>651</v>
      </c>
      <c r="E475" s="19">
        <v>2</v>
      </c>
      <c r="F475" s="55" t="s">
        <v>1591</v>
      </c>
      <c r="G475" s="21">
        <v>33</v>
      </c>
      <c r="H475" s="22">
        <v>26</v>
      </c>
      <c r="I475" s="464">
        <v>54.19</v>
      </c>
      <c r="J475" s="21">
        <v>135</v>
      </c>
      <c r="K475" s="24">
        <v>44</v>
      </c>
      <c r="L475" s="464">
        <v>57.14</v>
      </c>
      <c r="M475" s="26" t="s">
        <v>655</v>
      </c>
      <c r="N475" s="27" t="s">
        <v>154</v>
      </c>
      <c r="O475" s="24" t="s">
        <v>68</v>
      </c>
      <c r="P475" s="25" t="s">
        <v>35</v>
      </c>
    </row>
    <row r="476" spans="1:16" ht="27.6" customHeight="1">
      <c r="A476" s="15" t="s">
        <v>649</v>
      </c>
      <c r="B476" s="16">
        <v>21</v>
      </c>
      <c r="C476" s="17" t="s">
        <v>650</v>
      </c>
      <c r="D476" s="18" t="s">
        <v>651</v>
      </c>
      <c r="E476" s="19">
        <v>3</v>
      </c>
      <c r="F476" s="55" t="s">
        <v>1592</v>
      </c>
      <c r="G476" s="21">
        <v>33</v>
      </c>
      <c r="H476" s="22">
        <v>27</v>
      </c>
      <c r="I476" s="464">
        <v>15.51</v>
      </c>
      <c r="J476" s="21">
        <v>135</v>
      </c>
      <c r="K476" s="24">
        <v>45</v>
      </c>
      <c r="L476" s="464">
        <v>4.8499999999999996</v>
      </c>
      <c r="M476" s="26" t="s">
        <v>45</v>
      </c>
      <c r="N476" s="27" t="s">
        <v>656</v>
      </c>
      <c r="O476" s="24" t="s">
        <v>604</v>
      </c>
      <c r="P476" s="25" t="s">
        <v>657</v>
      </c>
    </row>
    <row r="477" spans="1:16" ht="27.6" customHeight="1">
      <c r="A477" s="15" t="s">
        <v>649</v>
      </c>
      <c r="B477" s="16">
        <v>21</v>
      </c>
      <c r="C477" s="17" t="s">
        <v>650</v>
      </c>
      <c r="D477" s="18" t="s">
        <v>651</v>
      </c>
      <c r="E477" s="19">
        <v>4</v>
      </c>
      <c r="F477" s="55" t="s">
        <v>1593</v>
      </c>
      <c r="G477" s="64">
        <v>33</v>
      </c>
      <c r="H477" s="18">
        <v>27</v>
      </c>
      <c r="I477" s="464">
        <v>12</v>
      </c>
      <c r="J477" s="64">
        <v>135</v>
      </c>
      <c r="K477" s="18">
        <v>45</v>
      </c>
      <c r="L477" s="464">
        <v>12.4</v>
      </c>
      <c r="M477" s="26" t="s">
        <v>45</v>
      </c>
      <c r="N477" s="27" t="s">
        <v>658</v>
      </c>
      <c r="O477" s="24" t="s">
        <v>904</v>
      </c>
      <c r="P477" s="25" t="s">
        <v>638</v>
      </c>
    </row>
    <row r="478" spans="1:16" ht="27.6" customHeight="1">
      <c r="A478" s="15" t="s">
        <v>649</v>
      </c>
      <c r="B478" s="16">
        <v>21</v>
      </c>
      <c r="C478" s="17" t="s">
        <v>650</v>
      </c>
      <c r="D478" s="18" t="s">
        <v>651</v>
      </c>
      <c r="E478" s="19">
        <v>5</v>
      </c>
      <c r="F478" s="55" t="s">
        <v>1594</v>
      </c>
      <c r="G478" s="21">
        <v>33</v>
      </c>
      <c r="H478" s="22">
        <v>28</v>
      </c>
      <c r="I478" s="464">
        <v>20.64</v>
      </c>
      <c r="J478" s="21">
        <v>135</v>
      </c>
      <c r="K478" s="24">
        <v>46</v>
      </c>
      <c r="L478" s="464">
        <v>9.3699999999999992</v>
      </c>
      <c r="M478" s="123" t="s">
        <v>659</v>
      </c>
      <c r="N478" s="27" t="s">
        <v>660</v>
      </c>
      <c r="O478" s="24" t="s">
        <v>661</v>
      </c>
      <c r="P478" s="25" t="s">
        <v>128</v>
      </c>
    </row>
    <row r="479" spans="1:16" ht="27.6" customHeight="1">
      <c r="A479" s="15" t="s">
        <v>649</v>
      </c>
      <c r="B479" s="16">
        <v>21</v>
      </c>
      <c r="C479" s="17" t="s">
        <v>650</v>
      </c>
      <c r="D479" s="18" t="s">
        <v>651</v>
      </c>
      <c r="E479" s="19">
        <v>6</v>
      </c>
      <c r="F479" s="55" t="s">
        <v>1595</v>
      </c>
      <c r="G479" s="21">
        <v>33</v>
      </c>
      <c r="H479" s="22">
        <v>28</v>
      </c>
      <c r="I479" s="464">
        <v>57.31</v>
      </c>
      <c r="J479" s="21">
        <v>135</v>
      </c>
      <c r="K479" s="24">
        <v>45</v>
      </c>
      <c r="L479" s="464">
        <v>27.65</v>
      </c>
      <c r="M479" s="123" t="s">
        <v>662</v>
      </c>
      <c r="N479" s="27" t="s">
        <v>656</v>
      </c>
      <c r="O479" s="24" t="s">
        <v>68</v>
      </c>
      <c r="P479" s="25" t="s">
        <v>128</v>
      </c>
    </row>
    <row r="480" spans="1:16" ht="27.6" customHeight="1">
      <c r="A480" s="15" t="s">
        <v>649</v>
      </c>
      <c r="B480" s="16">
        <v>21</v>
      </c>
      <c r="C480" s="17" t="s">
        <v>650</v>
      </c>
      <c r="D480" s="18" t="s">
        <v>651</v>
      </c>
      <c r="E480" s="19">
        <v>7</v>
      </c>
      <c r="F480" s="55" t="s">
        <v>663</v>
      </c>
      <c r="G480" s="21">
        <v>33</v>
      </c>
      <c r="H480" s="22">
        <v>28</v>
      </c>
      <c r="I480" s="464">
        <v>46.7</v>
      </c>
      <c r="J480" s="21">
        <v>135</v>
      </c>
      <c r="K480" s="24">
        <v>45</v>
      </c>
      <c r="L480" s="464">
        <v>14.1</v>
      </c>
      <c r="M480" s="26" t="s">
        <v>45</v>
      </c>
      <c r="N480" s="27" t="s">
        <v>664</v>
      </c>
      <c r="O480" s="24" t="s">
        <v>665</v>
      </c>
      <c r="P480" s="25" t="s">
        <v>96</v>
      </c>
    </row>
    <row r="481" spans="1:18" ht="27.6" customHeight="1">
      <c r="A481" s="15" t="s">
        <v>649</v>
      </c>
      <c r="B481" s="16">
        <v>21</v>
      </c>
      <c r="C481" s="17" t="s">
        <v>650</v>
      </c>
      <c r="D481" s="18" t="s">
        <v>651</v>
      </c>
      <c r="E481" s="19">
        <v>8</v>
      </c>
      <c r="F481" s="55" t="s">
        <v>666</v>
      </c>
      <c r="G481" s="21">
        <v>33</v>
      </c>
      <c r="H481" s="22">
        <v>28</v>
      </c>
      <c r="I481" s="464">
        <v>44.7</v>
      </c>
      <c r="J481" s="21">
        <v>135</v>
      </c>
      <c r="K481" s="24">
        <v>44</v>
      </c>
      <c r="L481" s="464">
        <v>36.6</v>
      </c>
      <c r="M481" s="26" t="s">
        <v>45</v>
      </c>
      <c r="N481" s="27" t="s">
        <v>667</v>
      </c>
      <c r="O481" s="24" t="s">
        <v>18</v>
      </c>
      <c r="P481" s="25" t="s">
        <v>338</v>
      </c>
    </row>
    <row r="482" spans="1:18" ht="27.6" customHeight="1">
      <c r="A482" s="15" t="s">
        <v>649</v>
      </c>
      <c r="B482" s="16">
        <v>21</v>
      </c>
      <c r="C482" s="17" t="s">
        <v>650</v>
      </c>
      <c r="D482" s="18" t="s">
        <v>651</v>
      </c>
      <c r="E482" s="19">
        <v>9</v>
      </c>
      <c r="F482" s="55" t="s">
        <v>668</v>
      </c>
      <c r="G482" s="21">
        <v>33</v>
      </c>
      <c r="H482" s="22">
        <v>28</v>
      </c>
      <c r="I482" s="464">
        <v>27.4</v>
      </c>
      <c r="J482" s="21">
        <v>135</v>
      </c>
      <c r="K482" s="24">
        <v>44</v>
      </c>
      <c r="L482" s="464">
        <v>9.6999999999999993</v>
      </c>
      <c r="M482" s="26" t="s">
        <v>669</v>
      </c>
      <c r="N482" s="27" t="s">
        <v>154</v>
      </c>
      <c r="O482" s="24" t="s">
        <v>648</v>
      </c>
      <c r="P482" s="25" t="s">
        <v>85</v>
      </c>
    </row>
    <row r="483" spans="1:18" ht="27.6" customHeight="1">
      <c r="A483" s="15" t="s">
        <v>649</v>
      </c>
      <c r="B483" s="16">
        <v>21</v>
      </c>
      <c r="C483" s="17" t="s">
        <v>650</v>
      </c>
      <c r="D483" s="18" t="s">
        <v>651</v>
      </c>
      <c r="E483" s="19">
        <v>10</v>
      </c>
      <c r="F483" s="55" t="s">
        <v>670</v>
      </c>
      <c r="G483" s="21">
        <v>33</v>
      </c>
      <c r="H483" s="22">
        <v>28</v>
      </c>
      <c r="I483" s="464">
        <v>39.6</v>
      </c>
      <c r="J483" s="21">
        <v>135</v>
      </c>
      <c r="K483" s="24">
        <v>43</v>
      </c>
      <c r="L483" s="464">
        <v>27.5</v>
      </c>
      <c r="M483" s="26" t="s">
        <v>671</v>
      </c>
      <c r="N483" s="27" t="s">
        <v>672</v>
      </c>
      <c r="O483" s="24" t="s">
        <v>18</v>
      </c>
      <c r="P483" s="25" t="s">
        <v>112</v>
      </c>
    </row>
    <row r="484" spans="1:18" ht="27.6" customHeight="1">
      <c r="A484" s="15" t="s">
        <v>649</v>
      </c>
      <c r="B484" s="16">
        <v>21</v>
      </c>
      <c r="C484" s="17" t="s">
        <v>650</v>
      </c>
      <c r="D484" s="18" t="s">
        <v>651</v>
      </c>
      <c r="E484" s="19">
        <v>11</v>
      </c>
      <c r="F484" s="55" t="s">
        <v>673</v>
      </c>
      <c r="G484" s="21">
        <v>33</v>
      </c>
      <c r="H484" s="22">
        <v>28</v>
      </c>
      <c r="I484" s="464">
        <v>50</v>
      </c>
      <c r="J484" s="21">
        <v>135</v>
      </c>
      <c r="K484" s="24">
        <v>44</v>
      </c>
      <c r="L484" s="464">
        <v>46.5</v>
      </c>
      <c r="M484" s="26" t="s">
        <v>608</v>
      </c>
      <c r="N484" s="27" t="s">
        <v>656</v>
      </c>
      <c r="O484" s="24" t="s">
        <v>674</v>
      </c>
      <c r="P484" s="25" t="s">
        <v>346</v>
      </c>
    </row>
    <row r="485" spans="1:18" ht="27.6" customHeight="1">
      <c r="A485" s="15" t="s">
        <v>649</v>
      </c>
      <c r="B485" s="16">
        <v>21</v>
      </c>
      <c r="C485" s="17" t="s">
        <v>650</v>
      </c>
      <c r="D485" s="18" t="s">
        <v>651</v>
      </c>
      <c r="E485" s="19">
        <v>12</v>
      </c>
      <c r="F485" s="55" t="s">
        <v>675</v>
      </c>
      <c r="G485" s="21">
        <v>33</v>
      </c>
      <c r="H485" s="22">
        <v>29</v>
      </c>
      <c r="I485" s="464">
        <v>3.7</v>
      </c>
      <c r="J485" s="21">
        <v>135</v>
      </c>
      <c r="K485" s="24">
        <v>44</v>
      </c>
      <c r="L485" s="464">
        <v>4.5999999999999996</v>
      </c>
      <c r="M485" s="26" t="s">
        <v>676</v>
      </c>
      <c r="N485" s="27" t="s">
        <v>677</v>
      </c>
      <c r="O485" s="24" t="s">
        <v>68</v>
      </c>
      <c r="P485" s="25" t="s">
        <v>96</v>
      </c>
    </row>
    <row r="486" spans="1:18" ht="27.6" customHeight="1">
      <c r="A486" s="15" t="s">
        <v>649</v>
      </c>
      <c r="B486" s="16">
        <v>21</v>
      </c>
      <c r="C486" s="17" t="s">
        <v>650</v>
      </c>
      <c r="D486" s="18" t="s">
        <v>651</v>
      </c>
      <c r="E486" s="19">
        <v>13</v>
      </c>
      <c r="F486" s="55" t="s">
        <v>1596</v>
      </c>
      <c r="G486" s="21">
        <v>33</v>
      </c>
      <c r="H486" s="22">
        <v>29</v>
      </c>
      <c r="I486" s="464">
        <v>2.5499999999999998</v>
      </c>
      <c r="J486" s="21">
        <v>135</v>
      </c>
      <c r="K486" s="24">
        <v>41</v>
      </c>
      <c r="L486" s="464">
        <v>29.35</v>
      </c>
      <c r="M486" s="26" t="s">
        <v>608</v>
      </c>
      <c r="N486" s="27" t="s">
        <v>154</v>
      </c>
      <c r="O486" s="24" t="s">
        <v>640</v>
      </c>
      <c r="P486" s="25" t="s">
        <v>150</v>
      </c>
    </row>
    <row r="487" spans="1:18" ht="27.6" customHeight="1">
      <c r="A487" s="15" t="s">
        <v>649</v>
      </c>
      <c r="B487" s="16">
        <v>21</v>
      </c>
      <c r="C487" s="17" t="s">
        <v>650</v>
      </c>
      <c r="D487" s="18" t="s">
        <v>651</v>
      </c>
      <c r="E487" s="19">
        <v>14</v>
      </c>
      <c r="F487" s="55" t="s">
        <v>1597</v>
      </c>
      <c r="G487" s="21">
        <v>33</v>
      </c>
      <c r="H487" s="22">
        <v>29</v>
      </c>
      <c r="I487" s="464">
        <v>2.5499999999999998</v>
      </c>
      <c r="J487" s="21">
        <v>135</v>
      </c>
      <c r="K487" s="24">
        <v>41</v>
      </c>
      <c r="L487" s="464">
        <v>29.86</v>
      </c>
      <c r="M487" s="26" t="s">
        <v>608</v>
      </c>
      <c r="N487" s="27" t="s">
        <v>154</v>
      </c>
      <c r="O487" s="24" t="s">
        <v>674</v>
      </c>
      <c r="P487" s="25" t="s">
        <v>15</v>
      </c>
    </row>
    <row r="488" spans="1:18" ht="27.6" customHeight="1">
      <c r="A488" s="15" t="s">
        <v>649</v>
      </c>
      <c r="B488" s="16">
        <v>21</v>
      </c>
      <c r="C488" s="17" t="s">
        <v>650</v>
      </c>
      <c r="D488" s="18" t="s">
        <v>651</v>
      </c>
      <c r="E488" s="19">
        <v>15</v>
      </c>
      <c r="F488" s="55" t="s">
        <v>678</v>
      </c>
      <c r="G488" s="21">
        <v>33</v>
      </c>
      <c r="H488" s="22">
        <v>28</v>
      </c>
      <c r="I488" s="464">
        <v>35.299999999999997</v>
      </c>
      <c r="J488" s="21">
        <v>135</v>
      </c>
      <c r="K488" s="24">
        <v>39</v>
      </c>
      <c r="L488" s="464">
        <v>55.8</v>
      </c>
      <c r="M488" s="26" t="s">
        <v>669</v>
      </c>
      <c r="N488" s="27" t="s">
        <v>154</v>
      </c>
      <c r="O488" s="24" t="s">
        <v>18</v>
      </c>
      <c r="P488" s="25" t="s">
        <v>679</v>
      </c>
    </row>
    <row r="489" spans="1:18" ht="27.6" customHeight="1">
      <c r="A489" s="15" t="s">
        <v>649</v>
      </c>
      <c r="B489" s="16">
        <v>21</v>
      </c>
      <c r="C489" s="17" t="s">
        <v>650</v>
      </c>
      <c r="D489" s="18" t="s">
        <v>680</v>
      </c>
      <c r="E489" s="19">
        <v>16</v>
      </c>
      <c r="F489" s="55" t="s">
        <v>681</v>
      </c>
      <c r="G489" s="21">
        <v>33</v>
      </c>
      <c r="H489" s="22">
        <v>55</v>
      </c>
      <c r="I489" s="464">
        <v>17.8</v>
      </c>
      <c r="J489" s="21">
        <v>136</v>
      </c>
      <c r="K489" s="24">
        <v>12</v>
      </c>
      <c r="L489" s="464">
        <v>2.2999999999999998</v>
      </c>
      <c r="M489" s="26" t="s">
        <v>682</v>
      </c>
      <c r="N489" s="27" t="s">
        <v>168</v>
      </c>
      <c r="O489" s="24" t="s">
        <v>683</v>
      </c>
      <c r="P489" s="25" t="s">
        <v>684</v>
      </c>
    </row>
    <row r="490" spans="1:18" ht="27.6" customHeight="1">
      <c r="A490" s="15" t="s">
        <v>649</v>
      </c>
      <c r="B490" s="16">
        <v>21</v>
      </c>
      <c r="C490" s="17" t="s">
        <v>650</v>
      </c>
      <c r="D490" s="18" t="s">
        <v>680</v>
      </c>
      <c r="E490" s="19">
        <v>17</v>
      </c>
      <c r="F490" s="55" t="s">
        <v>1598</v>
      </c>
      <c r="G490" s="21">
        <v>33</v>
      </c>
      <c r="H490" s="22">
        <v>56</v>
      </c>
      <c r="I490" s="464">
        <v>35.270000000000003</v>
      </c>
      <c r="J490" s="21">
        <v>136</v>
      </c>
      <c r="K490" s="24">
        <v>13</v>
      </c>
      <c r="L490" s="464">
        <v>11.68</v>
      </c>
      <c r="M490" s="26" t="s">
        <v>682</v>
      </c>
      <c r="N490" s="27" t="s">
        <v>168</v>
      </c>
      <c r="O490" s="24" t="s">
        <v>18</v>
      </c>
      <c r="P490" s="25" t="s">
        <v>685</v>
      </c>
      <c r="R490" s="581"/>
    </row>
    <row r="491" spans="1:18" ht="27.6" customHeight="1" thickBot="1">
      <c r="A491" s="30" t="s">
        <v>649</v>
      </c>
      <c r="B491" s="31">
        <v>21</v>
      </c>
      <c r="C491" s="32" t="s">
        <v>650</v>
      </c>
      <c r="D491" s="33" t="s">
        <v>651</v>
      </c>
      <c r="E491" s="89">
        <v>18</v>
      </c>
      <c r="F491" s="56" t="s">
        <v>686</v>
      </c>
      <c r="G491" s="124">
        <v>33</v>
      </c>
      <c r="H491" s="57">
        <v>28</v>
      </c>
      <c r="I491" s="466">
        <v>38.4</v>
      </c>
      <c r="J491" s="124">
        <v>135</v>
      </c>
      <c r="K491" s="37">
        <v>49</v>
      </c>
      <c r="L491" s="466">
        <v>11.3</v>
      </c>
      <c r="M491" s="35" t="s">
        <v>687</v>
      </c>
      <c r="N491" s="36" t="s">
        <v>688</v>
      </c>
      <c r="O491" s="37" t="s">
        <v>18</v>
      </c>
      <c r="P491" s="38" t="s">
        <v>689</v>
      </c>
    </row>
    <row r="492" spans="1:18" ht="27.6" customHeight="1" thickTop="1">
      <c r="A492" s="90" t="s">
        <v>690</v>
      </c>
      <c r="B492" s="91">
        <v>22</v>
      </c>
      <c r="C492" s="40" t="s">
        <v>691</v>
      </c>
      <c r="D492" s="41" t="s">
        <v>692</v>
      </c>
      <c r="E492" s="71">
        <v>1</v>
      </c>
      <c r="F492" s="58" t="s">
        <v>693</v>
      </c>
      <c r="G492" s="106">
        <v>33</v>
      </c>
      <c r="H492" s="41">
        <v>2</v>
      </c>
      <c r="I492" s="81">
        <v>37.1</v>
      </c>
      <c r="J492" s="106">
        <v>132</v>
      </c>
      <c r="K492" s="59">
        <v>29</v>
      </c>
      <c r="L492" s="60">
        <v>4.8</v>
      </c>
      <c r="M492" s="61" t="s">
        <v>694</v>
      </c>
      <c r="N492" s="125" t="s">
        <v>695</v>
      </c>
      <c r="O492" s="59" t="s">
        <v>18</v>
      </c>
      <c r="P492" s="126" t="s">
        <v>160</v>
      </c>
      <c r="R492" s="582"/>
    </row>
    <row r="493" spans="1:18" ht="27.6" customHeight="1">
      <c r="A493" s="15" t="s">
        <v>690</v>
      </c>
      <c r="B493" s="16">
        <v>22</v>
      </c>
      <c r="C493" s="17" t="s">
        <v>691</v>
      </c>
      <c r="D493" s="22" t="s">
        <v>692</v>
      </c>
      <c r="E493" s="19">
        <v>2</v>
      </c>
      <c r="F493" s="55" t="s">
        <v>696</v>
      </c>
      <c r="G493" s="21">
        <v>32</v>
      </c>
      <c r="H493" s="22">
        <v>57</v>
      </c>
      <c r="I493" s="23">
        <v>5.4</v>
      </c>
      <c r="J493" s="21">
        <v>132</v>
      </c>
      <c r="K493" s="24">
        <v>27</v>
      </c>
      <c r="L493" s="25">
        <v>23.2</v>
      </c>
      <c r="M493" s="26" t="s">
        <v>697</v>
      </c>
      <c r="N493" s="127" t="s">
        <v>698</v>
      </c>
      <c r="O493" s="24" t="s">
        <v>18</v>
      </c>
      <c r="P493" s="128" t="s">
        <v>699</v>
      </c>
      <c r="R493" s="582"/>
    </row>
    <row r="494" spans="1:18" ht="27.6" customHeight="1">
      <c r="A494" s="15" t="s">
        <v>690</v>
      </c>
      <c r="B494" s="16">
        <v>22</v>
      </c>
      <c r="C494" s="17" t="s">
        <v>691</v>
      </c>
      <c r="D494" s="22" t="s">
        <v>692</v>
      </c>
      <c r="E494" s="19">
        <v>3</v>
      </c>
      <c r="F494" s="55" t="s">
        <v>700</v>
      </c>
      <c r="G494" s="21">
        <v>32</v>
      </c>
      <c r="H494" s="22">
        <v>55</v>
      </c>
      <c r="I494" s="23">
        <v>45.4</v>
      </c>
      <c r="J494" s="21">
        <v>132</v>
      </c>
      <c r="K494" s="24">
        <v>34</v>
      </c>
      <c r="L494" s="25">
        <v>8.1999999999999993</v>
      </c>
      <c r="M494" s="26" t="s">
        <v>697</v>
      </c>
      <c r="N494" s="127" t="s">
        <v>701</v>
      </c>
      <c r="O494" s="24" t="s">
        <v>18</v>
      </c>
      <c r="P494" s="128" t="s">
        <v>702</v>
      </c>
      <c r="R494" s="582"/>
    </row>
    <row r="495" spans="1:18" ht="27.6" customHeight="1">
      <c r="A495" s="15" t="s">
        <v>690</v>
      </c>
      <c r="B495" s="16">
        <v>22</v>
      </c>
      <c r="C495" s="17" t="s">
        <v>691</v>
      </c>
      <c r="D495" s="22" t="s">
        <v>703</v>
      </c>
      <c r="E495" s="19">
        <v>4</v>
      </c>
      <c r="F495" s="55" t="s">
        <v>704</v>
      </c>
      <c r="G495" s="21">
        <v>32</v>
      </c>
      <c r="H495" s="22">
        <v>52</v>
      </c>
      <c r="I495" s="23">
        <v>43.5</v>
      </c>
      <c r="J495" s="21">
        <v>132</v>
      </c>
      <c r="K495" s="24">
        <v>41</v>
      </c>
      <c r="L495" s="25">
        <v>23.2</v>
      </c>
      <c r="M495" s="26" t="s">
        <v>705</v>
      </c>
      <c r="N495" s="127" t="s">
        <v>706</v>
      </c>
      <c r="O495" s="24" t="s">
        <v>18</v>
      </c>
      <c r="P495" s="128" t="s">
        <v>338</v>
      </c>
      <c r="R495" s="582"/>
    </row>
    <row r="496" spans="1:18" ht="27.6" customHeight="1">
      <c r="A496" s="15" t="s">
        <v>690</v>
      </c>
      <c r="B496" s="16">
        <v>22</v>
      </c>
      <c r="C496" s="17" t="s">
        <v>691</v>
      </c>
      <c r="D496" s="22" t="s">
        <v>703</v>
      </c>
      <c r="E496" s="19">
        <v>5</v>
      </c>
      <c r="F496" s="55" t="s">
        <v>707</v>
      </c>
      <c r="G496" s="21">
        <v>32</v>
      </c>
      <c r="H496" s="22">
        <v>51</v>
      </c>
      <c r="I496" s="23">
        <v>47.6</v>
      </c>
      <c r="J496" s="21">
        <v>132</v>
      </c>
      <c r="K496" s="24">
        <v>40</v>
      </c>
      <c r="L496" s="25">
        <v>10.199999999999999</v>
      </c>
      <c r="M496" s="26" t="s">
        <v>694</v>
      </c>
      <c r="N496" s="127" t="s">
        <v>706</v>
      </c>
      <c r="O496" s="24" t="s">
        <v>18</v>
      </c>
      <c r="P496" s="128" t="s">
        <v>15</v>
      </c>
      <c r="R496" s="582"/>
    </row>
    <row r="497" spans="1:18" ht="27.6" customHeight="1">
      <c r="A497" s="15" t="s">
        <v>690</v>
      </c>
      <c r="B497" s="16">
        <v>22</v>
      </c>
      <c r="C497" s="17" t="s">
        <v>691</v>
      </c>
      <c r="D497" s="22" t="s">
        <v>703</v>
      </c>
      <c r="E497" s="19">
        <v>6</v>
      </c>
      <c r="F497" s="55" t="s">
        <v>708</v>
      </c>
      <c r="G497" s="21">
        <v>32</v>
      </c>
      <c r="H497" s="22">
        <v>49</v>
      </c>
      <c r="I497" s="23">
        <v>28.6</v>
      </c>
      <c r="J497" s="21">
        <v>132</v>
      </c>
      <c r="K497" s="24">
        <v>38</v>
      </c>
      <c r="L497" s="25">
        <v>57.3</v>
      </c>
      <c r="M497" s="26" t="s">
        <v>694</v>
      </c>
      <c r="N497" s="127" t="s">
        <v>701</v>
      </c>
      <c r="O497" s="24" t="s">
        <v>18</v>
      </c>
      <c r="P497" s="128" t="s">
        <v>107</v>
      </c>
      <c r="R497" s="582"/>
    </row>
    <row r="498" spans="1:18" ht="27.6" customHeight="1">
      <c r="A498" s="15" t="s">
        <v>690</v>
      </c>
      <c r="B498" s="16">
        <v>22</v>
      </c>
      <c r="C498" s="17" t="s">
        <v>691</v>
      </c>
      <c r="D498" s="22" t="s">
        <v>703</v>
      </c>
      <c r="E498" s="19">
        <v>7</v>
      </c>
      <c r="F498" s="55" t="s">
        <v>709</v>
      </c>
      <c r="G498" s="21">
        <v>32</v>
      </c>
      <c r="H498" s="22">
        <v>46</v>
      </c>
      <c r="I498" s="23">
        <v>25</v>
      </c>
      <c r="J498" s="21">
        <v>132</v>
      </c>
      <c r="K498" s="24">
        <v>37</v>
      </c>
      <c r="L498" s="25">
        <v>29.4</v>
      </c>
      <c r="M498" s="26" t="s">
        <v>697</v>
      </c>
      <c r="N498" s="127" t="s">
        <v>701</v>
      </c>
      <c r="O498" s="24" t="s">
        <v>18</v>
      </c>
      <c r="P498" s="128" t="s">
        <v>160</v>
      </c>
      <c r="R498" s="582"/>
    </row>
    <row r="499" spans="1:18" ht="27.6" customHeight="1">
      <c r="A499" s="15" t="s">
        <v>690</v>
      </c>
      <c r="B499" s="16">
        <v>22</v>
      </c>
      <c r="C499" s="17" t="s">
        <v>691</v>
      </c>
      <c r="D499" s="22" t="s">
        <v>703</v>
      </c>
      <c r="E499" s="19">
        <v>8</v>
      </c>
      <c r="F499" s="55" t="s">
        <v>710</v>
      </c>
      <c r="G499" s="21">
        <v>32</v>
      </c>
      <c r="H499" s="22">
        <v>45</v>
      </c>
      <c r="I499" s="23">
        <v>11.4</v>
      </c>
      <c r="J499" s="21">
        <v>132</v>
      </c>
      <c r="K499" s="24">
        <v>32</v>
      </c>
      <c r="L499" s="25">
        <v>58.9</v>
      </c>
      <c r="M499" s="26" t="s">
        <v>697</v>
      </c>
      <c r="N499" s="127" t="s">
        <v>701</v>
      </c>
      <c r="O499" s="24" t="s">
        <v>18</v>
      </c>
      <c r="P499" s="128" t="s">
        <v>711</v>
      </c>
      <c r="R499" s="582"/>
    </row>
    <row r="500" spans="1:18" ht="27.6" customHeight="1">
      <c r="A500" s="15" t="s">
        <v>690</v>
      </c>
      <c r="B500" s="16">
        <v>22</v>
      </c>
      <c r="C500" s="17" t="s">
        <v>691</v>
      </c>
      <c r="D500" s="22" t="s">
        <v>703</v>
      </c>
      <c r="E500" s="19">
        <v>9</v>
      </c>
      <c r="F500" s="55" t="s">
        <v>712</v>
      </c>
      <c r="G500" s="21">
        <v>32</v>
      </c>
      <c r="H500" s="22">
        <v>44</v>
      </c>
      <c r="I500" s="23">
        <v>43.8</v>
      </c>
      <c r="J500" s="21">
        <v>132</v>
      </c>
      <c r="K500" s="24">
        <v>34</v>
      </c>
      <c r="L500" s="25">
        <v>10.8</v>
      </c>
      <c r="M500" s="26" t="s">
        <v>713</v>
      </c>
      <c r="N500" s="127"/>
      <c r="O500" s="24" t="s">
        <v>18</v>
      </c>
      <c r="P500" s="128"/>
      <c r="R500" s="582"/>
    </row>
    <row r="501" spans="1:18" ht="27.6" customHeight="1">
      <c r="A501" s="15" t="s">
        <v>690</v>
      </c>
      <c r="B501" s="16">
        <v>22</v>
      </c>
      <c r="C501" s="17" t="s">
        <v>691</v>
      </c>
      <c r="D501" s="22" t="s">
        <v>703</v>
      </c>
      <c r="E501" s="19">
        <v>10</v>
      </c>
      <c r="F501" s="55" t="s">
        <v>715</v>
      </c>
      <c r="G501" s="21">
        <v>32</v>
      </c>
      <c r="H501" s="22">
        <v>47</v>
      </c>
      <c r="I501" s="23">
        <v>51.5</v>
      </c>
      <c r="J501" s="21">
        <v>132</v>
      </c>
      <c r="K501" s="24">
        <v>42</v>
      </c>
      <c r="L501" s="25">
        <v>33.799999999999997</v>
      </c>
      <c r="M501" s="26" t="s">
        <v>705</v>
      </c>
      <c r="N501" s="127" t="s">
        <v>701</v>
      </c>
      <c r="O501" s="24" t="s">
        <v>18</v>
      </c>
      <c r="P501" s="128" t="s">
        <v>716</v>
      </c>
      <c r="R501" s="582"/>
    </row>
    <row r="502" spans="1:18" ht="27.6" customHeight="1">
      <c r="A502" s="15" t="s">
        <v>690</v>
      </c>
      <c r="B502" s="16">
        <v>22</v>
      </c>
      <c r="C502" s="17" t="s">
        <v>691</v>
      </c>
      <c r="D502" s="22" t="s">
        <v>703</v>
      </c>
      <c r="E502" s="19">
        <v>11</v>
      </c>
      <c r="F502" s="55" t="s">
        <v>717</v>
      </c>
      <c r="G502" s="21">
        <v>32</v>
      </c>
      <c r="H502" s="22">
        <v>46</v>
      </c>
      <c r="I502" s="23">
        <v>35.5</v>
      </c>
      <c r="J502" s="21">
        <v>132</v>
      </c>
      <c r="K502" s="24">
        <v>43</v>
      </c>
      <c r="L502" s="25">
        <v>55.5</v>
      </c>
      <c r="M502" s="26" t="s">
        <v>718</v>
      </c>
      <c r="N502" s="127" t="s">
        <v>701</v>
      </c>
      <c r="O502" s="24" t="s">
        <v>18</v>
      </c>
      <c r="P502" s="128" t="s">
        <v>15</v>
      </c>
      <c r="R502" s="582"/>
    </row>
    <row r="503" spans="1:18" ht="27.6" customHeight="1">
      <c r="A503" s="15" t="s">
        <v>690</v>
      </c>
      <c r="B503" s="16">
        <v>22</v>
      </c>
      <c r="C503" s="17" t="s">
        <v>691</v>
      </c>
      <c r="D503" s="22" t="s">
        <v>703</v>
      </c>
      <c r="E503" s="19">
        <v>12</v>
      </c>
      <c r="F503" s="55" t="s">
        <v>719</v>
      </c>
      <c r="G503" s="21">
        <v>32</v>
      </c>
      <c r="H503" s="22">
        <v>47</v>
      </c>
      <c r="I503" s="23">
        <v>4.8</v>
      </c>
      <c r="J503" s="21">
        <v>132</v>
      </c>
      <c r="K503" s="24">
        <v>51</v>
      </c>
      <c r="L503" s="25">
        <v>18</v>
      </c>
      <c r="M503" s="26" t="s">
        <v>694</v>
      </c>
      <c r="N503" s="127" t="s">
        <v>701</v>
      </c>
      <c r="O503" s="24" t="s">
        <v>18</v>
      </c>
      <c r="P503" s="128" t="s">
        <v>720</v>
      </c>
      <c r="R503" s="582"/>
    </row>
    <row r="504" spans="1:18" ht="27.6" customHeight="1">
      <c r="A504" s="15" t="s">
        <v>690</v>
      </c>
      <c r="B504" s="16">
        <v>22</v>
      </c>
      <c r="C504" s="17" t="s">
        <v>691</v>
      </c>
      <c r="D504" s="22" t="s">
        <v>703</v>
      </c>
      <c r="E504" s="19">
        <v>13</v>
      </c>
      <c r="F504" s="55" t="s">
        <v>721</v>
      </c>
      <c r="G504" s="21">
        <v>32</v>
      </c>
      <c r="H504" s="22">
        <v>47</v>
      </c>
      <c r="I504" s="23">
        <v>12.2</v>
      </c>
      <c r="J504" s="21">
        <v>132</v>
      </c>
      <c r="K504" s="24">
        <v>51</v>
      </c>
      <c r="L504" s="25">
        <v>48.9</v>
      </c>
      <c r="M504" s="26" t="s">
        <v>694</v>
      </c>
      <c r="N504" s="127" t="s">
        <v>701</v>
      </c>
      <c r="O504" s="24" t="s">
        <v>18</v>
      </c>
      <c r="P504" s="128" t="s">
        <v>722</v>
      </c>
      <c r="R504" s="582"/>
    </row>
    <row r="505" spans="1:18" ht="27.6" customHeight="1">
      <c r="A505" s="15" t="s">
        <v>690</v>
      </c>
      <c r="B505" s="16">
        <v>22</v>
      </c>
      <c r="C505" s="17" t="s">
        <v>691</v>
      </c>
      <c r="D505" s="22" t="s">
        <v>703</v>
      </c>
      <c r="E505" s="19">
        <v>14</v>
      </c>
      <c r="F505" s="55" t="s">
        <v>723</v>
      </c>
      <c r="G505" s="21">
        <v>32</v>
      </c>
      <c r="H505" s="22">
        <v>47</v>
      </c>
      <c r="I505" s="23">
        <v>9.6</v>
      </c>
      <c r="J505" s="21">
        <v>132</v>
      </c>
      <c r="K505" s="24">
        <v>51</v>
      </c>
      <c r="L505" s="25">
        <v>53</v>
      </c>
      <c r="M505" s="26" t="s">
        <v>694</v>
      </c>
      <c r="N505" s="127" t="s">
        <v>701</v>
      </c>
      <c r="O505" s="24" t="s">
        <v>18</v>
      </c>
      <c r="P505" s="128" t="s">
        <v>724</v>
      </c>
      <c r="R505" s="582"/>
    </row>
    <row r="506" spans="1:18" ht="27.6" customHeight="1">
      <c r="A506" s="15" t="s">
        <v>690</v>
      </c>
      <c r="B506" s="16">
        <v>22</v>
      </c>
      <c r="C506" s="17" t="s">
        <v>691</v>
      </c>
      <c r="D506" s="22" t="s">
        <v>703</v>
      </c>
      <c r="E506" s="19">
        <v>15</v>
      </c>
      <c r="F506" s="55" t="s">
        <v>725</v>
      </c>
      <c r="G506" s="21">
        <v>32</v>
      </c>
      <c r="H506" s="22">
        <v>46</v>
      </c>
      <c r="I506" s="23">
        <v>54.6</v>
      </c>
      <c r="J506" s="21">
        <v>132</v>
      </c>
      <c r="K506" s="24">
        <v>52</v>
      </c>
      <c r="L506" s="25">
        <v>3.3</v>
      </c>
      <c r="M506" s="26" t="s">
        <v>694</v>
      </c>
      <c r="N506" s="127" t="s">
        <v>701</v>
      </c>
      <c r="O506" s="24" t="s">
        <v>18</v>
      </c>
      <c r="P506" s="128" t="s">
        <v>112</v>
      </c>
      <c r="R506" s="582"/>
    </row>
    <row r="507" spans="1:18" ht="27.6" customHeight="1">
      <c r="A507" s="15" t="s">
        <v>690</v>
      </c>
      <c r="B507" s="16">
        <v>22</v>
      </c>
      <c r="C507" s="17" t="s">
        <v>691</v>
      </c>
      <c r="D507" s="22" t="s">
        <v>703</v>
      </c>
      <c r="E507" s="19">
        <v>16</v>
      </c>
      <c r="F507" s="55" t="s">
        <v>726</v>
      </c>
      <c r="G507" s="21">
        <v>32</v>
      </c>
      <c r="H507" s="22">
        <v>45</v>
      </c>
      <c r="I507" s="23">
        <v>44.9</v>
      </c>
      <c r="J507" s="21">
        <v>132</v>
      </c>
      <c r="K507" s="24">
        <v>52</v>
      </c>
      <c r="L507" s="25">
        <v>5.9</v>
      </c>
      <c r="M507" s="26" t="s">
        <v>713</v>
      </c>
      <c r="N507" s="127" t="s">
        <v>727</v>
      </c>
      <c r="O507" s="24" t="s">
        <v>18</v>
      </c>
      <c r="P507" s="128" t="s">
        <v>728</v>
      </c>
      <c r="R507" s="582"/>
    </row>
    <row r="508" spans="1:18" ht="27.6" customHeight="1">
      <c r="A508" s="15" t="s">
        <v>690</v>
      </c>
      <c r="B508" s="16">
        <v>22</v>
      </c>
      <c r="C508" s="17" t="s">
        <v>691</v>
      </c>
      <c r="D508" s="22" t="s">
        <v>703</v>
      </c>
      <c r="E508" s="19">
        <v>17</v>
      </c>
      <c r="F508" s="55" t="s">
        <v>729</v>
      </c>
      <c r="G508" s="21">
        <v>33</v>
      </c>
      <c r="H508" s="22">
        <v>24</v>
      </c>
      <c r="I508" s="23">
        <v>17.7</v>
      </c>
      <c r="J508" s="21">
        <v>134</v>
      </c>
      <c r="K508" s="24">
        <v>1</v>
      </c>
      <c r="L508" s="25">
        <v>54.8</v>
      </c>
      <c r="M508" s="26" t="s">
        <v>730</v>
      </c>
      <c r="N508" s="127" t="s">
        <v>731</v>
      </c>
      <c r="O508" s="24" t="s">
        <v>18</v>
      </c>
      <c r="P508" s="128" t="s">
        <v>338</v>
      </c>
      <c r="R508" s="582"/>
    </row>
    <row r="509" spans="1:18" ht="27.6" customHeight="1">
      <c r="A509" s="15" t="s">
        <v>690</v>
      </c>
      <c r="B509" s="16">
        <v>22</v>
      </c>
      <c r="C509" s="17" t="s">
        <v>691</v>
      </c>
      <c r="D509" s="22" t="s">
        <v>703</v>
      </c>
      <c r="E509" s="19">
        <v>18</v>
      </c>
      <c r="F509" s="55" t="s">
        <v>732</v>
      </c>
      <c r="G509" s="21">
        <v>33</v>
      </c>
      <c r="H509" s="22">
        <v>24</v>
      </c>
      <c r="I509" s="23">
        <v>40.4</v>
      </c>
      <c r="J509" s="21">
        <v>134</v>
      </c>
      <c r="K509" s="24">
        <v>1</v>
      </c>
      <c r="L509" s="25">
        <v>47.5</v>
      </c>
      <c r="M509" s="26" t="s">
        <v>733</v>
      </c>
      <c r="N509" s="127" t="s">
        <v>731</v>
      </c>
      <c r="O509" s="24" t="s">
        <v>18</v>
      </c>
      <c r="P509" s="128" t="s">
        <v>15</v>
      </c>
      <c r="R509" s="582"/>
    </row>
    <row r="510" spans="1:18" ht="27.6" customHeight="1">
      <c r="A510" s="15" t="s">
        <v>690</v>
      </c>
      <c r="B510" s="16">
        <v>22</v>
      </c>
      <c r="C510" s="17" t="s">
        <v>691</v>
      </c>
      <c r="D510" s="22" t="s">
        <v>703</v>
      </c>
      <c r="E510" s="19">
        <v>19</v>
      </c>
      <c r="F510" s="55" t="s">
        <v>734</v>
      </c>
      <c r="G510" s="21">
        <v>33</v>
      </c>
      <c r="H510" s="22">
        <v>24</v>
      </c>
      <c r="I510" s="23">
        <v>53.3</v>
      </c>
      <c r="J510" s="21">
        <v>134</v>
      </c>
      <c r="K510" s="24">
        <v>1</v>
      </c>
      <c r="L510" s="25">
        <v>31.8</v>
      </c>
      <c r="M510" s="26" t="s">
        <v>730</v>
      </c>
      <c r="N510" s="127" t="s">
        <v>731</v>
      </c>
      <c r="O510" s="24" t="s">
        <v>18</v>
      </c>
      <c r="P510" s="128" t="s">
        <v>128</v>
      </c>
      <c r="R510" s="582"/>
    </row>
    <row r="511" spans="1:18" ht="27.6" customHeight="1">
      <c r="A511" s="15" t="s">
        <v>690</v>
      </c>
      <c r="B511" s="16">
        <v>22</v>
      </c>
      <c r="C511" s="17" t="s">
        <v>691</v>
      </c>
      <c r="D511" s="22" t="s">
        <v>703</v>
      </c>
      <c r="E511" s="19">
        <v>20</v>
      </c>
      <c r="F511" s="55" t="s">
        <v>735</v>
      </c>
      <c r="G511" s="21">
        <v>33</v>
      </c>
      <c r="H511" s="22">
        <v>25</v>
      </c>
      <c r="I511" s="23">
        <v>23.5</v>
      </c>
      <c r="J511" s="21">
        <v>134</v>
      </c>
      <c r="K511" s="24">
        <v>0</v>
      </c>
      <c r="L511" s="25">
        <v>22.7</v>
      </c>
      <c r="M511" s="26" t="s">
        <v>730</v>
      </c>
      <c r="N511" s="127" t="s">
        <v>731</v>
      </c>
      <c r="O511" s="24" t="s">
        <v>18</v>
      </c>
      <c r="P511" s="128" t="s">
        <v>128</v>
      </c>
      <c r="R511" s="582"/>
    </row>
    <row r="512" spans="1:18" ht="27.6" customHeight="1">
      <c r="A512" s="15" t="s">
        <v>690</v>
      </c>
      <c r="B512" s="16">
        <v>22</v>
      </c>
      <c r="C512" s="17" t="s">
        <v>691</v>
      </c>
      <c r="D512" s="22" t="s">
        <v>736</v>
      </c>
      <c r="E512" s="19">
        <v>21</v>
      </c>
      <c r="F512" s="55" t="s">
        <v>737</v>
      </c>
      <c r="G512" s="21">
        <v>33</v>
      </c>
      <c r="H512" s="22">
        <v>32</v>
      </c>
      <c r="I512" s="23">
        <v>46.3</v>
      </c>
      <c r="J512" s="21">
        <v>134</v>
      </c>
      <c r="K512" s="24">
        <v>18</v>
      </c>
      <c r="L512" s="25">
        <v>25.7</v>
      </c>
      <c r="M512" s="26" t="s">
        <v>705</v>
      </c>
      <c r="N512" s="127" t="s">
        <v>738</v>
      </c>
      <c r="O512" s="24" t="s">
        <v>18</v>
      </c>
      <c r="P512" s="128" t="s">
        <v>96</v>
      </c>
      <c r="R512" s="582"/>
    </row>
    <row r="513" spans="1:18" ht="27.6" customHeight="1">
      <c r="A513" s="15" t="s">
        <v>690</v>
      </c>
      <c r="B513" s="16">
        <v>22</v>
      </c>
      <c r="C513" s="17" t="s">
        <v>691</v>
      </c>
      <c r="D513" s="22" t="s">
        <v>736</v>
      </c>
      <c r="E513" s="19">
        <v>22</v>
      </c>
      <c r="F513" s="55" t="s">
        <v>739</v>
      </c>
      <c r="G513" s="21">
        <v>33</v>
      </c>
      <c r="H513" s="22">
        <v>32</v>
      </c>
      <c r="I513" s="23">
        <v>41.2</v>
      </c>
      <c r="J513" s="21">
        <v>134</v>
      </c>
      <c r="K513" s="24">
        <v>18</v>
      </c>
      <c r="L513" s="25">
        <v>52.3</v>
      </c>
      <c r="M513" s="26" t="s">
        <v>705</v>
      </c>
      <c r="N513" s="127" t="s">
        <v>738</v>
      </c>
      <c r="O513" s="24" t="s">
        <v>18</v>
      </c>
      <c r="P513" s="128" t="s">
        <v>338</v>
      </c>
      <c r="R513" s="582"/>
    </row>
    <row r="514" spans="1:18" ht="27.6" customHeight="1">
      <c r="A514" s="15" t="s">
        <v>690</v>
      </c>
      <c r="B514" s="16">
        <v>22</v>
      </c>
      <c r="C514" s="17" t="s">
        <v>691</v>
      </c>
      <c r="D514" s="22" t="s">
        <v>736</v>
      </c>
      <c r="E514" s="19">
        <v>23</v>
      </c>
      <c r="F514" s="55" t="s">
        <v>740</v>
      </c>
      <c r="G514" s="21">
        <v>33</v>
      </c>
      <c r="H514" s="22">
        <v>32</v>
      </c>
      <c r="I514" s="23">
        <v>41.2</v>
      </c>
      <c r="J514" s="21">
        <v>134</v>
      </c>
      <c r="K514" s="24">
        <v>18</v>
      </c>
      <c r="L514" s="25">
        <v>52.3</v>
      </c>
      <c r="M514" s="26" t="s">
        <v>705</v>
      </c>
      <c r="N514" s="127" t="s">
        <v>738</v>
      </c>
      <c r="O514" s="24" t="s">
        <v>18</v>
      </c>
      <c r="P514" s="128" t="s">
        <v>90</v>
      </c>
      <c r="R514" s="582"/>
    </row>
    <row r="515" spans="1:18" ht="27.6" customHeight="1">
      <c r="A515" s="15" t="s">
        <v>690</v>
      </c>
      <c r="B515" s="16">
        <v>22</v>
      </c>
      <c r="C515" s="17" t="s">
        <v>691</v>
      </c>
      <c r="D515" s="22" t="s">
        <v>736</v>
      </c>
      <c r="E515" s="19">
        <v>24</v>
      </c>
      <c r="F515" s="55" t="s">
        <v>741</v>
      </c>
      <c r="G515" s="21">
        <v>33</v>
      </c>
      <c r="H515" s="22">
        <v>32</v>
      </c>
      <c r="I515" s="23">
        <v>33.799999999999997</v>
      </c>
      <c r="J515" s="21">
        <v>134</v>
      </c>
      <c r="K515" s="24">
        <v>18</v>
      </c>
      <c r="L515" s="25">
        <v>58.8</v>
      </c>
      <c r="M515" s="26" t="s">
        <v>705</v>
      </c>
      <c r="N515" s="127" t="s">
        <v>738</v>
      </c>
      <c r="O515" s="24" t="s">
        <v>18</v>
      </c>
      <c r="P515" s="128" t="s">
        <v>112</v>
      </c>
      <c r="R515" s="582"/>
    </row>
    <row r="516" spans="1:18" ht="27.6" customHeight="1">
      <c r="A516" s="15" t="s">
        <v>690</v>
      </c>
      <c r="B516" s="16">
        <v>22</v>
      </c>
      <c r="C516" s="17" t="s">
        <v>691</v>
      </c>
      <c r="D516" s="22" t="s">
        <v>736</v>
      </c>
      <c r="E516" s="19">
        <v>25</v>
      </c>
      <c r="F516" s="55" t="s">
        <v>742</v>
      </c>
      <c r="G516" s="21">
        <v>33</v>
      </c>
      <c r="H516" s="22">
        <v>32</v>
      </c>
      <c r="I516" s="23">
        <v>30.7</v>
      </c>
      <c r="J516" s="21">
        <v>134</v>
      </c>
      <c r="K516" s="24">
        <v>18</v>
      </c>
      <c r="L516" s="25">
        <v>53.1</v>
      </c>
      <c r="M516" s="26" t="s">
        <v>718</v>
      </c>
      <c r="N516" s="127" t="s">
        <v>738</v>
      </c>
      <c r="O516" s="24" t="s">
        <v>18</v>
      </c>
      <c r="P516" s="128" t="s">
        <v>15</v>
      </c>
      <c r="R516" s="582"/>
    </row>
    <row r="517" spans="1:18" ht="27.6" customHeight="1">
      <c r="A517" s="15" t="s">
        <v>690</v>
      </c>
      <c r="B517" s="16">
        <v>22</v>
      </c>
      <c r="C517" s="17" t="s">
        <v>691</v>
      </c>
      <c r="D517" s="22" t="s">
        <v>736</v>
      </c>
      <c r="E517" s="19">
        <v>26</v>
      </c>
      <c r="F517" s="55" t="s">
        <v>743</v>
      </c>
      <c r="G517" s="21">
        <v>33</v>
      </c>
      <c r="H517" s="22">
        <v>38</v>
      </c>
      <c r="I517" s="23">
        <v>30.2</v>
      </c>
      <c r="J517" s="21">
        <v>134</v>
      </c>
      <c r="K517" s="24">
        <v>29</v>
      </c>
      <c r="L517" s="25">
        <v>46.4</v>
      </c>
      <c r="M517" s="26" t="s">
        <v>697</v>
      </c>
      <c r="N517" s="127" t="s">
        <v>744</v>
      </c>
      <c r="O517" s="24" t="s">
        <v>18</v>
      </c>
      <c r="P517" s="128" t="s">
        <v>745</v>
      </c>
      <c r="R517" s="582"/>
    </row>
    <row r="518" spans="1:18" ht="27.6" customHeight="1">
      <c r="A518" s="15" t="s">
        <v>690</v>
      </c>
      <c r="B518" s="16">
        <v>22</v>
      </c>
      <c r="C518" s="17" t="s">
        <v>691</v>
      </c>
      <c r="D518" s="22" t="s">
        <v>736</v>
      </c>
      <c r="E518" s="19">
        <v>27</v>
      </c>
      <c r="F518" s="55" t="s">
        <v>746</v>
      </c>
      <c r="G518" s="21">
        <v>33</v>
      </c>
      <c r="H518" s="22">
        <v>38</v>
      </c>
      <c r="I518" s="23">
        <v>37.700000000000003</v>
      </c>
      <c r="J518" s="21">
        <v>134</v>
      </c>
      <c r="K518" s="24">
        <v>29</v>
      </c>
      <c r="L518" s="25">
        <v>3.4</v>
      </c>
      <c r="M518" s="26" t="s">
        <v>579</v>
      </c>
      <c r="N518" s="127" t="s">
        <v>230</v>
      </c>
      <c r="O518" s="24" t="s">
        <v>18</v>
      </c>
      <c r="P518" s="128" t="s">
        <v>745</v>
      </c>
      <c r="R518" s="582"/>
    </row>
    <row r="519" spans="1:18" ht="27.6" customHeight="1">
      <c r="A519" s="15" t="s">
        <v>690</v>
      </c>
      <c r="B519" s="16">
        <v>22</v>
      </c>
      <c r="C519" s="17" t="s">
        <v>691</v>
      </c>
      <c r="D519" s="22" t="s">
        <v>736</v>
      </c>
      <c r="E519" s="19">
        <v>28</v>
      </c>
      <c r="F519" s="55" t="s">
        <v>747</v>
      </c>
      <c r="G519" s="21">
        <v>33</v>
      </c>
      <c r="H519" s="22">
        <v>38</v>
      </c>
      <c r="I519" s="23">
        <v>22.5</v>
      </c>
      <c r="J519" s="21">
        <v>134</v>
      </c>
      <c r="K519" s="24">
        <v>29</v>
      </c>
      <c r="L519" s="25">
        <v>0.5</v>
      </c>
      <c r="M519" s="26" t="s">
        <v>718</v>
      </c>
      <c r="N519" s="127" t="s">
        <v>748</v>
      </c>
      <c r="O519" s="24" t="s">
        <v>18</v>
      </c>
      <c r="P519" s="128" t="s">
        <v>749</v>
      </c>
      <c r="R519" s="582"/>
    </row>
    <row r="520" spans="1:18" ht="27.6" customHeight="1">
      <c r="A520" s="15" t="s">
        <v>690</v>
      </c>
      <c r="B520" s="16">
        <v>22</v>
      </c>
      <c r="C520" s="17" t="s">
        <v>691</v>
      </c>
      <c r="D520" s="22" t="s">
        <v>736</v>
      </c>
      <c r="E520" s="19">
        <v>29</v>
      </c>
      <c r="F520" s="55" t="s">
        <v>750</v>
      </c>
      <c r="G520" s="21">
        <v>33</v>
      </c>
      <c r="H520" s="22">
        <v>38</v>
      </c>
      <c r="I520" s="23">
        <v>13.2</v>
      </c>
      <c r="J520" s="21">
        <v>134</v>
      </c>
      <c r="K520" s="24">
        <v>29</v>
      </c>
      <c r="L520" s="25">
        <v>5</v>
      </c>
      <c r="M520" s="26" t="s">
        <v>751</v>
      </c>
      <c r="N520" s="127" t="s">
        <v>738</v>
      </c>
      <c r="O520" s="24" t="s">
        <v>18</v>
      </c>
      <c r="P520" s="128" t="s">
        <v>752</v>
      </c>
      <c r="R520" s="582"/>
    </row>
    <row r="521" spans="1:18" ht="27.6" customHeight="1">
      <c r="A521" s="15" t="s">
        <v>690</v>
      </c>
      <c r="B521" s="16">
        <v>22</v>
      </c>
      <c r="C521" s="17" t="s">
        <v>691</v>
      </c>
      <c r="D521" s="22" t="s">
        <v>736</v>
      </c>
      <c r="E521" s="19">
        <v>30</v>
      </c>
      <c r="F521" s="55" t="s">
        <v>753</v>
      </c>
      <c r="G521" s="21">
        <v>33</v>
      </c>
      <c r="H521" s="22">
        <v>38</v>
      </c>
      <c r="I521" s="23">
        <v>6.2</v>
      </c>
      <c r="J521" s="21">
        <v>134</v>
      </c>
      <c r="K521" s="24">
        <v>28</v>
      </c>
      <c r="L521" s="25">
        <v>51.8</v>
      </c>
      <c r="M521" s="26" t="s">
        <v>697</v>
      </c>
      <c r="N521" s="127" t="s">
        <v>748</v>
      </c>
      <c r="O521" s="24" t="s">
        <v>18</v>
      </c>
      <c r="P521" s="128" t="s">
        <v>654</v>
      </c>
      <c r="R521" s="582"/>
    </row>
    <row r="522" spans="1:18" ht="27.6" customHeight="1">
      <c r="A522" s="15" t="s">
        <v>690</v>
      </c>
      <c r="B522" s="16">
        <v>22</v>
      </c>
      <c r="C522" s="17" t="s">
        <v>691</v>
      </c>
      <c r="D522" s="22" t="s">
        <v>736</v>
      </c>
      <c r="E522" s="19">
        <v>31</v>
      </c>
      <c r="F522" s="55" t="s">
        <v>754</v>
      </c>
      <c r="G522" s="21">
        <v>33</v>
      </c>
      <c r="H522" s="22">
        <v>32</v>
      </c>
      <c r="I522" s="23">
        <v>37.799999999999997</v>
      </c>
      <c r="J522" s="21">
        <v>134</v>
      </c>
      <c r="K522" s="24">
        <v>18</v>
      </c>
      <c r="L522" s="25">
        <v>41.8</v>
      </c>
      <c r="M522" s="26" t="s">
        <v>755</v>
      </c>
      <c r="N522" s="27" t="s">
        <v>756</v>
      </c>
      <c r="O522" s="24" t="s">
        <v>18</v>
      </c>
      <c r="P522" s="128" t="s">
        <v>90</v>
      </c>
    </row>
    <row r="523" spans="1:18" ht="27.6" customHeight="1">
      <c r="A523" s="15" t="s">
        <v>690</v>
      </c>
      <c r="B523" s="16">
        <v>22</v>
      </c>
      <c r="C523" s="17" t="s">
        <v>1008</v>
      </c>
      <c r="D523" s="22" t="s">
        <v>703</v>
      </c>
      <c r="E523" s="19">
        <v>32</v>
      </c>
      <c r="F523" s="55" t="s">
        <v>757</v>
      </c>
      <c r="G523" s="21">
        <v>33</v>
      </c>
      <c r="H523" s="22">
        <v>31</v>
      </c>
      <c r="I523" s="23">
        <v>15.7</v>
      </c>
      <c r="J523" s="21">
        <v>133</v>
      </c>
      <c r="K523" s="24">
        <v>45</v>
      </c>
      <c r="L523" s="23">
        <v>11.3</v>
      </c>
      <c r="M523" s="26" t="s">
        <v>758</v>
      </c>
      <c r="N523" s="27" t="s">
        <v>759</v>
      </c>
      <c r="O523" s="24" t="s">
        <v>18</v>
      </c>
      <c r="P523" s="128" t="s">
        <v>338</v>
      </c>
    </row>
    <row r="524" spans="1:18" ht="27.6" customHeight="1">
      <c r="A524" s="30" t="s">
        <v>690</v>
      </c>
      <c r="B524" s="31">
        <v>22</v>
      </c>
      <c r="C524" s="32" t="s">
        <v>1008</v>
      </c>
      <c r="D524" s="57" t="s">
        <v>703</v>
      </c>
      <c r="E524" s="19">
        <v>33</v>
      </c>
      <c r="F524" s="56" t="s">
        <v>760</v>
      </c>
      <c r="G524" s="124">
        <v>33</v>
      </c>
      <c r="H524" s="57">
        <v>31</v>
      </c>
      <c r="I524" s="119">
        <v>20.7</v>
      </c>
      <c r="J524" s="124">
        <v>133</v>
      </c>
      <c r="K524" s="37">
        <v>45</v>
      </c>
      <c r="L524" s="119">
        <v>13.7</v>
      </c>
      <c r="M524" s="35" t="s">
        <v>758</v>
      </c>
      <c r="N524" s="36" t="s">
        <v>230</v>
      </c>
      <c r="O524" s="37" t="s">
        <v>18</v>
      </c>
      <c r="P524" s="129" t="s">
        <v>35</v>
      </c>
    </row>
    <row r="525" spans="1:18" ht="27.6" customHeight="1">
      <c r="A525" s="15" t="s">
        <v>690</v>
      </c>
      <c r="B525" s="16">
        <v>22</v>
      </c>
      <c r="C525" s="17" t="s">
        <v>1008</v>
      </c>
      <c r="D525" s="57" t="s">
        <v>703</v>
      </c>
      <c r="E525" s="19">
        <v>34</v>
      </c>
      <c r="F525" s="55" t="s">
        <v>1062</v>
      </c>
      <c r="G525" s="21">
        <v>33</v>
      </c>
      <c r="H525" s="22">
        <v>31</v>
      </c>
      <c r="I525" s="23">
        <v>13</v>
      </c>
      <c r="J525" s="21">
        <v>133</v>
      </c>
      <c r="K525" s="24">
        <v>45</v>
      </c>
      <c r="L525" s="23">
        <v>14</v>
      </c>
      <c r="M525" s="26" t="s">
        <v>1063</v>
      </c>
      <c r="N525" s="27" t="s">
        <v>1065</v>
      </c>
      <c r="O525" s="24" t="s">
        <v>18</v>
      </c>
      <c r="P525" s="128" t="s">
        <v>338</v>
      </c>
    </row>
    <row r="526" spans="1:18" ht="27.6" customHeight="1">
      <c r="A526" s="15" t="s">
        <v>690</v>
      </c>
      <c r="B526" s="16">
        <v>22</v>
      </c>
      <c r="C526" s="17" t="s">
        <v>1061</v>
      </c>
      <c r="D526" s="57" t="s">
        <v>703</v>
      </c>
      <c r="E526" s="19">
        <v>35</v>
      </c>
      <c r="F526" s="55" t="s">
        <v>1057</v>
      </c>
      <c r="G526" s="21">
        <v>33</v>
      </c>
      <c r="H526" s="22">
        <v>32</v>
      </c>
      <c r="I526" s="23">
        <v>25.34</v>
      </c>
      <c r="J526" s="21">
        <v>134</v>
      </c>
      <c r="K526" s="24">
        <v>18</v>
      </c>
      <c r="L526" s="23">
        <v>8.7799999999999994</v>
      </c>
      <c r="M526" s="26" t="s">
        <v>1064</v>
      </c>
      <c r="N526" s="27" t="s">
        <v>1066</v>
      </c>
      <c r="O526" s="24" t="s">
        <v>18</v>
      </c>
      <c r="P526" s="128" t="s">
        <v>1069</v>
      </c>
    </row>
    <row r="527" spans="1:18" ht="27.6" customHeight="1">
      <c r="A527" s="15" t="s">
        <v>690</v>
      </c>
      <c r="B527" s="16">
        <v>22</v>
      </c>
      <c r="C527" s="17" t="s">
        <v>1061</v>
      </c>
      <c r="D527" s="57" t="s">
        <v>703</v>
      </c>
      <c r="E527" s="19">
        <v>36</v>
      </c>
      <c r="F527" s="55" t="s">
        <v>1058</v>
      </c>
      <c r="G527" s="21">
        <v>33</v>
      </c>
      <c r="H527" s="22">
        <v>32</v>
      </c>
      <c r="I527" s="23">
        <v>26.1</v>
      </c>
      <c r="J527" s="21">
        <v>134</v>
      </c>
      <c r="K527" s="24">
        <v>18</v>
      </c>
      <c r="L527" s="23">
        <v>1.0900000000000001</v>
      </c>
      <c r="M527" s="26" t="s">
        <v>1064</v>
      </c>
      <c r="N527" s="27" t="s">
        <v>1066</v>
      </c>
      <c r="O527" s="24" t="s">
        <v>18</v>
      </c>
      <c r="P527" s="128" t="s">
        <v>96</v>
      </c>
    </row>
    <row r="528" spans="1:18" ht="27.6" customHeight="1">
      <c r="A528" s="15" t="s">
        <v>690</v>
      </c>
      <c r="B528" s="16">
        <v>22</v>
      </c>
      <c r="C528" s="17" t="s">
        <v>1061</v>
      </c>
      <c r="D528" s="57" t="s">
        <v>703</v>
      </c>
      <c r="E528" s="19">
        <v>37</v>
      </c>
      <c r="F528" s="55" t="s">
        <v>1059</v>
      </c>
      <c r="G528" s="21">
        <v>33</v>
      </c>
      <c r="H528" s="22">
        <v>32</v>
      </c>
      <c r="I528" s="23">
        <v>23.42</v>
      </c>
      <c r="J528" s="21">
        <v>134</v>
      </c>
      <c r="K528" s="24">
        <v>18</v>
      </c>
      <c r="L528" s="23">
        <v>40.61</v>
      </c>
      <c r="M528" s="26" t="s">
        <v>135</v>
      </c>
      <c r="N528" s="27" t="s">
        <v>1067</v>
      </c>
      <c r="O528" s="24" t="s">
        <v>18</v>
      </c>
      <c r="P528" s="128" t="s">
        <v>96</v>
      </c>
    </row>
    <row r="529" spans="1:16" ht="27.6" customHeight="1" thickBot="1">
      <c r="A529" s="429" t="s">
        <v>690</v>
      </c>
      <c r="B529" s="44">
        <v>22</v>
      </c>
      <c r="C529" s="135" t="s">
        <v>1061</v>
      </c>
      <c r="D529" s="108" t="s">
        <v>703</v>
      </c>
      <c r="E529" s="84">
        <v>38</v>
      </c>
      <c r="F529" s="110" t="s">
        <v>1060</v>
      </c>
      <c r="G529" s="107">
        <v>33</v>
      </c>
      <c r="H529" s="108">
        <v>32</v>
      </c>
      <c r="I529" s="109">
        <v>19.14</v>
      </c>
      <c r="J529" s="107">
        <v>134</v>
      </c>
      <c r="K529" s="86">
        <v>18</v>
      </c>
      <c r="L529" s="109">
        <v>43.7</v>
      </c>
      <c r="M529" s="87" t="s">
        <v>135</v>
      </c>
      <c r="N529" s="88" t="s">
        <v>1068</v>
      </c>
      <c r="O529" s="86" t="s">
        <v>18</v>
      </c>
      <c r="P529" s="583" t="s">
        <v>1070</v>
      </c>
    </row>
    <row r="530" spans="1:16" ht="27.6" customHeight="1" thickTop="1">
      <c r="A530" s="45" t="s">
        <v>761</v>
      </c>
      <c r="B530" s="46">
        <v>23</v>
      </c>
      <c r="C530" s="47" t="s">
        <v>762</v>
      </c>
      <c r="D530" s="121" t="s">
        <v>124</v>
      </c>
      <c r="E530" s="49">
        <v>1</v>
      </c>
      <c r="F530" s="130" t="s">
        <v>763</v>
      </c>
      <c r="G530" s="120">
        <v>31</v>
      </c>
      <c r="H530" s="121">
        <v>33</v>
      </c>
      <c r="I530" s="131">
        <v>3.3</v>
      </c>
      <c r="J530" s="120">
        <v>130</v>
      </c>
      <c r="K530" s="51">
        <v>41</v>
      </c>
      <c r="L530" s="131">
        <v>26</v>
      </c>
      <c r="M530" s="45" t="s">
        <v>764</v>
      </c>
      <c r="N530" s="47" t="s">
        <v>765</v>
      </c>
      <c r="O530" s="121"/>
      <c r="P530" s="52" t="s">
        <v>766</v>
      </c>
    </row>
    <row r="531" spans="1:16" ht="27.6" customHeight="1">
      <c r="A531" s="15" t="s">
        <v>761</v>
      </c>
      <c r="B531" s="16">
        <v>23</v>
      </c>
      <c r="C531" s="17" t="s">
        <v>762</v>
      </c>
      <c r="D531" s="22" t="s">
        <v>124</v>
      </c>
      <c r="E531" s="19">
        <v>2</v>
      </c>
      <c r="F531" s="43" t="s">
        <v>767</v>
      </c>
      <c r="G531" s="21">
        <v>31</v>
      </c>
      <c r="H531" s="22">
        <v>32</v>
      </c>
      <c r="I531" s="63">
        <v>48</v>
      </c>
      <c r="J531" s="21">
        <v>130</v>
      </c>
      <c r="K531" s="24">
        <v>39</v>
      </c>
      <c r="L531" s="63">
        <v>29.5</v>
      </c>
      <c r="M531" s="15" t="s">
        <v>768</v>
      </c>
      <c r="N531" s="17" t="s">
        <v>769</v>
      </c>
      <c r="O531" s="22"/>
      <c r="P531" s="25" t="s">
        <v>770</v>
      </c>
    </row>
    <row r="532" spans="1:16" ht="27.6" customHeight="1">
      <c r="A532" s="15" t="s">
        <v>761</v>
      </c>
      <c r="B532" s="16">
        <v>23</v>
      </c>
      <c r="C532" s="17" t="s">
        <v>762</v>
      </c>
      <c r="D532" s="22" t="s">
        <v>124</v>
      </c>
      <c r="E532" s="19">
        <v>3</v>
      </c>
      <c r="F532" s="43" t="s">
        <v>771</v>
      </c>
      <c r="G532" s="21">
        <v>31</v>
      </c>
      <c r="H532" s="22">
        <v>32</v>
      </c>
      <c r="I532" s="63">
        <v>39.799999999999997</v>
      </c>
      <c r="J532" s="21">
        <v>130</v>
      </c>
      <c r="K532" s="24">
        <v>37</v>
      </c>
      <c r="L532" s="63">
        <v>1.5</v>
      </c>
      <c r="M532" s="15" t="s">
        <v>772</v>
      </c>
      <c r="N532" s="17" t="s">
        <v>773</v>
      </c>
      <c r="O532" s="22"/>
      <c r="P532" s="25" t="s">
        <v>774</v>
      </c>
    </row>
    <row r="533" spans="1:16" ht="27.6" customHeight="1">
      <c r="A533" s="15" t="s">
        <v>761</v>
      </c>
      <c r="B533" s="16">
        <v>23</v>
      </c>
      <c r="C533" s="17" t="s">
        <v>762</v>
      </c>
      <c r="D533" s="22" t="s">
        <v>124</v>
      </c>
      <c r="E533" s="19">
        <v>4</v>
      </c>
      <c r="F533" s="43" t="s">
        <v>775</v>
      </c>
      <c r="G533" s="21">
        <v>31</v>
      </c>
      <c r="H533" s="22">
        <v>33</v>
      </c>
      <c r="I533" s="63">
        <v>59</v>
      </c>
      <c r="J533" s="21">
        <v>130</v>
      </c>
      <c r="K533" s="24">
        <v>35</v>
      </c>
      <c r="L533" s="63">
        <v>32.9</v>
      </c>
      <c r="M533" s="15" t="s">
        <v>776</v>
      </c>
      <c r="N533" s="17" t="s">
        <v>777</v>
      </c>
      <c r="O533" s="22"/>
      <c r="P533" s="25" t="s">
        <v>778</v>
      </c>
    </row>
    <row r="534" spans="1:16" ht="27.6" customHeight="1">
      <c r="A534" s="15" t="s">
        <v>761</v>
      </c>
      <c r="B534" s="16">
        <v>23</v>
      </c>
      <c r="C534" s="17" t="s">
        <v>762</v>
      </c>
      <c r="D534" s="22" t="s">
        <v>124</v>
      </c>
      <c r="E534" s="19">
        <v>5</v>
      </c>
      <c r="F534" s="43" t="s">
        <v>1194</v>
      </c>
      <c r="G534" s="21">
        <v>31</v>
      </c>
      <c r="H534" s="22">
        <v>35</v>
      </c>
      <c r="I534" s="63">
        <v>23.4</v>
      </c>
      <c r="J534" s="21">
        <v>130</v>
      </c>
      <c r="K534" s="24">
        <v>35</v>
      </c>
      <c r="L534" s="63">
        <v>28.2</v>
      </c>
      <c r="M534" s="15" t="s">
        <v>768</v>
      </c>
      <c r="N534" s="17" t="s">
        <v>779</v>
      </c>
      <c r="O534" s="22"/>
      <c r="P534" s="25" t="s">
        <v>780</v>
      </c>
    </row>
    <row r="535" spans="1:16" ht="27.6" customHeight="1">
      <c r="A535" s="15" t="s">
        <v>761</v>
      </c>
      <c r="B535" s="16">
        <v>23</v>
      </c>
      <c r="C535" s="17" t="s">
        <v>762</v>
      </c>
      <c r="D535" s="22" t="s">
        <v>124</v>
      </c>
      <c r="E535" s="19">
        <v>6</v>
      </c>
      <c r="F535" s="43" t="s">
        <v>781</v>
      </c>
      <c r="G535" s="21">
        <v>30</v>
      </c>
      <c r="H535" s="22">
        <v>59</v>
      </c>
      <c r="I535" s="63">
        <v>57</v>
      </c>
      <c r="J535" s="21">
        <v>130</v>
      </c>
      <c r="K535" s="24">
        <v>40</v>
      </c>
      <c r="L535" s="63">
        <v>5</v>
      </c>
      <c r="M535" s="15" t="s">
        <v>768</v>
      </c>
      <c r="N535" s="17" t="s">
        <v>782</v>
      </c>
      <c r="O535" s="22"/>
      <c r="P535" s="25">
        <v>5</v>
      </c>
    </row>
    <row r="536" spans="1:16" ht="27.6" customHeight="1">
      <c r="A536" s="15" t="s">
        <v>761</v>
      </c>
      <c r="B536" s="16">
        <v>23</v>
      </c>
      <c r="C536" s="17" t="s">
        <v>762</v>
      </c>
      <c r="D536" s="22" t="s">
        <v>124</v>
      </c>
      <c r="E536" s="19">
        <v>7</v>
      </c>
      <c r="F536" s="43" t="s">
        <v>783</v>
      </c>
      <c r="G536" s="21">
        <v>30</v>
      </c>
      <c r="H536" s="22">
        <v>59</v>
      </c>
      <c r="I536" s="63">
        <v>46.6</v>
      </c>
      <c r="J536" s="21">
        <v>130</v>
      </c>
      <c r="K536" s="24">
        <v>40</v>
      </c>
      <c r="L536" s="63">
        <v>14.8</v>
      </c>
      <c r="M536" s="15" t="s">
        <v>784</v>
      </c>
      <c r="N536" s="17" t="s">
        <v>779</v>
      </c>
      <c r="O536" s="22"/>
      <c r="P536" s="25">
        <v>6</v>
      </c>
    </row>
    <row r="537" spans="1:16" ht="27.6" customHeight="1">
      <c r="A537" s="15" t="s">
        <v>761</v>
      </c>
      <c r="B537" s="16">
        <v>23</v>
      </c>
      <c r="C537" s="17" t="s">
        <v>762</v>
      </c>
      <c r="D537" s="22" t="s">
        <v>124</v>
      </c>
      <c r="E537" s="19">
        <v>8</v>
      </c>
      <c r="F537" s="43" t="s">
        <v>785</v>
      </c>
      <c r="G537" s="21">
        <v>31</v>
      </c>
      <c r="H537" s="22">
        <v>16</v>
      </c>
      <c r="I537" s="63">
        <v>41.7</v>
      </c>
      <c r="J537" s="21">
        <v>131</v>
      </c>
      <c r="K537" s="24">
        <v>6</v>
      </c>
      <c r="L537" s="63">
        <v>43</v>
      </c>
      <c r="M537" s="15" t="s">
        <v>768</v>
      </c>
      <c r="N537" s="17" t="s">
        <v>786</v>
      </c>
      <c r="O537" s="22"/>
      <c r="P537" s="25" t="s">
        <v>787</v>
      </c>
    </row>
    <row r="538" spans="1:16" ht="27.6" customHeight="1">
      <c r="A538" s="15" t="s">
        <v>761</v>
      </c>
      <c r="B538" s="16">
        <v>23</v>
      </c>
      <c r="C538" s="17" t="s">
        <v>762</v>
      </c>
      <c r="D538" s="22" t="s">
        <v>124</v>
      </c>
      <c r="E538" s="19">
        <v>9</v>
      </c>
      <c r="F538" s="43" t="s">
        <v>788</v>
      </c>
      <c r="G538" s="21">
        <v>31</v>
      </c>
      <c r="H538" s="22">
        <v>15</v>
      </c>
      <c r="I538" s="63">
        <v>28.1</v>
      </c>
      <c r="J538" s="21">
        <v>130</v>
      </c>
      <c r="K538" s="24">
        <v>15</v>
      </c>
      <c r="L538" s="63">
        <v>31</v>
      </c>
      <c r="M538" s="15" t="s">
        <v>768</v>
      </c>
      <c r="N538" s="17" t="s">
        <v>779</v>
      </c>
      <c r="O538" s="22"/>
      <c r="P538" s="25" t="s">
        <v>787</v>
      </c>
    </row>
    <row r="539" spans="1:16" ht="27.6" customHeight="1">
      <c r="A539" s="15" t="s">
        <v>761</v>
      </c>
      <c r="B539" s="16">
        <v>23</v>
      </c>
      <c r="C539" s="17" t="s">
        <v>762</v>
      </c>
      <c r="D539" s="22" t="s">
        <v>124</v>
      </c>
      <c r="E539" s="19">
        <v>10</v>
      </c>
      <c r="F539" s="43" t="s">
        <v>789</v>
      </c>
      <c r="G539" s="21">
        <v>31</v>
      </c>
      <c r="H539" s="22">
        <v>15</v>
      </c>
      <c r="I539" s="63">
        <v>23.5</v>
      </c>
      <c r="J539" s="21">
        <v>130</v>
      </c>
      <c r="K539" s="24">
        <v>13</v>
      </c>
      <c r="L539" s="63">
        <v>56.6</v>
      </c>
      <c r="M539" s="15" t="s">
        <v>768</v>
      </c>
      <c r="N539" s="17" t="s">
        <v>779</v>
      </c>
      <c r="O539" s="22"/>
      <c r="P539" s="25" t="s">
        <v>787</v>
      </c>
    </row>
    <row r="540" spans="1:16" ht="27.6" customHeight="1">
      <c r="A540" s="15" t="s">
        <v>761</v>
      </c>
      <c r="B540" s="16">
        <v>23</v>
      </c>
      <c r="C540" s="17" t="s">
        <v>762</v>
      </c>
      <c r="D540" s="22" t="s">
        <v>124</v>
      </c>
      <c r="E540" s="19">
        <v>11</v>
      </c>
      <c r="F540" s="43" t="s">
        <v>790</v>
      </c>
      <c r="G540" s="21">
        <v>31</v>
      </c>
      <c r="H540" s="22">
        <v>19</v>
      </c>
      <c r="I540" s="63">
        <v>2.8</v>
      </c>
      <c r="J540" s="21">
        <v>130</v>
      </c>
      <c r="K540" s="24">
        <v>12</v>
      </c>
      <c r="L540" s="63">
        <v>13.8</v>
      </c>
      <c r="M540" s="15" t="s">
        <v>768</v>
      </c>
      <c r="N540" s="17" t="s">
        <v>779</v>
      </c>
      <c r="O540" s="22"/>
      <c r="P540" s="25" t="s">
        <v>79</v>
      </c>
    </row>
    <row r="541" spans="1:16" ht="27.6" customHeight="1">
      <c r="A541" s="15" t="s">
        <v>761</v>
      </c>
      <c r="B541" s="16">
        <v>23</v>
      </c>
      <c r="C541" s="17" t="s">
        <v>762</v>
      </c>
      <c r="D541" s="22" t="s">
        <v>124</v>
      </c>
      <c r="E541" s="19">
        <v>12</v>
      </c>
      <c r="F541" s="43" t="s">
        <v>791</v>
      </c>
      <c r="G541" s="21">
        <v>31</v>
      </c>
      <c r="H541" s="22">
        <v>19</v>
      </c>
      <c r="I541" s="63">
        <v>9.9</v>
      </c>
      <c r="J541" s="21">
        <v>130</v>
      </c>
      <c r="K541" s="24">
        <v>12</v>
      </c>
      <c r="L541" s="63">
        <v>17.899999999999999</v>
      </c>
      <c r="M541" s="15" t="s">
        <v>792</v>
      </c>
      <c r="N541" s="17" t="s">
        <v>779</v>
      </c>
      <c r="O541" s="22"/>
      <c r="P541" s="25" t="s">
        <v>73</v>
      </c>
    </row>
    <row r="542" spans="1:16" ht="27.6" customHeight="1">
      <c r="A542" s="15" t="s">
        <v>761</v>
      </c>
      <c r="B542" s="16">
        <v>23</v>
      </c>
      <c r="C542" s="17" t="s">
        <v>762</v>
      </c>
      <c r="D542" s="22" t="s">
        <v>124</v>
      </c>
      <c r="E542" s="19">
        <v>13</v>
      </c>
      <c r="F542" s="43" t="s">
        <v>793</v>
      </c>
      <c r="G542" s="21">
        <v>31</v>
      </c>
      <c r="H542" s="22">
        <v>20</v>
      </c>
      <c r="I542" s="63">
        <v>32.700000000000003</v>
      </c>
      <c r="J542" s="21">
        <v>130</v>
      </c>
      <c r="K542" s="24">
        <v>12</v>
      </c>
      <c r="L542" s="63">
        <v>26.1</v>
      </c>
      <c r="M542" s="15" t="s">
        <v>768</v>
      </c>
      <c r="N542" s="17" t="s">
        <v>773</v>
      </c>
      <c r="O542" s="22"/>
      <c r="P542" s="23">
        <v>2</v>
      </c>
    </row>
    <row r="543" spans="1:16" ht="27.6" customHeight="1">
      <c r="A543" s="15" t="s">
        <v>761</v>
      </c>
      <c r="B543" s="16">
        <v>23</v>
      </c>
      <c r="C543" s="17" t="s">
        <v>762</v>
      </c>
      <c r="D543" s="22" t="s">
        <v>124</v>
      </c>
      <c r="E543" s="19">
        <v>14</v>
      </c>
      <c r="F543" s="43" t="s">
        <v>794</v>
      </c>
      <c r="G543" s="21">
        <v>31</v>
      </c>
      <c r="H543" s="22">
        <v>20</v>
      </c>
      <c r="I543" s="63">
        <v>56</v>
      </c>
      <c r="J543" s="21">
        <v>130</v>
      </c>
      <c r="K543" s="24">
        <v>12</v>
      </c>
      <c r="L543" s="63">
        <v>19</v>
      </c>
      <c r="M543" s="15" t="s">
        <v>768</v>
      </c>
      <c r="N543" s="17" t="s">
        <v>779</v>
      </c>
      <c r="O543" s="22"/>
      <c r="P543" s="25" t="s">
        <v>79</v>
      </c>
    </row>
    <row r="544" spans="1:16" ht="27.6" customHeight="1">
      <c r="A544" s="15" t="s">
        <v>761</v>
      </c>
      <c r="B544" s="16">
        <v>23</v>
      </c>
      <c r="C544" s="17" t="s">
        <v>762</v>
      </c>
      <c r="D544" s="22" t="s">
        <v>124</v>
      </c>
      <c r="E544" s="19">
        <v>15</v>
      </c>
      <c r="F544" s="43" t="s">
        <v>795</v>
      </c>
      <c r="G544" s="21">
        <v>31</v>
      </c>
      <c r="H544" s="22">
        <v>25</v>
      </c>
      <c r="I544" s="63">
        <v>25</v>
      </c>
      <c r="J544" s="21">
        <v>130</v>
      </c>
      <c r="K544" s="24">
        <v>10</v>
      </c>
      <c r="L544" s="63">
        <v>12.4</v>
      </c>
      <c r="M544" s="15" t="s">
        <v>796</v>
      </c>
      <c r="N544" s="17" t="s">
        <v>777</v>
      </c>
      <c r="O544" s="22"/>
      <c r="P544" s="25" t="s">
        <v>79</v>
      </c>
    </row>
    <row r="545" spans="1:16" ht="27.6" customHeight="1">
      <c r="A545" s="15" t="s">
        <v>761</v>
      </c>
      <c r="B545" s="16">
        <v>23</v>
      </c>
      <c r="C545" s="17" t="s">
        <v>762</v>
      </c>
      <c r="D545" s="22" t="s">
        <v>124</v>
      </c>
      <c r="E545" s="19">
        <v>16</v>
      </c>
      <c r="F545" s="43" t="s">
        <v>797</v>
      </c>
      <c r="G545" s="21">
        <v>32</v>
      </c>
      <c r="H545" s="22">
        <v>1</v>
      </c>
      <c r="I545" s="63">
        <v>57.6</v>
      </c>
      <c r="J545" s="21">
        <v>130</v>
      </c>
      <c r="K545" s="24">
        <v>9</v>
      </c>
      <c r="L545" s="63">
        <v>59.4</v>
      </c>
      <c r="M545" s="15" t="s">
        <v>798</v>
      </c>
      <c r="N545" s="17" t="s">
        <v>826</v>
      </c>
      <c r="O545" s="22" t="s">
        <v>825</v>
      </c>
      <c r="P545" s="25" t="s">
        <v>787</v>
      </c>
    </row>
    <row r="546" spans="1:16" ht="27.6" customHeight="1">
      <c r="A546" s="15" t="s">
        <v>761</v>
      </c>
      <c r="B546" s="16">
        <v>23</v>
      </c>
      <c r="C546" s="17" t="s">
        <v>762</v>
      </c>
      <c r="D546" s="22" t="s">
        <v>124</v>
      </c>
      <c r="E546" s="19">
        <v>17</v>
      </c>
      <c r="F546" s="43" t="s">
        <v>799</v>
      </c>
      <c r="G546" s="21">
        <v>32</v>
      </c>
      <c r="H546" s="22">
        <v>5</v>
      </c>
      <c r="I546" s="63">
        <v>2.4</v>
      </c>
      <c r="J546" s="21">
        <v>130</v>
      </c>
      <c r="K546" s="24">
        <v>9</v>
      </c>
      <c r="L546" s="63">
        <v>41.4</v>
      </c>
      <c r="M546" s="15" t="s">
        <v>800</v>
      </c>
      <c r="N546" s="17" t="s">
        <v>826</v>
      </c>
      <c r="O546" s="22" t="s">
        <v>825</v>
      </c>
      <c r="P546" s="25" t="s">
        <v>801</v>
      </c>
    </row>
    <row r="547" spans="1:16" ht="27.6" customHeight="1" thickBot="1">
      <c r="A547" s="30" t="s">
        <v>761</v>
      </c>
      <c r="B547" s="31">
        <v>23</v>
      </c>
      <c r="C547" s="32" t="s">
        <v>762</v>
      </c>
      <c r="D547" s="57" t="s">
        <v>124</v>
      </c>
      <c r="E547" s="89">
        <v>18</v>
      </c>
      <c r="F547" s="132" t="s">
        <v>1655</v>
      </c>
      <c r="G547" s="124">
        <v>32</v>
      </c>
      <c r="H547" s="57">
        <v>7</v>
      </c>
      <c r="I547" s="133">
        <v>28.2</v>
      </c>
      <c r="J547" s="124">
        <v>130</v>
      </c>
      <c r="K547" s="37">
        <v>10</v>
      </c>
      <c r="L547" s="133">
        <v>32.799999999999997</v>
      </c>
      <c r="M547" s="30" t="s">
        <v>802</v>
      </c>
      <c r="N547" s="32" t="s">
        <v>826</v>
      </c>
      <c r="O547" s="57" t="s">
        <v>825</v>
      </c>
      <c r="P547" s="38" t="s">
        <v>787</v>
      </c>
    </row>
    <row r="548" spans="1:16" ht="27.6" customHeight="1" thickTop="1">
      <c r="A548" s="90" t="s">
        <v>803</v>
      </c>
      <c r="B548" s="91">
        <v>24</v>
      </c>
      <c r="C548" s="40" t="s">
        <v>804</v>
      </c>
      <c r="D548" s="41" t="s">
        <v>805</v>
      </c>
      <c r="E548" s="71">
        <v>1</v>
      </c>
      <c r="F548" s="134" t="s">
        <v>827</v>
      </c>
      <c r="G548" s="106">
        <v>32</v>
      </c>
      <c r="H548" s="41">
        <v>31</v>
      </c>
      <c r="I548" s="81">
        <v>24.5</v>
      </c>
      <c r="J548" s="106">
        <v>130</v>
      </c>
      <c r="K548" s="59">
        <v>0</v>
      </c>
      <c r="L548" s="81">
        <v>58.2</v>
      </c>
      <c r="M548" s="90" t="s">
        <v>806</v>
      </c>
      <c r="N548" s="40" t="s">
        <v>807</v>
      </c>
      <c r="O548" s="41" t="s">
        <v>18</v>
      </c>
      <c r="P548" s="60" t="s">
        <v>77</v>
      </c>
    </row>
    <row r="549" spans="1:16" ht="27.6" customHeight="1">
      <c r="A549" s="15" t="s">
        <v>803</v>
      </c>
      <c r="B549" s="16">
        <v>24</v>
      </c>
      <c r="C549" s="17" t="s">
        <v>804</v>
      </c>
      <c r="D549" s="22" t="s">
        <v>805</v>
      </c>
      <c r="E549" s="19">
        <v>2</v>
      </c>
      <c r="F549" s="43" t="s">
        <v>828</v>
      </c>
      <c r="G549" s="21">
        <v>32</v>
      </c>
      <c r="H549" s="22">
        <v>31</v>
      </c>
      <c r="I549" s="23">
        <v>7.1</v>
      </c>
      <c r="J549" s="21">
        <v>130</v>
      </c>
      <c r="K549" s="24">
        <v>1</v>
      </c>
      <c r="L549" s="23">
        <v>34.5</v>
      </c>
      <c r="M549" s="15" t="s">
        <v>808</v>
      </c>
      <c r="N549" s="17" t="s">
        <v>809</v>
      </c>
      <c r="O549" s="22" t="s">
        <v>18</v>
      </c>
      <c r="P549" s="25" t="s">
        <v>79</v>
      </c>
    </row>
    <row r="550" spans="1:16" ht="27.6" customHeight="1">
      <c r="A550" s="15" t="s">
        <v>803</v>
      </c>
      <c r="B550" s="16">
        <v>24</v>
      </c>
      <c r="C550" s="17" t="s">
        <v>804</v>
      </c>
      <c r="D550" s="22" t="s">
        <v>805</v>
      </c>
      <c r="E550" s="19">
        <v>3</v>
      </c>
      <c r="F550" s="43" t="s">
        <v>829</v>
      </c>
      <c r="G550" s="21">
        <v>32</v>
      </c>
      <c r="H550" s="22">
        <v>20</v>
      </c>
      <c r="I550" s="23">
        <v>40.9</v>
      </c>
      <c r="J550" s="21">
        <v>129</v>
      </c>
      <c r="K550" s="24">
        <v>58</v>
      </c>
      <c r="L550" s="23">
        <v>3.7</v>
      </c>
      <c r="M550" s="15" t="s">
        <v>114</v>
      </c>
      <c r="N550" s="17" t="s">
        <v>98</v>
      </c>
      <c r="O550" s="22" t="s">
        <v>18</v>
      </c>
      <c r="P550" s="25" t="s">
        <v>77</v>
      </c>
    </row>
    <row r="551" spans="1:16" ht="27.6" customHeight="1">
      <c r="A551" s="15" t="s">
        <v>803</v>
      </c>
      <c r="B551" s="16">
        <v>24</v>
      </c>
      <c r="C551" s="17" t="s">
        <v>804</v>
      </c>
      <c r="D551" s="22" t="s">
        <v>805</v>
      </c>
      <c r="E551" s="19">
        <v>4</v>
      </c>
      <c r="F551" s="43" t="s">
        <v>810</v>
      </c>
      <c r="G551" s="21">
        <v>32</v>
      </c>
      <c r="H551" s="22">
        <v>20</v>
      </c>
      <c r="I551" s="23">
        <v>55.8</v>
      </c>
      <c r="J551" s="21">
        <v>129</v>
      </c>
      <c r="K551" s="24">
        <v>58</v>
      </c>
      <c r="L551" s="23">
        <v>37.700000000000003</v>
      </c>
      <c r="M551" s="15" t="s">
        <v>808</v>
      </c>
      <c r="N551" s="17" t="s">
        <v>811</v>
      </c>
      <c r="O551" s="22" t="s">
        <v>18</v>
      </c>
      <c r="P551" s="25" t="s">
        <v>787</v>
      </c>
    </row>
    <row r="552" spans="1:16" ht="27.6" customHeight="1">
      <c r="A552" s="15" t="s">
        <v>803</v>
      </c>
      <c r="B552" s="16">
        <v>24</v>
      </c>
      <c r="C552" s="17" t="s">
        <v>804</v>
      </c>
      <c r="D552" s="22" t="s">
        <v>805</v>
      </c>
      <c r="E552" s="19">
        <v>5</v>
      </c>
      <c r="F552" s="43" t="s">
        <v>830</v>
      </c>
      <c r="G552" s="21">
        <v>32</v>
      </c>
      <c r="H552" s="22">
        <v>12</v>
      </c>
      <c r="I552" s="23">
        <v>1.3</v>
      </c>
      <c r="J552" s="21">
        <v>129</v>
      </c>
      <c r="K552" s="24">
        <v>58</v>
      </c>
      <c r="L552" s="23">
        <v>32.1</v>
      </c>
      <c r="M552" s="15" t="s">
        <v>812</v>
      </c>
      <c r="N552" s="17" t="s">
        <v>811</v>
      </c>
      <c r="O552" s="22" t="s">
        <v>18</v>
      </c>
      <c r="P552" s="25" t="s">
        <v>801</v>
      </c>
    </row>
    <row r="553" spans="1:16" ht="27.6" customHeight="1">
      <c r="A553" s="15" t="s">
        <v>803</v>
      </c>
      <c r="B553" s="16">
        <v>24</v>
      </c>
      <c r="C553" s="17" t="s">
        <v>804</v>
      </c>
      <c r="D553" s="22" t="s">
        <v>805</v>
      </c>
      <c r="E553" s="19">
        <v>6</v>
      </c>
      <c r="F553" s="43" t="s">
        <v>831</v>
      </c>
      <c r="G553" s="21">
        <v>32</v>
      </c>
      <c r="H553" s="22">
        <v>12</v>
      </c>
      <c r="I553" s="23">
        <v>18.8</v>
      </c>
      <c r="J553" s="21">
        <v>129</v>
      </c>
      <c r="K553" s="24">
        <v>59</v>
      </c>
      <c r="L553" s="23">
        <v>35.9</v>
      </c>
      <c r="M553" s="15" t="s">
        <v>813</v>
      </c>
      <c r="N553" s="17" t="s">
        <v>814</v>
      </c>
      <c r="O553" s="22" t="s">
        <v>18</v>
      </c>
      <c r="P553" s="25" t="s">
        <v>787</v>
      </c>
    </row>
    <row r="554" spans="1:16" ht="27.6" customHeight="1">
      <c r="A554" s="15" t="s">
        <v>803</v>
      </c>
      <c r="B554" s="16">
        <v>24</v>
      </c>
      <c r="C554" s="17" t="s">
        <v>804</v>
      </c>
      <c r="D554" s="22" t="s">
        <v>805</v>
      </c>
      <c r="E554" s="19">
        <v>7</v>
      </c>
      <c r="F554" s="43" t="s">
        <v>832</v>
      </c>
      <c r="G554" s="21">
        <v>32</v>
      </c>
      <c r="H554" s="22">
        <v>11</v>
      </c>
      <c r="I554" s="23">
        <v>12.4</v>
      </c>
      <c r="J554" s="21">
        <v>129</v>
      </c>
      <c r="K554" s="24">
        <v>58</v>
      </c>
      <c r="L554" s="23">
        <v>6.7</v>
      </c>
      <c r="M554" s="15" t="s">
        <v>812</v>
      </c>
      <c r="N554" s="17" t="s">
        <v>811</v>
      </c>
      <c r="O554" s="22" t="s">
        <v>18</v>
      </c>
      <c r="P554" s="25" t="s">
        <v>77</v>
      </c>
    </row>
    <row r="555" spans="1:16" ht="27.6" customHeight="1">
      <c r="A555" s="15" t="s">
        <v>803</v>
      </c>
      <c r="B555" s="16">
        <v>24</v>
      </c>
      <c r="C555" s="17" t="s">
        <v>804</v>
      </c>
      <c r="D555" s="22" t="s">
        <v>805</v>
      </c>
      <c r="E555" s="19">
        <v>8</v>
      </c>
      <c r="F555" s="43" t="s">
        <v>833</v>
      </c>
      <c r="G555" s="21">
        <v>32</v>
      </c>
      <c r="H555" s="22">
        <v>11</v>
      </c>
      <c r="I555" s="23">
        <v>35.200000000000003</v>
      </c>
      <c r="J555" s="21">
        <v>129</v>
      </c>
      <c r="K555" s="24">
        <v>59</v>
      </c>
      <c r="L555" s="23">
        <v>37.700000000000003</v>
      </c>
      <c r="M555" s="15" t="s">
        <v>815</v>
      </c>
      <c r="N555" s="17" t="s">
        <v>811</v>
      </c>
      <c r="O555" s="22" t="s">
        <v>18</v>
      </c>
      <c r="P555" s="25" t="s">
        <v>107</v>
      </c>
    </row>
    <row r="556" spans="1:16" ht="27.6" customHeight="1">
      <c r="A556" s="15" t="s">
        <v>803</v>
      </c>
      <c r="B556" s="16">
        <v>24</v>
      </c>
      <c r="C556" s="17" t="s">
        <v>804</v>
      </c>
      <c r="D556" s="22" t="s">
        <v>805</v>
      </c>
      <c r="E556" s="19">
        <v>9</v>
      </c>
      <c r="F556" s="43" t="s">
        <v>834</v>
      </c>
      <c r="G556" s="21">
        <v>32</v>
      </c>
      <c r="H556" s="22">
        <v>10</v>
      </c>
      <c r="I556" s="23">
        <v>45.9</v>
      </c>
      <c r="J556" s="21">
        <v>129</v>
      </c>
      <c r="K556" s="24">
        <v>57</v>
      </c>
      <c r="L556" s="23">
        <v>59.8</v>
      </c>
      <c r="M556" s="15" t="s">
        <v>815</v>
      </c>
      <c r="N556" s="17" t="s">
        <v>816</v>
      </c>
      <c r="O556" s="22" t="s">
        <v>18</v>
      </c>
      <c r="P556" s="25" t="s">
        <v>73</v>
      </c>
    </row>
    <row r="557" spans="1:16" ht="27.6" customHeight="1">
      <c r="A557" s="15" t="s">
        <v>803</v>
      </c>
      <c r="B557" s="16">
        <v>24</v>
      </c>
      <c r="C557" s="17" t="s">
        <v>804</v>
      </c>
      <c r="D557" s="22" t="s">
        <v>805</v>
      </c>
      <c r="E557" s="19">
        <v>10</v>
      </c>
      <c r="F557" s="43" t="s">
        <v>835</v>
      </c>
      <c r="G557" s="21">
        <v>32</v>
      </c>
      <c r="H557" s="22">
        <v>8</v>
      </c>
      <c r="I557" s="23">
        <v>59.7</v>
      </c>
      <c r="J557" s="21">
        <v>129</v>
      </c>
      <c r="K557" s="24">
        <v>58</v>
      </c>
      <c r="L557" s="23">
        <v>30.4</v>
      </c>
      <c r="M557" s="15" t="s">
        <v>806</v>
      </c>
      <c r="N557" s="17" t="s">
        <v>816</v>
      </c>
      <c r="O557" s="22" t="s">
        <v>18</v>
      </c>
      <c r="P557" s="25" t="s">
        <v>15</v>
      </c>
    </row>
    <row r="558" spans="1:16" ht="27.6" customHeight="1">
      <c r="A558" s="15" t="s">
        <v>803</v>
      </c>
      <c r="B558" s="16">
        <v>24</v>
      </c>
      <c r="C558" s="17" t="s">
        <v>804</v>
      </c>
      <c r="D558" s="22" t="s">
        <v>805</v>
      </c>
      <c r="E558" s="19">
        <v>11</v>
      </c>
      <c r="F558" s="43" t="s">
        <v>836</v>
      </c>
      <c r="G558" s="21">
        <v>32</v>
      </c>
      <c r="H558" s="22">
        <v>10</v>
      </c>
      <c r="I558" s="23">
        <v>50.2</v>
      </c>
      <c r="J558" s="21">
        <v>130</v>
      </c>
      <c r="K558" s="24">
        <v>1</v>
      </c>
      <c r="L558" s="23">
        <v>15.1</v>
      </c>
      <c r="M558" s="15" t="s">
        <v>812</v>
      </c>
      <c r="N558" s="17" t="s">
        <v>816</v>
      </c>
      <c r="O558" s="22" t="s">
        <v>18</v>
      </c>
      <c r="P558" s="25" t="s">
        <v>112</v>
      </c>
    </row>
    <row r="559" spans="1:16" ht="27.6" customHeight="1">
      <c r="A559" s="15" t="s">
        <v>803</v>
      </c>
      <c r="B559" s="16">
        <v>24</v>
      </c>
      <c r="C559" s="17" t="s">
        <v>804</v>
      </c>
      <c r="D559" s="22" t="s">
        <v>805</v>
      </c>
      <c r="E559" s="19">
        <v>12</v>
      </c>
      <c r="F559" s="43" t="s">
        <v>837</v>
      </c>
      <c r="G559" s="21">
        <v>32</v>
      </c>
      <c r="H559" s="22">
        <v>9</v>
      </c>
      <c r="I559" s="23">
        <v>57</v>
      </c>
      <c r="J559" s="21">
        <v>130</v>
      </c>
      <c r="K559" s="24">
        <v>0</v>
      </c>
      <c r="L559" s="23">
        <v>28</v>
      </c>
      <c r="M559" s="15" t="s">
        <v>806</v>
      </c>
      <c r="N559" s="17" t="s">
        <v>811</v>
      </c>
      <c r="O559" s="22" t="s">
        <v>18</v>
      </c>
      <c r="P559" s="25" t="s">
        <v>79</v>
      </c>
    </row>
    <row r="560" spans="1:16" ht="27.6" customHeight="1">
      <c r="A560" s="15" t="s">
        <v>803</v>
      </c>
      <c r="B560" s="16">
        <v>24</v>
      </c>
      <c r="C560" s="17" t="s">
        <v>804</v>
      </c>
      <c r="D560" s="22" t="s">
        <v>805</v>
      </c>
      <c r="E560" s="19">
        <v>13</v>
      </c>
      <c r="F560" s="43" t="s">
        <v>838</v>
      </c>
      <c r="G560" s="21">
        <v>32</v>
      </c>
      <c r="H560" s="22">
        <v>9</v>
      </c>
      <c r="I560" s="23">
        <v>19.7</v>
      </c>
      <c r="J560" s="21">
        <v>130</v>
      </c>
      <c r="K560" s="24">
        <v>2</v>
      </c>
      <c r="L560" s="23">
        <v>34.700000000000003</v>
      </c>
      <c r="M560" s="15" t="s">
        <v>812</v>
      </c>
      <c r="N560" s="17" t="s">
        <v>817</v>
      </c>
      <c r="O560" s="22" t="s">
        <v>18</v>
      </c>
      <c r="P560" s="25" t="s">
        <v>818</v>
      </c>
    </row>
    <row r="561" spans="1:16" ht="27.6" customHeight="1">
      <c r="A561" s="15" t="s">
        <v>803</v>
      </c>
      <c r="B561" s="16">
        <v>24</v>
      </c>
      <c r="C561" s="17" t="s">
        <v>804</v>
      </c>
      <c r="D561" s="22" t="s">
        <v>805</v>
      </c>
      <c r="E561" s="19">
        <v>14</v>
      </c>
      <c r="F561" s="43" t="s">
        <v>839</v>
      </c>
      <c r="G561" s="21">
        <v>32</v>
      </c>
      <c r="H561" s="22">
        <v>9</v>
      </c>
      <c r="I561" s="23">
        <v>42</v>
      </c>
      <c r="J561" s="21">
        <v>130</v>
      </c>
      <c r="K561" s="24">
        <v>3</v>
      </c>
      <c r="L561" s="23">
        <v>16.600000000000001</v>
      </c>
      <c r="M561" s="15" t="s">
        <v>808</v>
      </c>
      <c r="N561" s="17" t="s">
        <v>811</v>
      </c>
      <c r="O561" s="22" t="s">
        <v>18</v>
      </c>
      <c r="P561" s="25" t="s">
        <v>29</v>
      </c>
    </row>
    <row r="562" spans="1:16" ht="27.6" customHeight="1">
      <c r="A562" s="15" t="s">
        <v>803</v>
      </c>
      <c r="B562" s="16">
        <v>24</v>
      </c>
      <c r="C562" s="17" t="s">
        <v>804</v>
      </c>
      <c r="D562" s="22" t="s">
        <v>805</v>
      </c>
      <c r="E562" s="19">
        <v>15</v>
      </c>
      <c r="F562" s="43" t="s">
        <v>819</v>
      </c>
      <c r="G562" s="21">
        <v>32</v>
      </c>
      <c r="H562" s="22">
        <v>8</v>
      </c>
      <c r="I562" s="23">
        <v>37.5</v>
      </c>
      <c r="J562" s="21">
        <v>129</v>
      </c>
      <c r="K562" s="24">
        <v>58</v>
      </c>
      <c r="L562" s="23">
        <v>19</v>
      </c>
      <c r="M562" s="15" t="s">
        <v>808</v>
      </c>
      <c r="N562" s="17" t="s">
        <v>811</v>
      </c>
      <c r="O562" s="22" t="s">
        <v>18</v>
      </c>
      <c r="P562" s="25" t="s">
        <v>73</v>
      </c>
    </row>
    <row r="563" spans="1:16" ht="27.6" customHeight="1" thickBot="1">
      <c r="A563" s="429" t="s">
        <v>803</v>
      </c>
      <c r="B563" s="44">
        <v>24</v>
      </c>
      <c r="C563" s="135" t="s">
        <v>804</v>
      </c>
      <c r="D563" s="108" t="s">
        <v>805</v>
      </c>
      <c r="E563" s="84">
        <v>16</v>
      </c>
      <c r="F563" s="136" t="s">
        <v>820</v>
      </c>
      <c r="G563" s="779" t="s">
        <v>821</v>
      </c>
      <c r="H563" s="780"/>
      <c r="I563" s="780"/>
      <c r="J563" s="780"/>
      <c r="K563" s="780"/>
      <c r="L563" s="780"/>
      <c r="M563" s="780"/>
      <c r="N563" s="780"/>
      <c r="O563" s="780"/>
      <c r="P563" s="781"/>
    </row>
    <row r="564" spans="1:16" ht="27.6" customHeight="1" thickTop="1">
      <c r="A564" s="15" t="s">
        <v>1037</v>
      </c>
      <c r="B564" s="16">
        <v>25</v>
      </c>
      <c r="C564" s="17" t="s">
        <v>1037</v>
      </c>
      <c r="D564" s="22" t="s">
        <v>153</v>
      </c>
      <c r="E564" s="19">
        <v>1</v>
      </c>
      <c r="F564" s="43" t="s">
        <v>1039</v>
      </c>
      <c r="G564" s="21">
        <v>24</v>
      </c>
      <c r="H564" s="22">
        <v>37</v>
      </c>
      <c r="I564" s="23">
        <v>47.79</v>
      </c>
      <c r="J564" s="21">
        <v>124</v>
      </c>
      <c r="K564" s="24">
        <v>42</v>
      </c>
      <c r="L564" s="23">
        <v>32.74</v>
      </c>
      <c r="M564" s="15" t="s">
        <v>1048</v>
      </c>
      <c r="N564" s="17" t="s">
        <v>1050</v>
      </c>
      <c r="O564" s="22" t="s">
        <v>18</v>
      </c>
      <c r="P564" s="23" t="s">
        <v>865</v>
      </c>
    </row>
    <row r="565" spans="1:16" ht="27.6" customHeight="1">
      <c r="A565" s="15" t="s">
        <v>1037</v>
      </c>
      <c r="B565" s="16">
        <v>25</v>
      </c>
      <c r="C565" s="17" t="s">
        <v>1038</v>
      </c>
      <c r="D565" s="22" t="s">
        <v>153</v>
      </c>
      <c r="E565" s="19">
        <v>2</v>
      </c>
      <c r="F565" s="43" t="s">
        <v>1040</v>
      </c>
      <c r="G565" s="21">
        <v>24</v>
      </c>
      <c r="H565" s="22">
        <v>38</v>
      </c>
      <c r="I565" s="23">
        <v>18</v>
      </c>
      <c r="J565" s="21">
        <v>124</v>
      </c>
      <c r="K565" s="24">
        <v>43</v>
      </c>
      <c r="L565" s="23">
        <v>4</v>
      </c>
      <c r="M565" s="15" t="s">
        <v>1049</v>
      </c>
      <c r="N565" s="17" t="s">
        <v>1050</v>
      </c>
      <c r="O565" s="22" t="s">
        <v>825</v>
      </c>
      <c r="P565" s="23" t="s">
        <v>15</v>
      </c>
    </row>
    <row r="566" spans="1:16" ht="27.6" customHeight="1">
      <c r="A566" s="15" t="s">
        <v>1037</v>
      </c>
      <c r="B566" s="16">
        <v>25</v>
      </c>
      <c r="C566" s="17" t="s">
        <v>1038</v>
      </c>
      <c r="D566" s="22" t="s">
        <v>153</v>
      </c>
      <c r="E566" s="19">
        <v>3</v>
      </c>
      <c r="F566" s="43" t="s">
        <v>1041</v>
      </c>
      <c r="G566" s="21">
        <v>24</v>
      </c>
      <c r="H566" s="22">
        <v>37</v>
      </c>
      <c r="I566" s="23">
        <v>51.19</v>
      </c>
      <c r="J566" s="21">
        <v>124</v>
      </c>
      <c r="K566" s="24">
        <v>41</v>
      </c>
      <c r="L566" s="23">
        <v>27.08</v>
      </c>
      <c r="M566" s="15" t="s">
        <v>1048</v>
      </c>
      <c r="N566" s="17" t="s">
        <v>1050</v>
      </c>
      <c r="O566" s="22" t="s">
        <v>18</v>
      </c>
      <c r="P566" s="23" t="s">
        <v>15</v>
      </c>
    </row>
    <row r="567" spans="1:16" ht="27.6" customHeight="1">
      <c r="A567" s="15" t="s">
        <v>1037</v>
      </c>
      <c r="B567" s="16">
        <v>25</v>
      </c>
      <c r="C567" s="17" t="s">
        <v>1038</v>
      </c>
      <c r="D567" s="22" t="s">
        <v>153</v>
      </c>
      <c r="E567" s="19">
        <v>4</v>
      </c>
      <c r="F567" s="43" t="s">
        <v>1042</v>
      </c>
      <c r="G567" s="21">
        <v>24</v>
      </c>
      <c r="H567" s="22">
        <v>38</v>
      </c>
      <c r="I567" s="23">
        <v>12.42</v>
      </c>
      <c r="J567" s="21">
        <v>124</v>
      </c>
      <c r="K567" s="24">
        <v>40</v>
      </c>
      <c r="L567" s="23">
        <v>30.14</v>
      </c>
      <c r="M567" s="15" t="s">
        <v>1048</v>
      </c>
      <c r="N567" s="17" t="s">
        <v>1050</v>
      </c>
      <c r="O567" s="22" t="s">
        <v>18</v>
      </c>
      <c r="P567" s="23" t="s">
        <v>15</v>
      </c>
    </row>
    <row r="568" spans="1:16" ht="27.6" customHeight="1">
      <c r="A568" s="15" t="s">
        <v>1037</v>
      </c>
      <c r="B568" s="16">
        <v>25</v>
      </c>
      <c r="C568" s="17" t="s">
        <v>1038</v>
      </c>
      <c r="D568" s="22" t="s">
        <v>153</v>
      </c>
      <c r="E568" s="19">
        <v>5</v>
      </c>
      <c r="F568" s="43" t="s">
        <v>1043</v>
      </c>
      <c r="G568" s="21">
        <v>24</v>
      </c>
      <c r="H568" s="22">
        <v>38</v>
      </c>
      <c r="I568" s="23">
        <v>13.28</v>
      </c>
      <c r="J568" s="21">
        <v>124</v>
      </c>
      <c r="K568" s="24">
        <v>40</v>
      </c>
      <c r="L568" s="23">
        <v>58.09</v>
      </c>
      <c r="M568" s="15" t="s">
        <v>1049</v>
      </c>
      <c r="N568" s="17" t="s">
        <v>1050</v>
      </c>
      <c r="O568" s="22" t="s">
        <v>18</v>
      </c>
      <c r="P568" s="23" t="s">
        <v>15</v>
      </c>
    </row>
    <row r="569" spans="1:16" ht="27.6" customHeight="1">
      <c r="A569" s="15" t="s">
        <v>1037</v>
      </c>
      <c r="B569" s="16">
        <v>25</v>
      </c>
      <c r="C569" s="17" t="s">
        <v>1038</v>
      </c>
      <c r="D569" s="22" t="s">
        <v>153</v>
      </c>
      <c r="E569" s="19">
        <v>6</v>
      </c>
      <c r="F569" s="43" t="s">
        <v>1044</v>
      </c>
      <c r="G569" s="21">
        <v>24</v>
      </c>
      <c r="H569" s="22">
        <v>38</v>
      </c>
      <c r="I569" s="23">
        <v>49.37</v>
      </c>
      <c r="J569" s="21">
        <v>124</v>
      </c>
      <c r="K569" s="24">
        <v>40</v>
      </c>
      <c r="L569" s="23">
        <v>14.09</v>
      </c>
      <c r="M569" s="15" t="s">
        <v>1048</v>
      </c>
      <c r="N569" s="17" t="s">
        <v>1050</v>
      </c>
      <c r="O569" s="22" t="s">
        <v>18</v>
      </c>
      <c r="P569" s="23" t="s">
        <v>15</v>
      </c>
    </row>
    <row r="570" spans="1:16" ht="27.6" customHeight="1">
      <c r="A570" s="15" t="s">
        <v>1037</v>
      </c>
      <c r="B570" s="16">
        <v>25</v>
      </c>
      <c r="C570" s="17" t="s">
        <v>1038</v>
      </c>
      <c r="D570" s="22" t="s">
        <v>153</v>
      </c>
      <c r="E570" s="19">
        <v>7</v>
      </c>
      <c r="F570" s="43" t="s">
        <v>1045</v>
      </c>
      <c r="G570" s="21">
        <v>24</v>
      </c>
      <c r="H570" s="22">
        <v>39</v>
      </c>
      <c r="I570" s="23">
        <v>30.33</v>
      </c>
      <c r="J570" s="21">
        <v>124</v>
      </c>
      <c r="K570" s="24">
        <v>40</v>
      </c>
      <c r="L570" s="23">
        <v>3.36</v>
      </c>
      <c r="M570" s="15" t="s">
        <v>1048</v>
      </c>
      <c r="N570" s="17" t="s">
        <v>1050</v>
      </c>
      <c r="O570" s="22" t="s">
        <v>18</v>
      </c>
      <c r="P570" s="23" t="s">
        <v>15</v>
      </c>
    </row>
    <row r="571" spans="1:16" ht="27.6" customHeight="1">
      <c r="A571" s="15" t="s">
        <v>1037</v>
      </c>
      <c r="B571" s="16">
        <v>25</v>
      </c>
      <c r="C571" s="17" t="s">
        <v>1038</v>
      </c>
      <c r="D571" s="22" t="s">
        <v>153</v>
      </c>
      <c r="E571" s="19">
        <v>8</v>
      </c>
      <c r="F571" s="43" t="s">
        <v>1046</v>
      </c>
      <c r="G571" s="21">
        <v>24</v>
      </c>
      <c r="H571" s="22">
        <v>40</v>
      </c>
      <c r="I571" s="23">
        <v>21.09</v>
      </c>
      <c r="J571" s="21">
        <v>124</v>
      </c>
      <c r="K571" s="24">
        <v>40</v>
      </c>
      <c r="L571" s="23">
        <v>31.3</v>
      </c>
      <c r="M571" s="15" t="s">
        <v>1048</v>
      </c>
      <c r="N571" s="17" t="s">
        <v>1050</v>
      </c>
      <c r="O571" s="22" t="s">
        <v>18</v>
      </c>
      <c r="P571" s="23" t="s">
        <v>15</v>
      </c>
    </row>
    <row r="572" spans="1:16" ht="27.6" customHeight="1" thickBot="1">
      <c r="A572" s="429" t="s">
        <v>1037</v>
      </c>
      <c r="B572" s="44">
        <v>25</v>
      </c>
      <c r="C572" s="135" t="s">
        <v>1037</v>
      </c>
      <c r="D572" s="108" t="s">
        <v>153</v>
      </c>
      <c r="E572" s="84">
        <v>9</v>
      </c>
      <c r="F572" s="136" t="s">
        <v>1047</v>
      </c>
      <c r="G572" s="107">
        <v>24</v>
      </c>
      <c r="H572" s="108">
        <v>40</v>
      </c>
      <c r="I572" s="109">
        <v>43.86</v>
      </c>
      <c r="J572" s="107">
        <v>124</v>
      </c>
      <c r="K572" s="86">
        <v>41</v>
      </c>
      <c r="L572" s="109">
        <v>2.46</v>
      </c>
      <c r="M572" s="429" t="s">
        <v>1048</v>
      </c>
      <c r="N572" s="135" t="s">
        <v>1050</v>
      </c>
      <c r="O572" s="108" t="s">
        <v>825</v>
      </c>
      <c r="P572" s="109" t="s">
        <v>15</v>
      </c>
    </row>
    <row r="573" spans="1:16" ht="27.6" customHeight="1" thickTop="1">
      <c r="A573" s="45" t="s">
        <v>649</v>
      </c>
      <c r="B573" s="46">
        <v>26</v>
      </c>
      <c r="C573" s="47" t="s">
        <v>1103</v>
      </c>
      <c r="D573" s="121" t="s">
        <v>1201</v>
      </c>
      <c r="E573" s="49">
        <v>1</v>
      </c>
      <c r="F573" s="130" t="s">
        <v>1075</v>
      </c>
      <c r="G573" s="120">
        <v>33</v>
      </c>
      <c r="H573" s="121">
        <v>43</v>
      </c>
      <c r="I573" s="122">
        <v>32</v>
      </c>
      <c r="J573" s="120">
        <v>135</v>
      </c>
      <c r="K573" s="51">
        <v>21</v>
      </c>
      <c r="L573" s="122">
        <v>4</v>
      </c>
      <c r="M573" s="45" t="s">
        <v>1196</v>
      </c>
      <c r="N573" s="47" t="s">
        <v>1195</v>
      </c>
      <c r="O573" s="121" t="s">
        <v>640</v>
      </c>
      <c r="P573" s="122" t="s">
        <v>96</v>
      </c>
    </row>
    <row r="574" spans="1:16" ht="27.6" customHeight="1">
      <c r="A574" s="15" t="s">
        <v>649</v>
      </c>
      <c r="B574" s="16">
        <v>26</v>
      </c>
      <c r="C574" s="17" t="s">
        <v>1103</v>
      </c>
      <c r="D574" s="22" t="s">
        <v>1201</v>
      </c>
      <c r="E574" s="19">
        <v>2</v>
      </c>
      <c r="F574" s="43" t="s">
        <v>1076</v>
      </c>
      <c r="G574" s="21">
        <v>33</v>
      </c>
      <c r="H574" s="22">
        <v>43</v>
      </c>
      <c r="I574" s="23">
        <v>13</v>
      </c>
      <c r="J574" s="21">
        <v>135</v>
      </c>
      <c r="K574" s="24">
        <v>19</v>
      </c>
      <c r="L574" s="23">
        <v>29</v>
      </c>
      <c r="M574" s="15" t="s">
        <v>1197</v>
      </c>
      <c r="N574" s="17" t="s">
        <v>168</v>
      </c>
      <c r="O574" s="22" t="s">
        <v>1198</v>
      </c>
      <c r="P574" s="23" t="s">
        <v>107</v>
      </c>
    </row>
    <row r="575" spans="1:16" ht="27.6" customHeight="1">
      <c r="A575" s="15" t="s">
        <v>649</v>
      </c>
      <c r="B575" s="16">
        <v>26</v>
      </c>
      <c r="C575" s="17" t="s">
        <v>1103</v>
      </c>
      <c r="D575" s="22" t="s">
        <v>1201</v>
      </c>
      <c r="E575" s="19">
        <v>3</v>
      </c>
      <c r="F575" s="43" t="s">
        <v>1077</v>
      </c>
      <c r="G575" s="21">
        <v>33</v>
      </c>
      <c r="H575" s="22">
        <v>43</v>
      </c>
      <c r="I575" s="23">
        <v>16</v>
      </c>
      <c r="J575" s="21">
        <v>135</v>
      </c>
      <c r="K575" s="24">
        <v>19</v>
      </c>
      <c r="L575" s="23">
        <v>32</v>
      </c>
      <c r="M575" s="15" t="s">
        <v>1197</v>
      </c>
      <c r="N575" s="17" t="s">
        <v>168</v>
      </c>
      <c r="O575" s="22" t="s">
        <v>1198</v>
      </c>
      <c r="P575" s="23" t="s">
        <v>62</v>
      </c>
    </row>
    <row r="576" spans="1:16" ht="27.6" customHeight="1">
      <c r="A576" s="15" t="s">
        <v>649</v>
      </c>
      <c r="B576" s="16">
        <v>26</v>
      </c>
      <c r="C576" s="17" t="s">
        <v>1103</v>
      </c>
      <c r="D576" s="22" t="s">
        <v>1201</v>
      </c>
      <c r="E576" s="19">
        <v>4</v>
      </c>
      <c r="F576" s="43" t="s">
        <v>1078</v>
      </c>
      <c r="G576" s="21">
        <v>33</v>
      </c>
      <c r="H576" s="22">
        <v>43</v>
      </c>
      <c r="I576" s="23">
        <v>7</v>
      </c>
      <c r="J576" s="21">
        <v>135</v>
      </c>
      <c r="K576" s="24">
        <v>19</v>
      </c>
      <c r="L576" s="23">
        <v>27</v>
      </c>
      <c r="M576" s="15" t="s">
        <v>1197</v>
      </c>
      <c r="N576" s="17" t="s">
        <v>1066</v>
      </c>
      <c r="O576" s="22" t="s">
        <v>1198</v>
      </c>
      <c r="P576" s="23" t="s">
        <v>73</v>
      </c>
    </row>
    <row r="577" spans="1:16" ht="27.6" customHeight="1">
      <c r="A577" s="15" t="s">
        <v>649</v>
      </c>
      <c r="B577" s="16">
        <v>26</v>
      </c>
      <c r="C577" s="17" t="s">
        <v>1103</v>
      </c>
      <c r="D577" s="22" t="s">
        <v>1201</v>
      </c>
      <c r="E577" s="19">
        <v>5</v>
      </c>
      <c r="F577" s="43" t="s">
        <v>1079</v>
      </c>
      <c r="G577" s="21">
        <v>33</v>
      </c>
      <c r="H577" s="22">
        <v>41</v>
      </c>
      <c r="I577" s="23">
        <v>28</v>
      </c>
      <c r="J577" s="21">
        <v>135</v>
      </c>
      <c r="K577" s="24">
        <v>19</v>
      </c>
      <c r="L577" s="23">
        <v>33</v>
      </c>
      <c r="M577" s="15" t="s">
        <v>1197</v>
      </c>
      <c r="N577" s="17" t="s">
        <v>1066</v>
      </c>
      <c r="O577" s="22" t="s">
        <v>1198</v>
      </c>
      <c r="P577" s="23" t="s">
        <v>96</v>
      </c>
    </row>
    <row r="578" spans="1:16" ht="27.6" customHeight="1">
      <c r="A578" s="15" t="s">
        <v>649</v>
      </c>
      <c r="B578" s="16">
        <v>26</v>
      </c>
      <c r="C578" s="17" t="s">
        <v>1103</v>
      </c>
      <c r="D578" s="22" t="s">
        <v>1201</v>
      </c>
      <c r="E578" s="19">
        <v>6</v>
      </c>
      <c r="F578" s="43" t="s">
        <v>1080</v>
      </c>
      <c r="G578" s="21">
        <v>33</v>
      </c>
      <c r="H578" s="22">
        <v>41</v>
      </c>
      <c r="I578" s="23">
        <v>0</v>
      </c>
      <c r="J578" s="21">
        <v>135</v>
      </c>
      <c r="K578" s="24">
        <v>20</v>
      </c>
      <c r="L578" s="23">
        <v>20</v>
      </c>
      <c r="M578" s="15" t="s">
        <v>1064</v>
      </c>
      <c r="N578" s="17" t="s">
        <v>1066</v>
      </c>
      <c r="O578" s="22" t="s">
        <v>1199</v>
      </c>
      <c r="P578" s="23" t="s">
        <v>15</v>
      </c>
    </row>
    <row r="579" spans="1:16" ht="27.6" customHeight="1" thickBot="1">
      <c r="A579" s="429" t="s">
        <v>649</v>
      </c>
      <c r="B579" s="44">
        <v>26</v>
      </c>
      <c r="C579" s="135" t="s">
        <v>1103</v>
      </c>
      <c r="D579" s="108" t="s">
        <v>1201</v>
      </c>
      <c r="E579" s="84">
        <v>7</v>
      </c>
      <c r="F579" s="136" t="s">
        <v>1081</v>
      </c>
      <c r="G579" s="107">
        <v>33</v>
      </c>
      <c r="H579" s="108">
        <v>32</v>
      </c>
      <c r="I579" s="109">
        <v>51</v>
      </c>
      <c r="J579" s="107">
        <v>135</v>
      </c>
      <c r="K579" s="86">
        <v>29</v>
      </c>
      <c r="L579" s="109">
        <v>8</v>
      </c>
      <c r="M579" s="429" t="s">
        <v>1064</v>
      </c>
      <c r="N579" s="135" t="s">
        <v>660</v>
      </c>
      <c r="O579" s="108" t="s">
        <v>1200</v>
      </c>
      <c r="P579" s="109" t="s">
        <v>150</v>
      </c>
    </row>
    <row r="580" spans="1:16" ht="15" customHeight="1" thickTop="1">
      <c r="A580" s="137"/>
      <c r="B580" s="138"/>
      <c r="C580" s="137"/>
      <c r="D580" s="139"/>
      <c r="E580" s="140"/>
      <c r="F580" s="141"/>
      <c r="G580" s="139"/>
      <c r="H580" s="139"/>
      <c r="I580" s="139"/>
      <c r="J580" s="139"/>
      <c r="K580" s="142"/>
      <c r="L580" s="142"/>
      <c r="M580" s="137"/>
      <c r="N580" s="137"/>
      <c r="O580" s="140"/>
      <c r="P580" s="143"/>
    </row>
    <row r="581" spans="1:16" ht="15" customHeight="1">
      <c r="B581" s="585" t="s">
        <v>822</v>
      </c>
      <c r="C581" s="586" t="s">
        <v>823</v>
      </c>
      <c r="D581" s="586"/>
      <c r="G581" s="585" t="s">
        <v>1599</v>
      </c>
      <c r="H581" s="586" t="s">
        <v>1600</v>
      </c>
    </row>
    <row r="582" spans="1:16" ht="15" customHeight="1">
      <c r="B582" s="585" t="s">
        <v>1107</v>
      </c>
      <c r="C582" s="586" t="s">
        <v>824</v>
      </c>
      <c r="D582" s="586"/>
      <c r="G582" s="589" t="s">
        <v>1601</v>
      </c>
      <c r="H582" s="590"/>
      <c r="I582" s="586" t="s">
        <v>905</v>
      </c>
    </row>
    <row r="583" spans="1:16" ht="15" customHeight="1">
      <c r="D583" s="586"/>
    </row>
    <row r="584" spans="1:16">
      <c r="D584" s="586"/>
    </row>
    <row r="585" spans="1:16">
      <c r="D585" s="586"/>
    </row>
    <row r="586" spans="1:16">
      <c r="D586" s="586"/>
    </row>
  </sheetData>
  <autoFilter ref="A1:P579" xr:uid="{00000000-0009-0000-0000-000001000000}"/>
  <mergeCells count="1">
    <mergeCell ref="G563:P563"/>
  </mergeCells>
  <phoneticPr fontId="3"/>
  <pageMargins left="0.70866141732283472" right="0.70866141732283472" top="0.74803149606299213" bottom="0.74803149606299213" header="0.31496062992125984" footer="0.31496062992125984"/>
  <pageSetup paperSize="9"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528"/>
  <sheetViews>
    <sheetView showGridLines="0" showRuler="0" view="pageBreakPreview" topLeftCell="A499" zoomScale="81" zoomScaleNormal="116" zoomScaleSheetLayoutView="81" zoomScalePageLayoutView="83" workbookViewId="0">
      <selection activeCell="K3" sqref="K1:M1048576"/>
    </sheetView>
  </sheetViews>
  <sheetFormatPr defaultColWidth="8.875" defaultRowHeight="11.25"/>
  <cols>
    <col min="1" max="1" width="13.625" style="150" customWidth="1"/>
    <col min="2" max="2" width="3.5" style="150" customWidth="1"/>
    <col min="3" max="3" width="18.125" style="174" customWidth="1"/>
    <col min="4" max="4" width="5.625" style="150" customWidth="1"/>
    <col min="5" max="5" width="19" style="150" customWidth="1"/>
    <col min="6" max="6" width="9.875" style="150" customWidth="1"/>
    <col min="7" max="7" width="8.875" style="150" customWidth="1"/>
    <col min="8" max="8" width="6.125" style="150" customWidth="1"/>
    <col min="9" max="9" width="4.625" style="150" customWidth="1"/>
    <col min="10" max="10" width="6.5" style="160" bestFit="1" customWidth="1"/>
    <col min="11" max="13" width="6.5" style="641" hidden="1" customWidth="1"/>
    <col min="14" max="14" width="6.625" style="150" customWidth="1"/>
    <col min="15" max="16" width="5.625" style="150" customWidth="1"/>
    <col min="17" max="17" width="5.625" style="161" customWidth="1"/>
    <col min="18" max="18" width="20.625" style="150" customWidth="1"/>
    <col min="19" max="19" width="5.625" style="150" customWidth="1"/>
    <col min="20" max="20" width="9.875" style="150" customWidth="1"/>
    <col min="21" max="21" width="6.875" style="150" customWidth="1"/>
    <col min="22" max="22" width="5.125" style="377" customWidth="1"/>
    <col min="23" max="23" width="4.875" style="150" customWidth="1"/>
    <col min="24" max="24" width="4.625" style="150" customWidth="1"/>
    <col min="25" max="25" width="6.125" style="150" customWidth="1"/>
    <col min="26" max="26" width="7.375" style="150" customWidth="1"/>
    <col min="27" max="27" width="7" style="150" customWidth="1"/>
    <col min="28" max="28" width="4.875" style="150" customWidth="1"/>
    <col min="29" max="31" width="5.625" style="150" customWidth="1"/>
    <col min="32" max="32" width="10.375" style="150" customWidth="1"/>
    <col min="33" max="33" width="8.875" style="150"/>
    <col min="34" max="35" width="8.875" style="150" customWidth="1"/>
    <col min="36" max="16384" width="8.875" style="150"/>
  </cols>
  <sheetData>
    <row r="1" spans="1:32" ht="18" customHeight="1">
      <c r="A1" s="789" t="s">
        <v>0</v>
      </c>
      <c r="B1" s="789" t="s">
        <v>910</v>
      </c>
      <c r="C1" s="813" t="s">
        <v>911</v>
      </c>
      <c r="D1" s="804" t="s">
        <v>912</v>
      </c>
      <c r="E1" s="800" t="s">
        <v>913</v>
      </c>
      <c r="F1" s="810" t="s">
        <v>914</v>
      </c>
      <c r="G1" s="802" t="s">
        <v>915</v>
      </c>
      <c r="H1" s="804" t="s">
        <v>916</v>
      </c>
      <c r="I1" s="808" t="s">
        <v>917</v>
      </c>
      <c r="J1" s="799" t="s">
        <v>918</v>
      </c>
      <c r="K1" s="799"/>
      <c r="L1" s="799"/>
      <c r="M1" s="799"/>
      <c r="N1" s="793"/>
      <c r="O1" s="793"/>
      <c r="P1" s="793"/>
      <c r="Q1" s="793"/>
      <c r="R1" s="793"/>
      <c r="S1" s="793"/>
      <c r="T1" s="793"/>
      <c r="U1" s="793" t="s">
        <v>1108</v>
      </c>
      <c r="V1" s="793"/>
      <c r="W1" s="793"/>
      <c r="X1" s="793"/>
      <c r="Y1" s="793" t="s">
        <v>919</v>
      </c>
      <c r="Z1" s="793"/>
      <c r="AA1" s="793" t="s">
        <v>920</v>
      </c>
      <c r="AB1" s="793"/>
      <c r="AC1" s="793" t="s">
        <v>921</v>
      </c>
      <c r="AD1" s="793"/>
      <c r="AE1" s="793"/>
      <c r="AF1" s="794" t="s">
        <v>922</v>
      </c>
    </row>
    <row r="2" spans="1:32" ht="34.5" customHeight="1">
      <c r="A2" s="789"/>
      <c r="B2" s="789"/>
      <c r="C2" s="813"/>
      <c r="D2" s="804"/>
      <c r="E2" s="800"/>
      <c r="F2" s="810"/>
      <c r="G2" s="802"/>
      <c r="H2" s="800"/>
      <c r="I2" s="808"/>
      <c r="J2" s="797" t="s">
        <v>923</v>
      </c>
      <c r="K2" s="806"/>
      <c r="L2" s="806"/>
      <c r="M2" s="807"/>
      <c r="N2" s="799" t="s">
        <v>924</v>
      </c>
      <c r="O2" s="793"/>
      <c r="P2" s="793"/>
      <c r="Q2" s="793"/>
      <c r="R2" s="800" t="s">
        <v>925</v>
      </c>
      <c r="S2" s="802" t="s">
        <v>926</v>
      </c>
      <c r="T2" s="237" t="s">
        <v>927</v>
      </c>
      <c r="U2" s="787" t="s">
        <v>1104</v>
      </c>
      <c r="V2" s="804" t="s">
        <v>928</v>
      </c>
      <c r="W2" s="804" t="s">
        <v>929</v>
      </c>
      <c r="X2" s="785" t="s">
        <v>930</v>
      </c>
      <c r="Y2" s="787" t="s">
        <v>931</v>
      </c>
      <c r="Z2" s="785" t="s">
        <v>930</v>
      </c>
      <c r="AA2" s="783" t="s">
        <v>932</v>
      </c>
      <c r="AB2" s="785" t="s">
        <v>933</v>
      </c>
      <c r="AC2" s="787" t="s">
        <v>934</v>
      </c>
      <c r="AD2" s="789" t="s">
        <v>935</v>
      </c>
      <c r="AE2" s="791" t="s">
        <v>936</v>
      </c>
      <c r="AF2" s="795"/>
    </row>
    <row r="3" spans="1:32" ht="34.5" customHeight="1">
      <c r="A3" s="812"/>
      <c r="B3" s="812"/>
      <c r="C3" s="814"/>
      <c r="D3" s="805"/>
      <c r="E3" s="801"/>
      <c r="F3" s="811"/>
      <c r="G3" s="803"/>
      <c r="H3" s="801"/>
      <c r="I3" s="809"/>
      <c r="J3" s="798"/>
      <c r="K3" s="616" t="s">
        <v>1507</v>
      </c>
      <c r="L3" s="616" t="s">
        <v>1414</v>
      </c>
      <c r="M3" s="616" t="s">
        <v>1192</v>
      </c>
      <c r="N3" s="227" t="s">
        <v>937</v>
      </c>
      <c r="O3" s="219" t="s">
        <v>938</v>
      </c>
      <c r="P3" s="219" t="s">
        <v>939</v>
      </c>
      <c r="Q3" s="220" t="s">
        <v>940</v>
      </c>
      <c r="R3" s="801"/>
      <c r="S3" s="803"/>
      <c r="T3" s="238" t="s">
        <v>941</v>
      </c>
      <c r="U3" s="788"/>
      <c r="V3" s="805"/>
      <c r="W3" s="805"/>
      <c r="X3" s="786"/>
      <c r="Y3" s="788"/>
      <c r="Z3" s="786"/>
      <c r="AA3" s="784"/>
      <c r="AB3" s="786"/>
      <c r="AC3" s="788"/>
      <c r="AD3" s="790"/>
      <c r="AE3" s="792"/>
      <c r="AF3" s="796"/>
    </row>
    <row r="4" spans="1:32" s="147" customFormat="1" ht="33.6" customHeight="1">
      <c r="A4" s="216" t="s">
        <v>1202</v>
      </c>
      <c r="B4" s="217">
        <v>1</v>
      </c>
      <c r="C4" s="216" t="s">
        <v>1203</v>
      </c>
      <c r="D4" s="93">
        <v>1</v>
      </c>
      <c r="E4" s="93" t="s">
        <v>1204</v>
      </c>
      <c r="F4" s="218">
        <v>45218</v>
      </c>
      <c r="G4" s="155" t="s">
        <v>1205</v>
      </c>
      <c r="H4" s="152" t="s">
        <v>950</v>
      </c>
      <c r="I4" s="223">
        <v>15</v>
      </c>
      <c r="J4" s="691">
        <v>40</v>
      </c>
      <c r="K4" s="687">
        <v>40</v>
      </c>
      <c r="L4" s="683">
        <v>40</v>
      </c>
      <c r="M4" s="687">
        <f t="shared" ref="M4:M16" si="0">K4-L4</f>
        <v>0</v>
      </c>
      <c r="N4" s="695">
        <v>0</v>
      </c>
      <c r="O4" s="695">
        <v>0</v>
      </c>
      <c r="P4" s="695">
        <v>0</v>
      </c>
      <c r="Q4" s="695">
        <v>0</v>
      </c>
      <c r="R4" s="93" t="s">
        <v>943</v>
      </c>
      <c r="S4" s="699">
        <v>4</v>
      </c>
      <c r="T4" s="702">
        <f>AVERAGE(100, 60, 50)</f>
        <v>70</v>
      </c>
      <c r="U4" s="646">
        <v>0</v>
      </c>
      <c r="V4" s="374" t="s">
        <v>714</v>
      </c>
      <c r="W4" s="361" t="s">
        <v>714</v>
      </c>
      <c r="X4" s="667">
        <v>0</v>
      </c>
      <c r="Y4" s="231">
        <v>2</v>
      </c>
      <c r="Z4" s="249" t="s">
        <v>1416</v>
      </c>
      <c r="AA4" s="366"/>
      <c r="AB4" s="262"/>
      <c r="AC4" s="307">
        <v>0</v>
      </c>
      <c r="AD4" s="307">
        <v>0</v>
      </c>
      <c r="AE4" s="262">
        <v>4</v>
      </c>
      <c r="AF4" s="363"/>
    </row>
    <row r="5" spans="1:32" s="147" customFormat="1" ht="33.6" customHeight="1">
      <c r="A5" s="175" t="s">
        <v>1202</v>
      </c>
      <c r="B5" s="176">
        <v>1</v>
      </c>
      <c r="C5" s="175" t="s">
        <v>1203</v>
      </c>
      <c r="D5" s="95">
        <v>2</v>
      </c>
      <c r="E5" s="95" t="s">
        <v>1206</v>
      </c>
      <c r="F5" s="177">
        <v>45218</v>
      </c>
      <c r="G5" s="158" t="s">
        <v>1205</v>
      </c>
      <c r="H5" s="65" t="s">
        <v>950</v>
      </c>
      <c r="I5" s="224">
        <v>15</v>
      </c>
      <c r="J5" s="443">
        <v>20</v>
      </c>
      <c r="K5" s="688">
        <v>20</v>
      </c>
      <c r="L5" s="684">
        <v>30</v>
      </c>
      <c r="M5" s="687">
        <f t="shared" si="0"/>
        <v>-10</v>
      </c>
      <c r="N5" s="696">
        <v>0</v>
      </c>
      <c r="O5" s="696">
        <v>0</v>
      </c>
      <c r="P5" s="696">
        <v>0</v>
      </c>
      <c r="Q5" s="696">
        <v>0</v>
      </c>
      <c r="R5" s="95" t="s">
        <v>944</v>
      </c>
      <c r="S5" s="700">
        <v>0</v>
      </c>
      <c r="T5" s="703">
        <f>AVERAGE(50, 30, 30)</f>
        <v>36.666666666666664</v>
      </c>
      <c r="U5" s="647">
        <v>0</v>
      </c>
      <c r="V5" s="67" t="s">
        <v>714</v>
      </c>
      <c r="W5" s="191" t="s">
        <v>714</v>
      </c>
      <c r="X5" s="668">
        <v>0</v>
      </c>
      <c r="Y5" s="232">
        <v>1</v>
      </c>
      <c r="Z5" s="250">
        <v>0</v>
      </c>
      <c r="AA5" s="230"/>
      <c r="AB5" s="248"/>
      <c r="AC5" s="307">
        <v>0</v>
      </c>
      <c r="AD5" s="307">
        <v>0</v>
      </c>
      <c r="AE5" s="248">
        <v>4</v>
      </c>
      <c r="AF5" s="364"/>
    </row>
    <row r="6" spans="1:32" s="147" customFormat="1" ht="33.6" customHeight="1">
      <c r="A6" s="175" t="s">
        <v>1202</v>
      </c>
      <c r="B6" s="176">
        <v>1</v>
      </c>
      <c r="C6" s="175" t="s">
        <v>1203</v>
      </c>
      <c r="D6" s="95">
        <v>3</v>
      </c>
      <c r="E6" s="95" t="s">
        <v>1207</v>
      </c>
      <c r="F6" s="177">
        <v>45197</v>
      </c>
      <c r="G6" s="158" t="s">
        <v>1205</v>
      </c>
      <c r="H6" s="65" t="s">
        <v>950</v>
      </c>
      <c r="I6" s="224">
        <v>15</v>
      </c>
      <c r="J6" s="443">
        <v>50</v>
      </c>
      <c r="K6" s="688">
        <v>50</v>
      </c>
      <c r="L6" s="684">
        <v>40</v>
      </c>
      <c r="M6" s="687">
        <f t="shared" si="0"/>
        <v>10</v>
      </c>
      <c r="N6" s="696">
        <v>0</v>
      </c>
      <c r="O6" s="696">
        <v>0</v>
      </c>
      <c r="P6" s="696">
        <v>0</v>
      </c>
      <c r="Q6" s="696">
        <v>0</v>
      </c>
      <c r="R6" s="95" t="s">
        <v>1208</v>
      </c>
      <c r="S6" s="700">
        <v>2</v>
      </c>
      <c r="T6" s="703">
        <f>AVERAGE(100, 100, 80, 80, 50)</f>
        <v>82</v>
      </c>
      <c r="U6" s="647">
        <v>0</v>
      </c>
      <c r="V6" s="67" t="s">
        <v>714</v>
      </c>
      <c r="W6" s="191" t="s">
        <v>714</v>
      </c>
      <c r="X6" s="668">
        <v>0</v>
      </c>
      <c r="Y6" s="232">
        <v>2</v>
      </c>
      <c r="Z6" s="250" t="s">
        <v>985</v>
      </c>
      <c r="AA6" s="230"/>
      <c r="AB6" s="248"/>
      <c r="AC6" s="307">
        <v>0</v>
      </c>
      <c r="AD6" s="307">
        <v>0</v>
      </c>
      <c r="AE6" s="248">
        <v>3</v>
      </c>
      <c r="AF6" s="364"/>
    </row>
    <row r="7" spans="1:32" s="147" customFormat="1" ht="33.6" customHeight="1">
      <c r="A7" s="175" t="s">
        <v>1202</v>
      </c>
      <c r="B7" s="176">
        <v>1</v>
      </c>
      <c r="C7" s="175" t="s">
        <v>1203</v>
      </c>
      <c r="D7" s="95">
        <v>4</v>
      </c>
      <c r="E7" s="95" t="s">
        <v>1209</v>
      </c>
      <c r="F7" s="177">
        <v>45197</v>
      </c>
      <c r="G7" s="158" t="s">
        <v>1205</v>
      </c>
      <c r="H7" s="65" t="s">
        <v>950</v>
      </c>
      <c r="I7" s="224">
        <v>15</v>
      </c>
      <c r="J7" s="443">
        <v>30</v>
      </c>
      <c r="K7" s="688">
        <v>30</v>
      </c>
      <c r="L7" s="684">
        <v>40</v>
      </c>
      <c r="M7" s="687">
        <f t="shared" si="0"/>
        <v>-10</v>
      </c>
      <c r="N7" s="696">
        <v>0</v>
      </c>
      <c r="O7" s="696">
        <v>0</v>
      </c>
      <c r="P7" s="696">
        <v>0</v>
      </c>
      <c r="Q7" s="696">
        <v>0</v>
      </c>
      <c r="R7" s="95" t="s">
        <v>944</v>
      </c>
      <c r="S7" s="700">
        <v>1</v>
      </c>
      <c r="T7" s="703">
        <f>AVERAGE(60, 40, 30, 30, 20)</f>
        <v>36</v>
      </c>
      <c r="U7" s="647">
        <v>0</v>
      </c>
      <c r="V7" s="67" t="s">
        <v>714</v>
      </c>
      <c r="W7" s="191" t="s">
        <v>714</v>
      </c>
      <c r="X7" s="668">
        <v>0</v>
      </c>
      <c r="Y7" s="232">
        <v>2</v>
      </c>
      <c r="Z7" s="250" t="s">
        <v>985</v>
      </c>
      <c r="AA7" s="230"/>
      <c r="AB7" s="248"/>
      <c r="AC7" s="236">
        <v>0</v>
      </c>
      <c r="AD7" s="191">
        <v>0</v>
      </c>
      <c r="AE7" s="248">
        <v>3</v>
      </c>
      <c r="AF7" s="364"/>
    </row>
    <row r="8" spans="1:32" s="147" customFormat="1" ht="33.6" customHeight="1">
      <c r="A8" s="175" t="s">
        <v>1202</v>
      </c>
      <c r="B8" s="176">
        <v>1</v>
      </c>
      <c r="C8" s="175" t="s">
        <v>1203</v>
      </c>
      <c r="D8" s="95">
        <v>5</v>
      </c>
      <c r="E8" s="95" t="s">
        <v>1210</v>
      </c>
      <c r="F8" s="177">
        <v>45218</v>
      </c>
      <c r="G8" s="158" t="s">
        <v>1205</v>
      </c>
      <c r="H8" s="65" t="s">
        <v>950</v>
      </c>
      <c r="I8" s="224">
        <v>15</v>
      </c>
      <c r="J8" s="443">
        <v>50</v>
      </c>
      <c r="K8" s="688">
        <v>50</v>
      </c>
      <c r="L8" s="684">
        <v>40</v>
      </c>
      <c r="M8" s="687">
        <f t="shared" si="0"/>
        <v>10</v>
      </c>
      <c r="N8" s="696">
        <v>0</v>
      </c>
      <c r="O8" s="696">
        <v>0</v>
      </c>
      <c r="P8" s="696">
        <v>0</v>
      </c>
      <c r="Q8" s="696">
        <v>0</v>
      </c>
      <c r="R8" s="95" t="s">
        <v>1051</v>
      </c>
      <c r="S8" s="700">
        <v>0</v>
      </c>
      <c r="T8" s="704">
        <f>AVERAGE(50, 30)</f>
        <v>40</v>
      </c>
      <c r="U8" s="647">
        <v>0</v>
      </c>
      <c r="V8" s="67" t="s">
        <v>714</v>
      </c>
      <c r="W8" s="191" t="s">
        <v>714</v>
      </c>
      <c r="X8" s="668">
        <v>0</v>
      </c>
      <c r="Y8" s="232">
        <v>1</v>
      </c>
      <c r="Z8" s="250">
        <v>0</v>
      </c>
      <c r="AA8" s="230"/>
      <c r="AB8" s="248"/>
      <c r="AC8" s="236">
        <v>0</v>
      </c>
      <c r="AD8" s="191">
        <v>0</v>
      </c>
      <c r="AE8" s="248">
        <v>4</v>
      </c>
      <c r="AF8" s="364"/>
    </row>
    <row r="9" spans="1:32" s="147" customFormat="1" ht="33.6" customHeight="1">
      <c r="A9" s="175" t="s">
        <v>1202</v>
      </c>
      <c r="B9" s="176">
        <v>1</v>
      </c>
      <c r="C9" s="175" t="s">
        <v>1203</v>
      </c>
      <c r="D9" s="95">
        <v>6</v>
      </c>
      <c r="E9" s="95" t="s">
        <v>1211</v>
      </c>
      <c r="F9" s="177">
        <v>45197</v>
      </c>
      <c r="G9" s="158" t="s">
        <v>1205</v>
      </c>
      <c r="H9" s="65" t="s">
        <v>950</v>
      </c>
      <c r="I9" s="224">
        <v>15</v>
      </c>
      <c r="J9" s="443">
        <v>70</v>
      </c>
      <c r="K9" s="688">
        <v>70</v>
      </c>
      <c r="L9" s="684">
        <v>60</v>
      </c>
      <c r="M9" s="687">
        <f t="shared" si="0"/>
        <v>10</v>
      </c>
      <c r="N9" s="696">
        <v>0</v>
      </c>
      <c r="O9" s="696">
        <v>0</v>
      </c>
      <c r="P9" s="696">
        <v>0</v>
      </c>
      <c r="Q9" s="696">
        <v>0</v>
      </c>
      <c r="R9" s="95" t="s">
        <v>1082</v>
      </c>
      <c r="S9" s="700">
        <v>1</v>
      </c>
      <c r="T9" s="703">
        <f>AVERAGE(70, 70, 60, 50, 30)</f>
        <v>56</v>
      </c>
      <c r="U9" s="647">
        <v>0</v>
      </c>
      <c r="V9" s="67" t="s">
        <v>714</v>
      </c>
      <c r="W9" s="191" t="s">
        <v>714</v>
      </c>
      <c r="X9" s="668">
        <v>0</v>
      </c>
      <c r="Y9" s="232">
        <v>2</v>
      </c>
      <c r="Z9" s="250" t="s">
        <v>985</v>
      </c>
      <c r="AA9" s="230"/>
      <c r="AB9" s="248"/>
      <c r="AC9" s="236"/>
      <c r="AD9" s="191"/>
      <c r="AE9" s="248"/>
      <c r="AF9" s="364"/>
    </row>
    <row r="10" spans="1:32" ht="33.6" customHeight="1">
      <c r="A10" s="175" t="s">
        <v>1202</v>
      </c>
      <c r="B10" s="176">
        <v>1</v>
      </c>
      <c r="C10" s="175" t="s">
        <v>1203</v>
      </c>
      <c r="D10" s="95">
        <v>7</v>
      </c>
      <c r="E10" s="95" t="s">
        <v>1212</v>
      </c>
      <c r="F10" s="177">
        <v>45230</v>
      </c>
      <c r="G10" s="158" t="s">
        <v>1205</v>
      </c>
      <c r="H10" s="65" t="s">
        <v>950</v>
      </c>
      <c r="I10" s="224">
        <v>15</v>
      </c>
      <c r="J10" s="443">
        <v>30</v>
      </c>
      <c r="K10" s="688">
        <v>30</v>
      </c>
      <c r="L10" s="684">
        <v>30</v>
      </c>
      <c r="M10" s="687">
        <f t="shared" si="0"/>
        <v>0</v>
      </c>
      <c r="N10" s="696">
        <v>0</v>
      </c>
      <c r="O10" s="696">
        <v>0</v>
      </c>
      <c r="P10" s="696">
        <v>0</v>
      </c>
      <c r="Q10" s="696">
        <v>0</v>
      </c>
      <c r="R10" s="95" t="s">
        <v>944</v>
      </c>
      <c r="S10" s="700">
        <v>3</v>
      </c>
      <c r="T10" s="703">
        <f>AVERAGE(60, 60, 50, 30)</f>
        <v>50</v>
      </c>
      <c r="U10" s="647">
        <v>0</v>
      </c>
      <c r="V10" s="67" t="s">
        <v>714</v>
      </c>
      <c r="W10" s="191" t="s">
        <v>714</v>
      </c>
      <c r="X10" s="668">
        <v>0</v>
      </c>
      <c r="Y10" s="232">
        <v>1</v>
      </c>
      <c r="Z10" s="250">
        <v>0</v>
      </c>
      <c r="AA10" s="230"/>
      <c r="AB10" s="248"/>
      <c r="AC10" s="236">
        <v>0</v>
      </c>
      <c r="AD10" s="191">
        <v>0</v>
      </c>
      <c r="AE10" s="248">
        <v>2</v>
      </c>
      <c r="AF10" s="364"/>
    </row>
    <row r="11" spans="1:32" ht="33.6" customHeight="1">
      <c r="A11" s="175" t="s">
        <v>1202</v>
      </c>
      <c r="B11" s="176">
        <v>1</v>
      </c>
      <c r="C11" s="175" t="s">
        <v>1203</v>
      </c>
      <c r="D11" s="95">
        <v>8</v>
      </c>
      <c r="E11" s="95" t="s">
        <v>946</v>
      </c>
      <c r="F11" s="177">
        <v>45230</v>
      </c>
      <c r="G11" s="158" t="s">
        <v>1205</v>
      </c>
      <c r="H11" s="65" t="s">
        <v>950</v>
      </c>
      <c r="I11" s="224">
        <v>15</v>
      </c>
      <c r="J11" s="443">
        <v>60</v>
      </c>
      <c r="K11" s="688">
        <v>60</v>
      </c>
      <c r="L11" s="684">
        <v>40</v>
      </c>
      <c r="M11" s="687">
        <f t="shared" si="0"/>
        <v>20</v>
      </c>
      <c r="N11" s="696">
        <v>0</v>
      </c>
      <c r="O11" s="696">
        <v>0</v>
      </c>
      <c r="P11" s="696">
        <v>0</v>
      </c>
      <c r="Q11" s="696">
        <v>0</v>
      </c>
      <c r="R11" s="95" t="s">
        <v>1208</v>
      </c>
      <c r="S11" s="700">
        <v>2</v>
      </c>
      <c r="T11" s="703">
        <f>AVERAGE(60, 40, 30, 30)</f>
        <v>40</v>
      </c>
      <c r="U11" s="647">
        <v>0</v>
      </c>
      <c r="V11" s="67" t="s">
        <v>714</v>
      </c>
      <c r="W11" s="191" t="s">
        <v>714</v>
      </c>
      <c r="X11" s="668">
        <v>0</v>
      </c>
      <c r="Y11" s="232">
        <v>1</v>
      </c>
      <c r="Z11" s="250">
        <v>0</v>
      </c>
      <c r="AA11" s="230"/>
      <c r="AB11" s="248"/>
      <c r="AC11" s="236"/>
      <c r="AD11" s="191"/>
      <c r="AE11" s="248"/>
      <c r="AF11" s="364"/>
    </row>
    <row r="12" spans="1:32" ht="33.6" customHeight="1">
      <c r="A12" s="175" t="s">
        <v>1202</v>
      </c>
      <c r="B12" s="176">
        <v>1</v>
      </c>
      <c r="C12" s="175" t="s">
        <v>1203</v>
      </c>
      <c r="D12" s="95">
        <v>9</v>
      </c>
      <c r="E12" s="95" t="s">
        <v>1213</v>
      </c>
      <c r="F12" s="177">
        <v>45230</v>
      </c>
      <c r="G12" s="158" t="s">
        <v>1205</v>
      </c>
      <c r="H12" s="65" t="s">
        <v>950</v>
      </c>
      <c r="I12" s="224">
        <v>15</v>
      </c>
      <c r="J12" s="443">
        <v>30</v>
      </c>
      <c r="K12" s="688">
        <v>30</v>
      </c>
      <c r="L12" s="684">
        <v>20</v>
      </c>
      <c r="M12" s="687">
        <f t="shared" si="0"/>
        <v>10</v>
      </c>
      <c r="N12" s="696">
        <v>0</v>
      </c>
      <c r="O12" s="696">
        <v>0</v>
      </c>
      <c r="P12" s="696">
        <v>0</v>
      </c>
      <c r="Q12" s="696">
        <v>0</v>
      </c>
      <c r="R12" s="95" t="s">
        <v>944</v>
      </c>
      <c r="S12" s="700">
        <v>7</v>
      </c>
      <c r="T12" s="703">
        <f>AVERAGE(250, 200, 180, 80)</f>
        <v>177.5</v>
      </c>
      <c r="U12" s="647">
        <v>0</v>
      </c>
      <c r="V12" s="67" t="s">
        <v>714</v>
      </c>
      <c r="W12" s="191" t="s">
        <v>714</v>
      </c>
      <c r="X12" s="668">
        <v>0</v>
      </c>
      <c r="Y12" s="232">
        <v>1</v>
      </c>
      <c r="Z12" s="250">
        <v>0</v>
      </c>
      <c r="AA12" s="230"/>
      <c r="AB12" s="248"/>
      <c r="AC12" s="236"/>
      <c r="AD12" s="191"/>
      <c r="AE12" s="248"/>
      <c r="AF12" s="364"/>
    </row>
    <row r="13" spans="1:32" s="147" customFormat="1" ht="33.6" customHeight="1">
      <c r="A13" s="175" t="s">
        <v>1202</v>
      </c>
      <c r="B13" s="176">
        <v>1</v>
      </c>
      <c r="C13" s="175" t="s">
        <v>1203</v>
      </c>
      <c r="D13" s="95">
        <v>10</v>
      </c>
      <c r="E13" s="95" t="s">
        <v>1214</v>
      </c>
      <c r="F13" s="177">
        <v>45215</v>
      </c>
      <c r="G13" s="158" t="s">
        <v>1205</v>
      </c>
      <c r="H13" s="65" t="s">
        <v>950</v>
      </c>
      <c r="I13" s="224">
        <v>15</v>
      </c>
      <c r="J13" s="443">
        <v>40</v>
      </c>
      <c r="K13" s="688">
        <v>40</v>
      </c>
      <c r="L13" s="684">
        <v>50</v>
      </c>
      <c r="M13" s="687">
        <f t="shared" si="0"/>
        <v>-10</v>
      </c>
      <c r="N13" s="696">
        <v>0</v>
      </c>
      <c r="O13" s="696">
        <v>0</v>
      </c>
      <c r="P13" s="696">
        <v>0</v>
      </c>
      <c r="Q13" s="696">
        <v>0</v>
      </c>
      <c r="R13" s="95" t="s">
        <v>1208</v>
      </c>
      <c r="S13" s="700">
        <v>3</v>
      </c>
      <c r="T13" s="703">
        <f>AVERAGE(80, 60, 60, 30)</f>
        <v>57.5</v>
      </c>
      <c r="U13" s="648">
        <v>0</v>
      </c>
      <c r="V13" s="67" t="s">
        <v>714</v>
      </c>
      <c r="W13" s="191" t="s">
        <v>714</v>
      </c>
      <c r="X13" s="668">
        <v>0</v>
      </c>
      <c r="Y13" s="232">
        <v>2</v>
      </c>
      <c r="Z13" s="250" t="s">
        <v>985</v>
      </c>
      <c r="AA13" s="230"/>
      <c r="AB13" s="248"/>
      <c r="AC13" s="236">
        <v>0</v>
      </c>
      <c r="AD13" s="191">
        <v>0</v>
      </c>
      <c r="AE13" s="248">
        <v>2</v>
      </c>
      <c r="AF13" s="364"/>
    </row>
    <row r="14" spans="1:32" s="147" customFormat="1" ht="33.6" customHeight="1">
      <c r="A14" s="175" t="s">
        <v>1202</v>
      </c>
      <c r="B14" s="176">
        <v>1</v>
      </c>
      <c r="C14" s="175" t="s">
        <v>1203</v>
      </c>
      <c r="D14" s="95">
        <v>11</v>
      </c>
      <c r="E14" s="95" t="s">
        <v>1215</v>
      </c>
      <c r="F14" s="177">
        <v>45215</v>
      </c>
      <c r="G14" s="158" t="s">
        <v>1205</v>
      </c>
      <c r="H14" s="65" t="s">
        <v>950</v>
      </c>
      <c r="I14" s="224">
        <v>15</v>
      </c>
      <c r="J14" s="443">
        <v>50</v>
      </c>
      <c r="K14" s="688">
        <v>50</v>
      </c>
      <c r="L14" s="684">
        <v>50</v>
      </c>
      <c r="M14" s="687">
        <f t="shared" si="0"/>
        <v>0</v>
      </c>
      <c r="N14" s="696">
        <v>0</v>
      </c>
      <c r="O14" s="696">
        <v>0</v>
      </c>
      <c r="P14" s="696">
        <v>0</v>
      </c>
      <c r="Q14" s="696">
        <v>0</v>
      </c>
      <c r="R14" s="95" t="s">
        <v>1208</v>
      </c>
      <c r="S14" s="701">
        <v>0</v>
      </c>
      <c r="T14" s="705">
        <f>AVERAGE(60, 30, 30, 20)</f>
        <v>35</v>
      </c>
      <c r="U14" s="648">
        <v>0</v>
      </c>
      <c r="V14" s="67" t="s">
        <v>714</v>
      </c>
      <c r="W14" s="191" t="s">
        <v>714</v>
      </c>
      <c r="X14" s="668">
        <v>0</v>
      </c>
      <c r="Y14" s="232">
        <v>1</v>
      </c>
      <c r="Z14" s="250">
        <v>0</v>
      </c>
      <c r="AA14" s="230"/>
      <c r="AB14" s="248"/>
      <c r="AC14" s="236"/>
      <c r="AD14" s="191"/>
      <c r="AE14" s="248"/>
      <c r="AF14" s="364"/>
    </row>
    <row r="15" spans="1:32" ht="33.6" customHeight="1">
      <c r="A15" s="175" t="s">
        <v>1202</v>
      </c>
      <c r="B15" s="176">
        <v>1</v>
      </c>
      <c r="C15" s="175" t="s">
        <v>1203</v>
      </c>
      <c r="D15" s="95">
        <v>12</v>
      </c>
      <c r="E15" s="95" t="s">
        <v>1216</v>
      </c>
      <c r="F15" s="177">
        <v>45219</v>
      </c>
      <c r="G15" s="158" t="s">
        <v>1205</v>
      </c>
      <c r="H15" s="65" t="s">
        <v>950</v>
      </c>
      <c r="I15" s="224">
        <v>15</v>
      </c>
      <c r="J15" s="443">
        <v>70</v>
      </c>
      <c r="K15" s="688">
        <v>70</v>
      </c>
      <c r="L15" s="684">
        <v>60</v>
      </c>
      <c r="M15" s="687">
        <f t="shared" si="0"/>
        <v>10</v>
      </c>
      <c r="N15" s="696">
        <v>0</v>
      </c>
      <c r="O15" s="696">
        <v>0</v>
      </c>
      <c r="P15" s="696">
        <v>0</v>
      </c>
      <c r="Q15" s="696">
        <v>0</v>
      </c>
      <c r="R15" s="95" t="s">
        <v>944</v>
      </c>
      <c r="S15" s="696">
        <v>2</v>
      </c>
      <c r="T15" s="706">
        <f>AVERAGE(60, 30)</f>
        <v>45</v>
      </c>
      <c r="U15" s="649">
        <v>0</v>
      </c>
      <c r="V15" s="67" t="s">
        <v>714</v>
      </c>
      <c r="W15" s="191" t="s">
        <v>714</v>
      </c>
      <c r="X15" s="668">
        <v>0</v>
      </c>
      <c r="Y15" s="232">
        <v>1</v>
      </c>
      <c r="Z15" s="250">
        <v>0</v>
      </c>
      <c r="AA15" s="230"/>
      <c r="AB15" s="248"/>
      <c r="AC15" s="236">
        <v>0</v>
      </c>
      <c r="AD15" s="191">
        <v>0</v>
      </c>
      <c r="AE15" s="248">
        <v>4</v>
      </c>
      <c r="AF15" s="364"/>
    </row>
    <row r="16" spans="1:32" ht="33.6" customHeight="1">
      <c r="A16" s="175" t="s">
        <v>1202</v>
      </c>
      <c r="B16" s="176">
        <v>1</v>
      </c>
      <c r="C16" s="175" t="s">
        <v>1203</v>
      </c>
      <c r="D16" s="95">
        <v>13</v>
      </c>
      <c r="E16" s="95" t="s">
        <v>1217</v>
      </c>
      <c r="F16" s="177">
        <v>45219</v>
      </c>
      <c r="G16" s="158" t="s">
        <v>1205</v>
      </c>
      <c r="H16" s="65" t="s">
        <v>950</v>
      </c>
      <c r="I16" s="224">
        <v>15</v>
      </c>
      <c r="J16" s="443">
        <v>50</v>
      </c>
      <c r="K16" s="688">
        <v>50</v>
      </c>
      <c r="L16" s="684">
        <v>40</v>
      </c>
      <c r="M16" s="687">
        <f t="shared" si="0"/>
        <v>10</v>
      </c>
      <c r="N16" s="696">
        <v>0</v>
      </c>
      <c r="O16" s="696">
        <v>0</v>
      </c>
      <c r="P16" s="696">
        <v>0</v>
      </c>
      <c r="Q16" s="696">
        <v>0</v>
      </c>
      <c r="R16" s="95" t="s">
        <v>945</v>
      </c>
      <c r="S16" s="696">
        <v>1</v>
      </c>
      <c r="T16" s="705">
        <f>AVERAGE(60, 30, 30)</f>
        <v>40</v>
      </c>
      <c r="U16" s="649">
        <v>0</v>
      </c>
      <c r="V16" s="67" t="s">
        <v>714</v>
      </c>
      <c r="W16" s="191" t="s">
        <v>714</v>
      </c>
      <c r="X16" s="668">
        <v>0</v>
      </c>
      <c r="Y16" s="232">
        <v>1</v>
      </c>
      <c r="Z16" s="250">
        <v>0</v>
      </c>
      <c r="AA16" s="230"/>
      <c r="AB16" s="248"/>
      <c r="AC16" s="236"/>
      <c r="AD16" s="191"/>
      <c r="AE16" s="248"/>
      <c r="AF16" s="364"/>
    </row>
    <row r="17" spans="1:32" s="147" customFormat="1" ht="33.6" customHeight="1">
      <c r="A17" s="175" t="s">
        <v>1202</v>
      </c>
      <c r="B17" s="176">
        <v>1</v>
      </c>
      <c r="C17" s="175" t="s">
        <v>1203</v>
      </c>
      <c r="D17" s="95">
        <v>14</v>
      </c>
      <c r="E17" s="95" t="s">
        <v>1218</v>
      </c>
      <c r="F17" s="180"/>
      <c r="G17" s="65"/>
      <c r="H17" s="65"/>
      <c r="I17" s="66"/>
      <c r="J17" s="692"/>
      <c r="K17" s="689"/>
      <c r="L17" s="685"/>
      <c r="M17" s="687"/>
      <c r="N17" s="697"/>
      <c r="O17" s="697"/>
      <c r="P17" s="697"/>
      <c r="Q17" s="697"/>
      <c r="R17" s="65"/>
      <c r="S17" s="697"/>
      <c r="T17" s="246"/>
      <c r="U17" s="658"/>
      <c r="V17" s="204"/>
      <c r="W17" s="65"/>
      <c r="X17" s="245"/>
      <c r="Y17" s="228"/>
      <c r="Z17" s="66"/>
      <c r="AA17" s="221"/>
      <c r="AB17" s="66"/>
      <c r="AC17" s="228"/>
      <c r="AD17" s="65"/>
      <c r="AE17" s="66"/>
      <c r="AF17" s="364"/>
    </row>
    <row r="18" spans="1:32" s="147" customFormat="1" ht="33.6" customHeight="1">
      <c r="A18" s="175" t="s">
        <v>1202</v>
      </c>
      <c r="B18" s="176">
        <v>1</v>
      </c>
      <c r="C18" s="175" t="s">
        <v>1203</v>
      </c>
      <c r="D18" s="95">
        <v>15</v>
      </c>
      <c r="E18" s="95" t="s">
        <v>1219</v>
      </c>
      <c r="F18" s="430"/>
      <c r="G18" s="158"/>
      <c r="H18" s="65"/>
      <c r="I18" s="66"/>
      <c r="J18" s="692"/>
      <c r="K18" s="689"/>
      <c r="L18" s="685"/>
      <c r="M18" s="687"/>
      <c r="N18" s="697"/>
      <c r="O18" s="697"/>
      <c r="P18" s="697"/>
      <c r="Q18" s="697"/>
      <c r="R18" s="65"/>
      <c r="S18" s="697"/>
      <c r="T18" s="246"/>
      <c r="U18" s="658"/>
      <c r="V18" s="204"/>
      <c r="W18" s="65"/>
      <c r="X18" s="245"/>
      <c r="Y18" s="228"/>
      <c r="Z18" s="66"/>
      <c r="AA18" s="221"/>
      <c r="AB18" s="66"/>
      <c r="AC18" s="228"/>
      <c r="AD18" s="65"/>
      <c r="AE18" s="66"/>
      <c r="AF18" s="364"/>
    </row>
    <row r="19" spans="1:32" s="147" customFormat="1" ht="33.6" customHeight="1">
      <c r="A19" s="175" t="s">
        <v>1202</v>
      </c>
      <c r="B19" s="176">
        <v>1</v>
      </c>
      <c r="C19" s="175" t="s">
        <v>1203</v>
      </c>
      <c r="D19" s="95">
        <v>16</v>
      </c>
      <c r="E19" s="95" t="s">
        <v>1220</v>
      </c>
      <c r="F19" s="177">
        <v>45226</v>
      </c>
      <c r="G19" s="158" t="s">
        <v>1205</v>
      </c>
      <c r="H19" s="65" t="s">
        <v>950</v>
      </c>
      <c r="I19" s="224">
        <v>15</v>
      </c>
      <c r="J19" s="443" t="s">
        <v>1637</v>
      </c>
      <c r="K19" s="688">
        <v>10</v>
      </c>
      <c r="L19" s="684">
        <v>10</v>
      </c>
      <c r="M19" s="687">
        <f t="shared" ref="M19:M49" si="1">K19-L19</f>
        <v>0</v>
      </c>
      <c r="N19" s="696">
        <v>0</v>
      </c>
      <c r="O19" s="696">
        <v>0</v>
      </c>
      <c r="P19" s="696">
        <v>0</v>
      </c>
      <c r="Q19" s="696">
        <v>0</v>
      </c>
      <c r="R19" s="95" t="s">
        <v>944</v>
      </c>
      <c r="S19" s="696">
        <v>2</v>
      </c>
      <c r="T19" s="704">
        <f>AVERAGE(40, 30, 20)</f>
        <v>30</v>
      </c>
      <c r="U19" s="648">
        <v>0</v>
      </c>
      <c r="V19" s="67" t="s">
        <v>714</v>
      </c>
      <c r="W19" s="191" t="s">
        <v>714</v>
      </c>
      <c r="X19" s="668">
        <v>0</v>
      </c>
      <c r="Y19" s="232">
        <v>2</v>
      </c>
      <c r="Z19" s="250" t="s">
        <v>985</v>
      </c>
      <c r="AA19" s="230"/>
      <c r="AB19" s="248"/>
      <c r="AC19" s="236">
        <v>0</v>
      </c>
      <c r="AD19" s="191">
        <v>0</v>
      </c>
      <c r="AE19" s="248">
        <v>3</v>
      </c>
      <c r="AF19" s="364"/>
    </row>
    <row r="20" spans="1:32" ht="33.6" customHeight="1">
      <c r="A20" s="175" t="s">
        <v>1202</v>
      </c>
      <c r="B20" s="176">
        <v>1</v>
      </c>
      <c r="C20" s="175" t="s">
        <v>1203</v>
      </c>
      <c r="D20" s="95">
        <v>17</v>
      </c>
      <c r="E20" s="95" t="s">
        <v>1221</v>
      </c>
      <c r="F20" s="180">
        <v>45226</v>
      </c>
      <c r="G20" s="158" t="s">
        <v>1205</v>
      </c>
      <c r="H20" s="65" t="s">
        <v>950</v>
      </c>
      <c r="I20" s="224">
        <v>15</v>
      </c>
      <c r="J20" s="443">
        <v>40</v>
      </c>
      <c r="K20" s="688">
        <v>40</v>
      </c>
      <c r="L20" s="684">
        <v>40</v>
      </c>
      <c r="M20" s="687">
        <f t="shared" si="1"/>
        <v>0</v>
      </c>
      <c r="N20" s="696">
        <v>0</v>
      </c>
      <c r="O20" s="696">
        <v>0</v>
      </c>
      <c r="P20" s="696">
        <v>0</v>
      </c>
      <c r="Q20" s="696">
        <v>0</v>
      </c>
      <c r="R20" s="95" t="s">
        <v>944</v>
      </c>
      <c r="S20" s="696">
        <v>1</v>
      </c>
      <c r="T20" s="704">
        <f>AVERAGE(120, 100, 80, 60, 40)</f>
        <v>80</v>
      </c>
      <c r="U20" s="648">
        <v>0</v>
      </c>
      <c r="V20" s="67" t="s">
        <v>714</v>
      </c>
      <c r="W20" s="191" t="s">
        <v>714</v>
      </c>
      <c r="X20" s="668">
        <v>0</v>
      </c>
      <c r="Y20" s="232">
        <v>2</v>
      </c>
      <c r="Z20" s="250" t="s">
        <v>985</v>
      </c>
      <c r="AA20" s="230"/>
      <c r="AB20" s="248"/>
      <c r="AC20" s="236"/>
      <c r="AD20" s="191"/>
      <c r="AE20" s="248"/>
      <c r="AF20" s="364"/>
    </row>
    <row r="21" spans="1:32" ht="33.6" customHeight="1">
      <c r="A21" s="175" t="s">
        <v>1202</v>
      </c>
      <c r="B21" s="176">
        <v>1</v>
      </c>
      <c r="C21" s="175" t="s">
        <v>1203</v>
      </c>
      <c r="D21" s="181">
        <v>18</v>
      </c>
      <c r="E21" s="95" t="s">
        <v>1222</v>
      </c>
      <c r="F21" s="180">
        <v>45226</v>
      </c>
      <c r="G21" s="158" t="s">
        <v>1205</v>
      </c>
      <c r="H21" s="65" t="s">
        <v>950</v>
      </c>
      <c r="I21" s="224">
        <v>15</v>
      </c>
      <c r="J21" s="443">
        <v>30</v>
      </c>
      <c r="K21" s="688">
        <v>30</v>
      </c>
      <c r="L21" s="684">
        <v>30</v>
      </c>
      <c r="M21" s="687">
        <f t="shared" si="1"/>
        <v>0</v>
      </c>
      <c r="N21" s="696">
        <v>0</v>
      </c>
      <c r="O21" s="696">
        <v>0</v>
      </c>
      <c r="P21" s="696">
        <v>0</v>
      </c>
      <c r="Q21" s="696">
        <v>0</v>
      </c>
      <c r="R21" s="95" t="s">
        <v>944</v>
      </c>
      <c r="S21" s="696">
        <v>1</v>
      </c>
      <c r="T21" s="704">
        <f>AVERAGE(250, 100, 80, 60, 60)</f>
        <v>110</v>
      </c>
      <c r="U21" s="648">
        <v>0</v>
      </c>
      <c r="V21" s="67" t="s">
        <v>714</v>
      </c>
      <c r="W21" s="191" t="s">
        <v>714</v>
      </c>
      <c r="X21" s="668">
        <v>0</v>
      </c>
      <c r="Y21" s="232">
        <v>1</v>
      </c>
      <c r="Z21" s="250">
        <v>0</v>
      </c>
      <c r="AA21" s="230"/>
      <c r="AB21" s="248"/>
      <c r="AC21" s="236"/>
      <c r="AD21" s="191"/>
      <c r="AE21" s="248"/>
      <c r="AF21" s="364"/>
    </row>
    <row r="22" spans="1:32" ht="33.6" customHeight="1">
      <c r="A22" s="175" t="s">
        <v>1202</v>
      </c>
      <c r="B22" s="176">
        <v>1</v>
      </c>
      <c r="C22" s="175" t="s">
        <v>1203</v>
      </c>
      <c r="D22" s="181">
        <v>19</v>
      </c>
      <c r="E22" s="182" t="s">
        <v>1223</v>
      </c>
      <c r="F22" s="180">
        <v>45224</v>
      </c>
      <c r="G22" s="158" t="s">
        <v>1205</v>
      </c>
      <c r="H22" s="65" t="s">
        <v>950</v>
      </c>
      <c r="I22" s="224">
        <v>15</v>
      </c>
      <c r="J22" s="443">
        <v>10</v>
      </c>
      <c r="K22" s="688">
        <v>10</v>
      </c>
      <c r="L22" s="684">
        <v>20</v>
      </c>
      <c r="M22" s="687">
        <f t="shared" si="1"/>
        <v>-10</v>
      </c>
      <c r="N22" s="696">
        <v>0</v>
      </c>
      <c r="O22" s="696">
        <v>0</v>
      </c>
      <c r="P22" s="696">
        <v>0</v>
      </c>
      <c r="Q22" s="696">
        <v>0</v>
      </c>
      <c r="R22" s="95" t="s">
        <v>944</v>
      </c>
      <c r="S22" s="696">
        <v>1</v>
      </c>
      <c r="T22" s="704">
        <f>AVERAGE(30, 30, 30)</f>
        <v>30</v>
      </c>
      <c r="U22" s="648">
        <v>0</v>
      </c>
      <c r="V22" s="67" t="s">
        <v>714</v>
      </c>
      <c r="W22" s="191" t="s">
        <v>714</v>
      </c>
      <c r="X22" s="668">
        <v>0</v>
      </c>
      <c r="Y22" s="232">
        <v>1</v>
      </c>
      <c r="Z22" s="250">
        <v>0</v>
      </c>
      <c r="AA22" s="230"/>
      <c r="AB22" s="248"/>
      <c r="AC22" s="236">
        <v>0</v>
      </c>
      <c r="AD22" s="191">
        <v>0</v>
      </c>
      <c r="AE22" s="248">
        <v>1</v>
      </c>
      <c r="AF22" s="364"/>
    </row>
    <row r="23" spans="1:32" s="147" customFormat="1" ht="33.6" customHeight="1" thickBot="1">
      <c r="A23" s="350" t="s">
        <v>1224</v>
      </c>
      <c r="B23" s="102">
        <v>1</v>
      </c>
      <c r="C23" s="351" t="s">
        <v>942</v>
      </c>
      <c r="D23" s="103">
        <v>20</v>
      </c>
      <c r="E23" s="357" t="s">
        <v>1225</v>
      </c>
      <c r="F23" s="358">
        <v>45224</v>
      </c>
      <c r="G23" s="313" t="s">
        <v>1205</v>
      </c>
      <c r="H23" s="279" t="s">
        <v>950</v>
      </c>
      <c r="I23" s="309">
        <v>15</v>
      </c>
      <c r="J23" s="693">
        <v>30</v>
      </c>
      <c r="K23" s="690">
        <v>30</v>
      </c>
      <c r="L23" s="686">
        <v>20</v>
      </c>
      <c r="M23" s="686">
        <f t="shared" si="1"/>
        <v>10</v>
      </c>
      <c r="N23" s="698">
        <v>0</v>
      </c>
      <c r="O23" s="698">
        <v>0</v>
      </c>
      <c r="P23" s="698">
        <v>0</v>
      </c>
      <c r="Q23" s="698">
        <v>0</v>
      </c>
      <c r="R23" s="103" t="s">
        <v>944</v>
      </c>
      <c r="S23" s="698">
        <v>1</v>
      </c>
      <c r="T23" s="707">
        <f>AVERAGE(60, 40, 40, 30)</f>
        <v>42.5</v>
      </c>
      <c r="U23" s="650">
        <v>0</v>
      </c>
      <c r="V23" s="375" t="s">
        <v>714</v>
      </c>
      <c r="W23" s="360" t="s">
        <v>714</v>
      </c>
      <c r="X23" s="669">
        <v>0</v>
      </c>
      <c r="Y23" s="317">
        <v>1</v>
      </c>
      <c r="Z23" s="359">
        <v>0</v>
      </c>
      <c r="AA23" s="295"/>
      <c r="AB23" s="296"/>
      <c r="AC23" s="304">
        <v>0</v>
      </c>
      <c r="AD23" s="360">
        <v>0</v>
      </c>
      <c r="AE23" s="296">
        <v>4</v>
      </c>
      <c r="AF23" s="365"/>
    </row>
    <row r="24" spans="1:32" ht="27" customHeight="1" thickTop="1">
      <c r="A24" s="216" t="s">
        <v>1226</v>
      </c>
      <c r="B24" s="217">
        <v>3</v>
      </c>
      <c r="C24" s="216" t="s">
        <v>1227</v>
      </c>
      <c r="D24" s="257">
        <v>1</v>
      </c>
      <c r="E24" s="268" t="s">
        <v>1228</v>
      </c>
      <c r="F24" s="320">
        <v>45223</v>
      </c>
      <c r="G24" s="155" t="s">
        <v>1229</v>
      </c>
      <c r="H24" s="155" t="s">
        <v>1111</v>
      </c>
      <c r="I24" s="223">
        <v>15</v>
      </c>
      <c r="J24" s="691">
        <v>50</v>
      </c>
      <c r="K24" s="687">
        <v>50</v>
      </c>
      <c r="L24" s="683">
        <v>50</v>
      </c>
      <c r="M24" s="687">
        <f t="shared" si="1"/>
        <v>0</v>
      </c>
      <c r="N24" s="711">
        <v>0</v>
      </c>
      <c r="O24" s="711">
        <v>0</v>
      </c>
      <c r="P24" s="711">
        <v>0</v>
      </c>
      <c r="Q24" s="711">
        <v>0</v>
      </c>
      <c r="R24" s="155" t="s">
        <v>1230</v>
      </c>
      <c r="S24" s="711">
        <v>2</v>
      </c>
      <c r="T24" s="335">
        <f>AVERAGE(80, 70, 60, 50, 40)</f>
        <v>60</v>
      </c>
      <c r="U24" s="651">
        <v>0</v>
      </c>
      <c r="V24" s="374" t="s">
        <v>714</v>
      </c>
      <c r="W24" s="361" t="s">
        <v>714</v>
      </c>
      <c r="X24" s="667">
        <v>0</v>
      </c>
      <c r="Y24" s="231">
        <v>1</v>
      </c>
      <c r="Z24" s="249">
        <v>0</v>
      </c>
      <c r="AA24" s="366"/>
      <c r="AB24" s="262"/>
      <c r="AC24" s="307"/>
      <c r="AD24" s="361"/>
      <c r="AE24" s="262"/>
      <c r="AF24" s="363"/>
    </row>
    <row r="25" spans="1:32" ht="27" customHeight="1">
      <c r="A25" s="175" t="s">
        <v>1226</v>
      </c>
      <c r="B25" s="176">
        <v>3</v>
      </c>
      <c r="C25" s="175" t="s">
        <v>1227</v>
      </c>
      <c r="D25" s="181">
        <v>2</v>
      </c>
      <c r="E25" s="182" t="s">
        <v>129</v>
      </c>
      <c r="F25" s="185">
        <v>45226</v>
      </c>
      <c r="G25" s="158" t="s">
        <v>947</v>
      </c>
      <c r="H25" s="158" t="s">
        <v>1111</v>
      </c>
      <c r="I25" s="224">
        <v>15</v>
      </c>
      <c r="J25" s="443">
        <v>30</v>
      </c>
      <c r="K25" s="687">
        <v>30</v>
      </c>
      <c r="L25" s="684">
        <v>40</v>
      </c>
      <c r="M25" s="687">
        <f t="shared" si="1"/>
        <v>-10</v>
      </c>
      <c r="N25" s="711">
        <v>0</v>
      </c>
      <c r="O25" s="711">
        <v>0</v>
      </c>
      <c r="P25" s="711">
        <v>0</v>
      </c>
      <c r="Q25" s="711">
        <v>0</v>
      </c>
      <c r="R25" s="95" t="s">
        <v>944</v>
      </c>
      <c r="S25" s="713">
        <v>0</v>
      </c>
      <c r="T25" s="381" t="s">
        <v>714</v>
      </c>
      <c r="U25" s="652">
        <v>0</v>
      </c>
      <c r="V25" s="67" t="s">
        <v>714</v>
      </c>
      <c r="W25" s="191" t="s">
        <v>714</v>
      </c>
      <c r="X25" s="668">
        <v>0</v>
      </c>
      <c r="Y25" s="232">
        <v>1</v>
      </c>
      <c r="Z25" s="250">
        <v>0</v>
      </c>
      <c r="AA25" s="230"/>
      <c r="AB25" s="248"/>
      <c r="AC25" s="236"/>
      <c r="AD25" s="191"/>
      <c r="AE25" s="248"/>
      <c r="AF25" s="364"/>
    </row>
    <row r="26" spans="1:32" ht="27" customHeight="1">
      <c r="A26" s="175" t="s">
        <v>1226</v>
      </c>
      <c r="B26" s="176">
        <v>3</v>
      </c>
      <c r="C26" s="175" t="s">
        <v>1227</v>
      </c>
      <c r="D26" s="181">
        <v>3</v>
      </c>
      <c r="E26" s="182" t="s">
        <v>1231</v>
      </c>
      <c r="F26" s="185">
        <v>45226</v>
      </c>
      <c r="G26" s="158" t="s">
        <v>947</v>
      </c>
      <c r="H26" s="158" t="s">
        <v>1111</v>
      </c>
      <c r="I26" s="224">
        <v>15</v>
      </c>
      <c r="J26" s="443">
        <v>80</v>
      </c>
      <c r="K26" s="687">
        <v>80</v>
      </c>
      <c r="L26" s="684">
        <v>80</v>
      </c>
      <c r="M26" s="687">
        <f t="shared" si="1"/>
        <v>0</v>
      </c>
      <c r="N26" s="711">
        <v>0</v>
      </c>
      <c r="O26" s="711">
        <v>0</v>
      </c>
      <c r="P26" s="711">
        <v>0</v>
      </c>
      <c r="Q26" s="711">
        <v>0</v>
      </c>
      <c r="R26" s="95" t="s">
        <v>1083</v>
      </c>
      <c r="S26" s="713">
        <v>0</v>
      </c>
      <c r="T26" s="381" t="s">
        <v>714</v>
      </c>
      <c r="U26" s="652">
        <v>0</v>
      </c>
      <c r="V26" s="67" t="s">
        <v>714</v>
      </c>
      <c r="W26" s="191" t="s">
        <v>714</v>
      </c>
      <c r="X26" s="668">
        <v>0</v>
      </c>
      <c r="Y26" s="232">
        <v>1</v>
      </c>
      <c r="Z26" s="250">
        <v>0</v>
      </c>
      <c r="AA26" s="230"/>
      <c r="AB26" s="248"/>
      <c r="AC26" s="236"/>
      <c r="AD26" s="191"/>
      <c r="AE26" s="248"/>
      <c r="AF26" s="364"/>
    </row>
    <row r="27" spans="1:32" ht="27" customHeight="1">
      <c r="A27" s="175" t="s">
        <v>1226</v>
      </c>
      <c r="B27" s="176">
        <v>3</v>
      </c>
      <c r="C27" s="175" t="s">
        <v>1227</v>
      </c>
      <c r="D27" s="181">
        <v>4</v>
      </c>
      <c r="E27" s="182" t="s">
        <v>1232</v>
      </c>
      <c r="F27" s="185">
        <v>45226</v>
      </c>
      <c r="G27" s="158" t="s">
        <v>947</v>
      </c>
      <c r="H27" s="158" t="s">
        <v>1111</v>
      </c>
      <c r="I27" s="224">
        <v>15</v>
      </c>
      <c r="J27" s="710" t="s">
        <v>948</v>
      </c>
      <c r="K27" s="617">
        <v>2.5</v>
      </c>
      <c r="L27" s="625">
        <v>2.5</v>
      </c>
      <c r="M27" s="687">
        <f t="shared" si="1"/>
        <v>0</v>
      </c>
      <c r="N27" s="711">
        <v>0</v>
      </c>
      <c r="O27" s="711">
        <v>0</v>
      </c>
      <c r="P27" s="711">
        <v>0</v>
      </c>
      <c r="Q27" s="711">
        <v>0</v>
      </c>
      <c r="R27" s="95" t="s">
        <v>1084</v>
      </c>
      <c r="S27" s="713">
        <v>0</v>
      </c>
      <c r="T27" s="381" t="s">
        <v>714</v>
      </c>
      <c r="U27" s="652">
        <v>0</v>
      </c>
      <c r="V27" s="67" t="s">
        <v>714</v>
      </c>
      <c r="W27" s="191" t="s">
        <v>714</v>
      </c>
      <c r="X27" s="668">
        <v>0</v>
      </c>
      <c r="Y27" s="232">
        <v>1</v>
      </c>
      <c r="Z27" s="250">
        <v>0</v>
      </c>
      <c r="AA27" s="230"/>
      <c r="AB27" s="248"/>
      <c r="AC27" s="236"/>
      <c r="AD27" s="191"/>
      <c r="AE27" s="248"/>
      <c r="AF27" s="364"/>
    </row>
    <row r="28" spans="1:32" ht="27" customHeight="1">
      <c r="A28" s="175" t="s">
        <v>1226</v>
      </c>
      <c r="B28" s="176">
        <v>3</v>
      </c>
      <c r="C28" s="175" t="s">
        <v>1227</v>
      </c>
      <c r="D28" s="181">
        <v>5</v>
      </c>
      <c r="E28" s="182" t="s">
        <v>1233</v>
      </c>
      <c r="F28" s="185">
        <v>45226</v>
      </c>
      <c r="G28" s="158" t="s">
        <v>947</v>
      </c>
      <c r="H28" s="158" t="s">
        <v>1111</v>
      </c>
      <c r="I28" s="224">
        <v>15</v>
      </c>
      <c r="J28" s="710" t="s">
        <v>948</v>
      </c>
      <c r="K28" s="617">
        <v>2.5</v>
      </c>
      <c r="L28" s="625">
        <v>2.5</v>
      </c>
      <c r="M28" s="687">
        <f t="shared" si="1"/>
        <v>0</v>
      </c>
      <c r="N28" s="711">
        <v>0</v>
      </c>
      <c r="O28" s="711">
        <v>0</v>
      </c>
      <c r="P28" s="711">
        <v>0</v>
      </c>
      <c r="Q28" s="711">
        <v>0</v>
      </c>
      <c r="R28" s="95" t="s">
        <v>944</v>
      </c>
      <c r="S28" s="713">
        <v>0</v>
      </c>
      <c r="T28" s="381" t="s">
        <v>714</v>
      </c>
      <c r="U28" s="652">
        <v>0</v>
      </c>
      <c r="V28" s="67" t="s">
        <v>714</v>
      </c>
      <c r="W28" s="191" t="s">
        <v>714</v>
      </c>
      <c r="X28" s="668">
        <v>0</v>
      </c>
      <c r="Y28" s="232">
        <v>1</v>
      </c>
      <c r="Z28" s="250">
        <v>0</v>
      </c>
      <c r="AA28" s="230"/>
      <c r="AB28" s="248"/>
      <c r="AC28" s="236"/>
      <c r="AD28" s="191"/>
      <c r="AE28" s="248"/>
      <c r="AF28" s="364"/>
    </row>
    <row r="29" spans="1:32" ht="27" customHeight="1">
      <c r="A29" s="175" t="s">
        <v>1226</v>
      </c>
      <c r="B29" s="176">
        <v>3</v>
      </c>
      <c r="C29" s="175" t="s">
        <v>1227</v>
      </c>
      <c r="D29" s="181">
        <v>6</v>
      </c>
      <c r="E29" s="182" t="s">
        <v>1234</v>
      </c>
      <c r="F29" s="185">
        <v>45218</v>
      </c>
      <c r="G29" s="158" t="s">
        <v>947</v>
      </c>
      <c r="H29" s="158" t="s">
        <v>1111</v>
      </c>
      <c r="I29" s="224">
        <v>15</v>
      </c>
      <c r="J29" s="443">
        <v>80</v>
      </c>
      <c r="K29" s="687">
        <v>80</v>
      </c>
      <c r="L29" s="684">
        <v>80</v>
      </c>
      <c r="M29" s="687">
        <f t="shared" si="1"/>
        <v>0</v>
      </c>
      <c r="N29" s="711">
        <v>0</v>
      </c>
      <c r="O29" s="711">
        <v>0</v>
      </c>
      <c r="P29" s="711">
        <v>0</v>
      </c>
      <c r="Q29" s="711">
        <v>0</v>
      </c>
      <c r="R29" s="95" t="s">
        <v>1235</v>
      </c>
      <c r="S29" s="713">
        <v>1</v>
      </c>
      <c r="T29" s="239">
        <f>AVERAGE(300, 300, 300, 200, 200)</f>
        <v>260</v>
      </c>
      <c r="U29" s="652">
        <v>0</v>
      </c>
      <c r="V29" s="67" t="s">
        <v>714</v>
      </c>
      <c r="W29" s="191" t="s">
        <v>714</v>
      </c>
      <c r="X29" s="668">
        <v>0</v>
      </c>
      <c r="Y29" s="232">
        <v>1</v>
      </c>
      <c r="Z29" s="250">
        <v>0</v>
      </c>
      <c r="AA29" s="230"/>
      <c r="AB29" s="248"/>
      <c r="AC29" s="236"/>
      <c r="AD29" s="191"/>
      <c r="AE29" s="248"/>
      <c r="AF29" s="364"/>
    </row>
    <row r="30" spans="1:32" ht="27" customHeight="1">
      <c r="A30" s="175" t="s">
        <v>1226</v>
      </c>
      <c r="B30" s="176">
        <v>3</v>
      </c>
      <c r="C30" s="175" t="s">
        <v>1227</v>
      </c>
      <c r="D30" s="181">
        <v>7</v>
      </c>
      <c r="E30" s="182" t="s">
        <v>1236</v>
      </c>
      <c r="F30" s="185">
        <v>45218</v>
      </c>
      <c r="G30" s="158" t="s">
        <v>947</v>
      </c>
      <c r="H30" s="158" t="s">
        <v>1111</v>
      </c>
      <c r="I30" s="224">
        <v>15</v>
      </c>
      <c r="J30" s="443">
        <v>20</v>
      </c>
      <c r="K30" s="687">
        <v>20</v>
      </c>
      <c r="L30" s="684">
        <v>30</v>
      </c>
      <c r="M30" s="687">
        <f t="shared" si="1"/>
        <v>-10</v>
      </c>
      <c r="N30" s="711">
        <v>0</v>
      </c>
      <c r="O30" s="711">
        <v>0</v>
      </c>
      <c r="P30" s="711">
        <v>0</v>
      </c>
      <c r="Q30" s="711">
        <v>0</v>
      </c>
      <c r="R30" s="95" t="s">
        <v>943</v>
      </c>
      <c r="S30" s="713">
        <v>1</v>
      </c>
      <c r="T30" s="381" t="s">
        <v>714</v>
      </c>
      <c r="U30" s="652">
        <v>0</v>
      </c>
      <c r="V30" s="67" t="s">
        <v>714</v>
      </c>
      <c r="W30" s="191" t="s">
        <v>714</v>
      </c>
      <c r="X30" s="668">
        <v>0</v>
      </c>
      <c r="Y30" s="232">
        <v>1</v>
      </c>
      <c r="Z30" s="250">
        <v>0</v>
      </c>
      <c r="AA30" s="230"/>
      <c r="AB30" s="248"/>
      <c r="AC30" s="236"/>
      <c r="AD30" s="191"/>
      <c r="AE30" s="248"/>
      <c r="AF30" s="364"/>
    </row>
    <row r="31" spans="1:32" ht="27" customHeight="1">
      <c r="A31" s="175" t="s">
        <v>1226</v>
      </c>
      <c r="B31" s="176">
        <v>3</v>
      </c>
      <c r="C31" s="175" t="s">
        <v>1227</v>
      </c>
      <c r="D31" s="181">
        <v>8</v>
      </c>
      <c r="E31" s="182" t="s">
        <v>1237</v>
      </c>
      <c r="F31" s="185">
        <v>45222</v>
      </c>
      <c r="G31" s="158" t="s">
        <v>947</v>
      </c>
      <c r="H31" s="158" t="s">
        <v>1111</v>
      </c>
      <c r="I31" s="224">
        <v>15</v>
      </c>
      <c r="J31" s="710" t="s">
        <v>948</v>
      </c>
      <c r="K31" s="617">
        <v>2.5</v>
      </c>
      <c r="L31" s="625">
        <v>2.5</v>
      </c>
      <c r="M31" s="687">
        <f t="shared" si="1"/>
        <v>0</v>
      </c>
      <c r="N31" s="711">
        <v>0</v>
      </c>
      <c r="O31" s="711">
        <v>0</v>
      </c>
      <c r="P31" s="711">
        <v>0</v>
      </c>
      <c r="Q31" s="711">
        <v>0</v>
      </c>
      <c r="R31" s="95" t="s">
        <v>944</v>
      </c>
      <c r="S31" s="713">
        <v>1</v>
      </c>
      <c r="T31" s="381" t="s">
        <v>714</v>
      </c>
      <c r="U31" s="652">
        <v>0</v>
      </c>
      <c r="V31" s="67" t="s">
        <v>714</v>
      </c>
      <c r="W31" s="191" t="s">
        <v>714</v>
      </c>
      <c r="X31" s="668">
        <v>0</v>
      </c>
      <c r="Y31" s="232">
        <v>1</v>
      </c>
      <c r="Z31" s="250">
        <v>0</v>
      </c>
      <c r="AA31" s="230"/>
      <c r="AB31" s="248"/>
      <c r="AC31" s="236"/>
      <c r="AD31" s="191"/>
      <c r="AE31" s="248"/>
      <c r="AF31" s="364"/>
    </row>
    <row r="32" spans="1:32" ht="27" customHeight="1">
      <c r="A32" s="175" t="s">
        <v>1226</v>
      </c>
      <c r="B32" s="176">
        <v>3</v>
      </c>
      <c r="C32" s="175" t="s">
        <v>1227</v>
      </c>
      <c r="D32" s="181">
        <v>9</v>
      </c>
      <c r="E32" s="182" t="s">
        <v>1238</v>
      </c>
      <c r="F32" s="185">
        <v>45197</v>
      </c>
      <c r="G32" s="158" t="s">
        <v>947</v>
      </c>
      <c r="H32" s="158" t="s">
        <v>1111</v>
      </c>
      <c r="I32" s="224">
        <v>15</v>
      </c>
      <c r="J32" s="443">
        <v>40</v>
      </c>
      <c r="K32" s="687">
        <v>40</v>
      </c>
      <c r="L32" s="684">
        <v>40</v>
      </c>
      <c r="M32" s="687">
        <f t="shared" si="1"/>
        <v>0</v>
      </c>
      <c r="N32" s="711">
        <v>0</v>
      </c>
      <c r="O32" s="711">
        <v>0</v>
      </c>
      <c r="P32" s="711">
        <v>0</v>
      </c>
      <c r="Q32" s="711">
        <v>0</v>
      </c>
      <c r="R32" s="95" t="s">
        <v>1235</v>
      </c>
      <c r="S32" s="713">
        <v>1</v>
      </c>
      <c r="T32" s="239">
        <f>AVERAGE(60, 60, 60, 50, 50)</f>
        <v>56</v>
      </c>
      <c r="U32" s="652">
        <v>0</v>
      </c>
      <c r="V32" s="67" t="s">
        <v>714</v>
      </c>
      <c r="W32" s="191" t="s">
        <v>714</v>
      </c>
      <c r="X32" s="668">
        <v>0</v>
      </c>
      <c r="Y32" s="232">
        <v>1</v>
      </c>
      <c r="Z32" s="250">
        <v>0</v>
      </c>
      <c r="AA32" s="230"/>
      <c r="AB32" s="248"/>
      <c r="AC32" s="236"/>
      <c r="AD32" s="191"/>
      <c r="AE32" s="248"/>
      <c r="AF32" s="364"/>
    </row>
    <row r="33" spans="1:36" ht="27" customHeight="1">
      <c r="A33" s="175" t="s">
        <v>1226</v>
      </c>
      <c r="B33" s="176">
        <v>3</v>
      </c>
      <c r="C33" s="175" t="s">
        <v>1227</v>
      </c>
      <c r="D33" s="181">
        <v>10</v>
      </c>
      <c r="E33" s="182" t="s">
        <v>1239</v>
      </c>
      <c r="F33" s="185">
        <v>45197</v>
      </c>
      <c r="G33" s="158" t="s">
        <v>947</v>
      </c>
      <c r="H33" s="158" t="s">
        <v>1111</v>
      </c>
      <c r="I33" s="224">
        <v>15</v>
      </c>
      <c r="J33" s="443">
        <v>70</v>
      </c>
      <c r="K33" s="687">
        <v>70</v>
      </c>
      <c r="L33" s="684">
        <v>60</v>
      </c>
      <c r="M33" s="687">
        <f t="shared" si="1"/>
        <v>10</v>
      </c>
      <c r="N33" s="711">
        <v>0</v>
      </c>
      <c r="O33" s="711">
        <v>0</v>
      </c>
      <c r="P33" s="711">
        <v>0</v>
      </c>
      <c r="Q33" s="711">
        <v>0</v>
      </c>
      <c r="R33" s="95" t="s">
        <v>1235</v>
      </c>
      <c r="S33" s="713">
        <v>3</v>
      </c>
      <c r="T33" s="239">
        <f>AVERAGE(80, 70, 70, 60, 60)</f>
        <v>68</v>
      </c>
      <c r="U33" s="652">
        <v>0</v>
      </c>
      <c r="V33" s="67" t="s">
        <v>714</v>
      </c>
      <c r="W33" s="191" t="s">
        <v>714</v>
      </c>
      <c r="X33" s="668">
        <v>0</v>
      </c>
      <c r="Y33" s="232">
        <v>1</v>
      </c>
      <c r="Z33" s="250">
        <v>0</v>
      </c>
      <c r="AA33" s="230"/>
      <c r="AB33" s="248"/>
      <c r="AC33" s="236"/>
      <c r="AD33" s="191"/>
      <c r="AE33" s="248"/>
      <c r="AF33" s="364"/>
    </row>
    <row r="34" spans="1:36" s="147" customFormat="1" ht="27" customHeight="1">
      <c r="A34" s="175" t="s">
        <v>1226</v>
      </c>
      <c r="B34" s="176">
        <v>3</v>
      </c>
      <c r="C34" s="175" t="s">
        <v>1227</v>
      </c>
      <c r="D34" s="181">
        <v>11</v>
      </c>
      <c r="E34" s="182" t="s">
        <v>1240</v>
      </c>
      <c r="F34" s="185">
        <v>45228</v>
      </c>
      <c r="G34" s="158" t="s">
        <v>947</v>
      </c>
      <c r="H34" s="158" t="s">
        <v>1111</v>
      </c>
      <c r="I34" s="224">
        <v>15</v>
      </c>
      <c r="J34" s="443">
        <v>30</v>
      </c>
      <c r="K34" s="687">
        <v>30</v>
      </c>
      <c r="L34" s="684">
        <v>30</v>
      </c>
      <c r="M34" s="687">
        <f t="shared" si="1"/>
        <v>0</v>
      </c>
      <c r="N34" s="711">
        <v>0</v>
      </c>
      <c r="O34" s="711">
        <v>0</v>
      </c>
      <c r="P34" s="711">
        <v>0</v>
      </c>
      <c r="Q34" s="711">
        <v>0</v>
      </c>
      <c r="R34" s="158" t="s">
        <v>1230</v>
      </c>
      <c r="S34" s="713">
        <v>1</v>
      </c>
      <c r="T34" s="239">
        <f>AVERAGE(50, 50, 50, 40, 30)</f>
        <v>44</v>
      </c>
      <c r="U34" s="652">
        <v>0</v>
      </c>
      <c r="V34" s="67" t="s">
        <v>714</v>
      </c>
      <c r="W34" s="191" t="s">
        <v>714</v>
      </c>
      <c r="X34" s="668">
        <v>0</v>
      </c>
      <c r="Y34" s="232">
        <v>1</v>
      </c>
      <c r="Z34" s="250">
        <v>0</v>
      </c>
      <c r="AA34" s="230"/>
      <c r="AB34" s="248"/>
      <c r="AC34" s="236"/>
      <c r="AD34" s="191"/>
      <c r="AE34" s="248"/>
      <c r="AF34" s="364"/>
    </row>
    <row r="35" spans="1:36" ht="27" customHeight="1">
      <c r="A35" s="175" t="s">
        <v>1226</v>
      </c>
      <c r="B35" s="176">
        <v>3</v>
      </c>
      <c r="C35" s="175" t="s">
        <v>1227</v>
      </c>
      <c r="D35" s="181">
        <v>12</v>
      </c>
      <c r="E35" s="182" t="s">
        <v>1241</v>
      </c>
      <c r="F35" s="185">
        <v>45183</v>
      </c>
      <c r="G35" s="158" t="s">
        <v>947</v>
      </c>
      <c r="H35" s="158" t="s">
        <v>1111</v>
      </c>
      <c r="I35" s="224">
        <v>15</v>
      </c>
      <c r="J35" s="443">
        <v>80</v>
      </c>
      <c r="K35" s="687">
        <v>80</v>
      </c>
      <c r="L35" s="684">
        <v>80</v>
      </c>
      <c r="M35" s="687">
        <f t="shared" si="1"/>
        <v>0</v>
      </c>
      <c r="N35" s="711">
        <v>0</v>
      </c>
      <c r="O35" s="711">
        <v>0</v>
      </c>
      <c r="P35" s="711">
        <v>0</v>
      </c>
      <c r="Q35" s="711">
        <v>0</v>
      </c>
      <c r="R35" s="158" t="s">
        <v>1230</v>
      </c>
      <c r="S35" s="713">
        <v>6</v>
      </c>
      <c r="T35" s="239">
        <f>AVERAGE(110, 110, 100, 90, 90)</f>
        <v>100</v>
      </c>
      <c r="U35" s="652">
        <v>0</v>
      </c>
      <c r="V35" s="67" t="s">
        <v>714</v>
      </c>
      <c r="W35" s="191" t="s">
        <v>714</v>
      </c>
      <c r="X35" s="668">
        <v>0</v>
      </c>
      <c r="Y35" s="232">
        <v>1</v>
      </c>
      <c r="Z35" s="250">
        <v>0</v>
      </c>
      <c r="AA35" s="230"/>
      <c r="AB35" s="248"/>
      <c r="AC35" s="236"/>
      <c r="AD35" s="191"/>
      <c r="AE35" s="248"/>
      <c r="AF35" s="364"/>
    </row>
    <row r="36" spans="1:36" ht="27" customHeight="1">
      <c r="A36" s="175" t="s">
        <v>1226</v>
      </c>
      <c r="B36" s="176">
        <v>3</v>
      </c>
      <c r="C36" s="175" t="s">
        <v>1227</v>
      </c>
      <c r="D36" s="181">
        <v>13</v>
      </c>
      <c r="E36" s="182" t="s">
        <v>1242</v>
      </c>
      <c r="F36" s="185">
        <v>45183</v>
      </c>
      <c r="G36" s="158" t="s">
        <v>947</v>
      </c>
      <c r="H36" s="158" t="s">
        <v>1111</v>
      </c>
      <c r="I36" s="224">
        <v>15</v>
      </c>
      <c r="J36" s="443">
        <v>20</v>
      </c>
      <c r="K36" s="687">
        <v>20</v>
      </c>
      <c r="L36" s="684">
        <v>20</v>
      </c>
      <c r="M36" s="687">
        <f t="shared" si="1"/>
        <v>0</v>
      </c>
      <c r="N36" s="711">
        <v>0</v>
      </c>
      <c r="O36" s="711">
        <v>0</v>
      </c>
      <c r="P36" s="711">
        <v>0</v>
      </c>
      <c r="Q36" s="711">
        <v>0</v>
      </c>
      <c r="R36" s="95" t="s">
        <v>1235</v>
      </c>
      <c r="S36" s="713">
        <v>1</v>
      </c>
      <c r="T36" s="239">
        <f>AVERAGE(120, 120, 60, 60, 60)</f>
        <v>84</v>
      </c>
      <c r="U36" s="652">
        <v>0</v>
      </c>
      <c r="V36" s="67" t="s">
        <v>714</v>
      </c>
      <c r="W36" s="191" t="s">
        <v>714</v>
      </c>
      <c r="X36" s="668">
        <v>0</v>
      </c>
      <c r="Y36" s="232">
        <v>1</v>
      </c>
      <c r="Z36" s="250">
        <v>0</v>
      </c>
      <c r="AA36" s="230"/>
      <c r="AB36" s="248"/>
      <c r="AC36" s="236"/>
      <c r="AD36" s="191"/>
      <c r="AE36" s="248"/>
      <c r="AF36" s="364"/>
    </row>
    <row r="37" spans="1:36" ht="27" customHeight="1">
      <c r="A37" s="175" t="s">
        <v>1226</v>
      </c>
      <c r="B37" s="176">
        <v>3</v>
      </c>
      <c r="C37" s="175" t="s">
        <v>1227</v>
      </c>
      <c r="D37" s="181">
        <v>14</v>
      </c>
      <c r="E37" s="182" t="s">
        <v>1243</v>
      </c>
      <c r="F37" s="185">
        <v>45199</v>
      </c>
      <c r="G37" s="158" t="s">
        <v>947</v>
      </c>
      <c r="H37" s="158" t="s">
        <v>1111</v>
      </c>
      <c r="I37" s="224">
        <v>15</v>
      </c>
      <c r="J37" s="443">
        <v>70</v>
      </c>
      <c r="K37" s="687">
        <v>70</v>
      </c>
      <c r="L37" s="684">
        <v>70</v>
      </c>
      <c r="M37" s="687">
        <f t="shared" si="1"/>
        <v>0</v>
      </c>
      <c r="N37" s="711">
        <v>0</v>
      </c>
      <c r="O37" s="711">
        <v>0</v>
      </c>
      <c r="P37" s="711">
        <v>0</v>
      </c>
      <c r="Q37" s="711">
        <v>0</v>
      </c>
      <c r="R37" s="95" t="s">
        <v>943</v>
      </c>
      <c r="S37" s="713">
        <v>0</v>
      </c>
      <c r="T37" s="381" t="s">
        <v>714</v>
      </c>
      <c r="U37" s="652">
        <v>0</v>
      </c>
      <c r="V37" s="67" t="s">
        <v>714</v>
      </c>
      <c r="W37" s="191" t="s">
        <v>714</v>
      </c>
      <c r="X37" s="668">
        <v>0</v>
      </c>
      <c r="Y37" s="232">
        <v>1</v>
      </c>
      <c r="Z37" s="250">
        <v>0</v>
      </c>
      <c r="AA37" s="230"/>
      <c r="AB37" s="248"/>
      <c r="AC37" s="236"/>
      <c r="AD37" s="191"/>
      <c r="AE37" s="248"/>
      <c r="AF37" s="364"/>
    </row>
    <row r="38" spans="1:36" ht="27" customHeight="1" thickBot="1">
      <c r="A38" s="274" t="s">
        <v>1226</v>
      </c>
      <c r="B38" s="275">
        <v>3</v>
      </c>
      <c r="C38" s="274" t="s">
        <v>1227</v>
      </c>
      <c r="D38" s="265">
        <v>15</v>
      </c>
      <c r="E38" s="308" t="s">
        <v>1244</v>
      </c>
      <c r="F38" s="311">
        <v>45245</v>
      </c>
      <c r="G38" s="313" t="s">
        <v>947</v>
      </c>
      <c r="H38" s="313" t="s">
        <v>1111</v>
      </c>
      <c r="I38" s="309">
        <v>15</v>
      </c>
      <c r="J38" s="693">
        <v>60</v>
      </c>
      <c r="K38" s="687">
        <v>60</v>
      </c>
      <c r="L38" s="686">
        <v>60</v>
      </c>
      <c r="M38" s="686">
        <f t="shared" si="1"/>
        <v>0</v>
      </c>
      <c r="N38" s="712">
        <v>20</v>
      </c>
      <c r="O38" s="712">
        <v>20</v>
      </c>
      <c r="P38" s="712">
        <v>10</v>
      </c>
      <c r="Q38" s="712">
        <v>10</v>
      </c>
      <c r="R38" s="313" t="s">
        <v>1230</v>
      </c>
      <c r="S38" s="712">
        <v>1</v>
      </c>
      <c r="T38" s="328">
        <f>AVERAGE(50, 50, 50, 20, 20)</f>
        <v>38</v>
      </c>
      <c r="U38" s="653">
        <v>0</v>
      </c>
      <c r="V38" s="375" t="s">
        <v>714</v>
      </c>
      <c r="W38" s="360" t="s">
        <v>714</v>
      </c>
      <c r="X38" s="669">
        <v>0</v>
      </c>
      <c r="Y38" s="317">
        <v>1</v>
      </c>
      <c r="Z38" s="296">
        <v>0</v>
      </c>
      <c r="AA38" s="295"/>
      <c r="AB38" s="296"/>
      <c r="AC38" s="304"/>
      <c r="AD38" s="360"/>
      <c r="AE38" s="296"/>
      <c r="AF38" s="365"/>
    </row>
    <row r="39" spans="1:36" ht="27" customHeight="1" thickTop="1">
      <c r="A39" s="354" t="s">
        <v>1245</v>
      </c>
      <c r="B39" s="92">
        <v>4</v>
      </c>
      <c r="C39" s="355" t="s">
        <v>152</v>
      </c>
      <c r="D39" s="92">
        <v>1</v>
      </c>
      <c r="E39" s="268" t="s">
        <v>1605</v>
      </c>
      <c r="F39" s="300">
        <v>45181</v>
      </c>
      <c r="G39" s="361" t="s">
        <v>1634</v>
      </c>
      <c r="H39" s="155" t="s">
        <v>1635</v>
      </c>
      <c r="I39" s="262">
        <v>15</v>
      </c>
      <c r="J39" s="714">
        <v>40</v>
      </c>
      <c r="K39" s="715">
        <v>40</v>
      </c>
      <c r="L39" s="717">
        <v>40</v>
      </c>
      <c r="M39" s="715">
        <f t="shared" si="1"/>
        <v>0</v>
      </c>
      <c r="N39" s="724">
        <v>0</v>
      </c>
      <c r="O39" s="724">
        <v>0</v>
      </c>
      <c r="P39" s="724">
        <v>0</v>
      </c>
      <c r="Q39" s="724">
        <v>0</v>
      </c>
      <c r="R39" s="361" t="s">
        <v>1120</v>
      </c>
      <c r="S39" s="367">
        <v>20.7</v>
      </c>
      <c r="T39" s="368">
        <v>56</v>
      </c>
      <c r="U39" s="654">
        <v>0</v>
      </c>
      <c r="V39" s="374" t="s">
        <v>714</v>
      </c>
      <c r="W39" s="374" t="s">
        <v>714</v>
      </c>
      <c r="X39" s="670">
        <v>0</v>
      </c>
      <c r="Y39" s="231">
        <v>1</v>
      </c>
      <c r="Z39" s="262">
        <v>0</v>
      </c>
      <c r="AA39" s="366" t="s">
        <v>714</v>
      </c>
      <c r="AB39" s="262">
        <v>2</v>
      </c>
      <c r="AC39" s="307">
        <v>0</v>
      </c>
      <c r="AD39" s="361">
        <v>0</v>
      </c>
      <c r="AE39" s="262">
        <v>16</v>
      </c>
      <c r="AF39" s="301" t="s">
        <v>1036</v>
      </c>
    </row>
    <row r="40" spans="1:36" s="147" customFormat="1" ht="27" customHeight="1">
      <c r="A40" s="183" t="s">
        <v>1245</v>
      </c>
      <c r="B40" s="94">
        <v>4</v>
      </c>
      <c r="C40" s="184" t="s">
        <v>152</v>
      </c>
      <c r="D40" s="94">
        <v>2</v>
      </c>
      <c r="E40" s="182" t="s">
        <v>1606</v>
      </c>
      <c r="F40" s="209">
        <v>45175</v>
      </c>
      <c r="G40" s="191" t="s">
        <v>1634</v>
      </c>
      <c r="H40" s="158" t="s">
        <v>1635</v>
      </c>
      <c r="I40" s="248">
        <v>20</v>
      </c>
      <c r="J40" s="716">
        <v>30</v>
      </c>
      <c r="K40" s="715">
        <v>30</v>
      </c>
      <c r="L40" s="685">
        <v>30</v>
      </c>
      <c r="M40" s="715">
        <f t="shared" si="1"/>
        <v>0</v>
      </c>
      <c r="N40" s="721">
        <v>0</v>
      </c>
      <c r="O40" s="721">
        <v>0</v>
      </c>
      <c r="P40" s="721">
        <v>0</v>
      </c>
      <c r="Q40" s="721">
        <v>0</v>
      </c>
      <c r="R40" s="95" t="s">
        <v>944</v>
      </c>
      <c r="S40" s="210">
        <v>4.7</v>
      </c>
      <c r="T40" s="369">
        <v>44</v>
      </c>
      <c r="U40" s="655">
        <v>0</v>
      </c>
      <c r="V40" s="67" t="s">
        <v>714</v>
      </c>
      <c r="W40" s="67" t="s">
        <v>714</v>
      </c>
      <c r="X40" s="671">
        <v>0</v>
      </c>
      <c r="Y40" s="232">
        <v>1</v>
      </c>
      <c r="Z40" s="248">
        <v>0</v>
      </c>
      <c r="AA40" s="230" t="s">
        <v>714</v>
      </c>
      <c r="AB40" s="248">
        <v>2</v>
      </c>
      <c r="AC40" s="236">
        <v>0</v>
      </c>
      <c r="AD40" s="191">
        <v>0</v>
      </c>
      <c r="AE40" s="248">
        <v>7</v>
      </c>
      <c r="AF40" s="254" t="s">
        <v>1506</v>
      </c>
      <c r="AJ40" s="150"/>
    </row>
    <row r="41" spans="1:36" s="147" customFormat="1" ht="27" customHeight="1">
      <c r="A41" s="183" t="s">
        <v>1245</v>
      </c>
      <c r="B41" s="94">
        <v>4</v>
      </c>
      <c r="C41" s="184" t="s">
        <v>152</v>
      </c>
      <c r="D41" s="94">
        <v>3</v>
      </c>
      <c r="E41" s="182" t="s">
        <v>1607</v>
      </c>
      <c r="F41" s="209">
        <v>45181</v>
      </c>
      <c r="G41" s="191" t="s">
        <v>1634</v>
      </c>
      <c r="H41" s="158" t="s">
        <v>1635</v>
      </c>
      <c r="I41" s="248">
        <v>35</v>
      </c>
      <c r="J41" s="716">
        <v>60</v>
      </c>
      <c r="K41" s="715">
        <v>60</v>
      </c>
      <c r="L41" s="685">
        <v>50</v>
      </c>
      <c r="M41" s="715">
        <f t="shared" si="1"/>
        <v>10</v>
      </c>
      <c r="N41" s="721">
        <v>0</v>
      </c>
      <c r="O41" s="721">
        <v>0</v>
      </c>
      <c r="P41" s="721">
        <v>0</v>
      </c>
      <c r="Q41" s="721">
        <v>0</v>
      </c>
      <c r="R41" s="95" t="s">
        <v>944</v>
      </c>
      <c r="S41" s="210">
        <v>24</v>
      </c>
      <c r="T41" s="369">
        <v>62</v>
      </c>
      <c r="U41" s="655">
        <v>0</v>
      </c>
      <c r="V41" s="67" t="s">
        <v>714</v>
      </c>
      <c r="W41" s="67" t="s">
        <v>714</v>
      </c>
      <c r="X41" s="671">
        <v>0</v>
      </c>
      <c r="Y41" s="232">
        <v>1</v>
      </c>
      <c r="Z41" s="248">
        <v>0</v>
      </c>
      <c r="AA41" s="230" t="s">
        <v>714</v>
      </c>
      <c r="AB41" s="248">
        <v>3</v>
      </c>
      <c r="AC41" s="236">
        <v>1</v>
      </c>
      <c r="AD41" s="191">
        <v>0</v>
      </c>
      <c r="AE41" s="248">
        <v>10</v>
      </c>
      <c r="AF41" s="254" t="s">
        <v>1036</v>
      </c>
      <c r="AJ41" s="150"/>
    </row>
    <row r="42" spans="1:36" ht="27" customHeight="1">
      <c r="A42" s="183" t="s">
        <v>1245</v>
      </c>
      <c r="B42" s="94">
        <v>4</v>
      </c>
      <c r="C42" s="184" t="s">
        <v>152</v>
      </c>
      <c r="D42" s="94">
        <v>4</v>
      </c>
      <c r="E42" s="182" t="s">
        <v>1608</v>
      </c>
      <c r="F42" s="209">
        <v>45181</v>
      </c>
      <c r="G42" s="191" t="s">
        <v>1636</v>
      </c>
      <c r="H42" s="158" t="s">
        <v>1635</v>
      </c>
      <c r="I42" s="248">
        <v>15</v>
      </c>
      <c r="J42" s="716">
        <v>20</v>
      </c>
      <c r="K42" s="715">
        <v>20</v>
      </c>
      <c r="L42" s="685">
        <v>30</v>
      </c>
      <c r="M42" s="715">
        <f t="shared" si="1"/>
        <v>-10</v>
      </c>
      <c r="N42" s="721">
        <v>0</v>
      </c>
      <c r="O42" s="721">
        <v>0</v>
      </c>
      <c r="P42" s="721">
        <v>0</v>
      </c>
      <c r="Q42" s="721">
        <v>0</v>
      </c>
      <c r="R42" s="95" t="s">
        <v>945</v>
      </c>
      <c r="S42" s="210">
        <v>14.7</v>
      </c>
      <c r="T42" s="369">
        <v>52</v>
      </c>
      <c r="U42" s="655">
        <v>0</v>
      </c>
      <c r="V42" s="67" t="s">
        <v>714</v>
      </c>
      <c r="W42" s="67" t="s">
        <v>714</v>
      </c>
      <c r="X42" s="671">
        <v>0</v>
      </c>
      <c r="Y42" s="233">
        <v>1</v>
      </c>
      <c r="Z42" s="248">
        <v>0</v>
      </c>
      <c r="AA42" s="230" t="s">
        <v>714</v>
      </c>
      <c r="AB42" s="248">
        <v>3</v>
      </c>
      <c r="AC42" s="236">
        <v>0</v>
      </c>
      <c r="AD42" s="191">
        <v>0</v>
      </c>
      <c r="AE42" s="248">
        <v>13</v>
      </c>
      <c r="AF42" s="254" t="s">
        <v>1036</v>
      </c>
    </row>
    <row r="43" spans="1:36" ht="27" customHeight="1">
      <c r="A43" s="183" t="s">
        <v>1245</v>
      </c>
      <c r="B43" s="94">
        <v>4</v>
      </c>
      <c r="C43" s="184" t="s">
        <v>152</v>
      </c>
      <c r="D43" s="94">
        <v>5</v>
      </c>
      <c r="E43" s="182" t="s">
        <v>1609</v>
      </c>
      <c r="F43" s="209">
        <v>45175</v>
      </c>
      <c r="G43" s="191" t="s">
        <v>1634</v>
      </c>
      <c r="H43" s="158" t="s">
        <v>1635</v>
      </c>
      <c r="I43" s="248">
        <v>15</v>
      </c>
      <c r="J43" s="716">
        <v>10</v>
      </c>
      <c r="K43" s="715">
        <v>10</v>
      </c>
      <c r="L43" s="685">
        <v>10</v>
      </c>
      <c r="M43" s="715">
        <f t="shared" si="1"/>
        <v>0</v>
      </c>
      <c r="N43" s="721">
        <v>0</v>
      </c>
      <c r="O43" s="721">
        <v>0</v>
      </c>
      <c r="P43" s="721">
        <v>0</v>
      </c>
      <c r="Q43" s="721">
        <v>0</v>
      </c>
      <c r="R43" s="361" t="s">
        <v>945</v>
      </c>
      <c r="S43" s="210">
        <v>1.3</v>
      </c>
      <c r="T43" s="369">
        <v>24</v>
      </c>
      <c r="U43" s="655">
        <v>0</v>
      </c>
      <c r="V43" s="67" t="s">
        <v>714</v>
      </c>
      <c r="W43" s="67" t="s">
        <v>714</v>
      </c>
      <c r="X43" s="671">
        <v>0</v>
      </c>
      <c r="Y43" s="232">
        <v>1</v>
      </c>
      <c r="Z43" s="248">
        <v>0</v>
      </c>
      <c r="AA43" s="230" t="s">
        <v>714</v>
      </c>
      <c r="AB43" s="248">
        <v>2</v>
      </c>
      <c r="AC43" s="236">
        <v>0</v>
      </c>
      <c r="AD43" s="191">
        <v>0</v>
      </c>
      <c r="AE43" s="248">
        <v>1</v>
      </c>
      <c r="AF43" s="254" t="s">
        <v>1036</v>
      </c>
    </row>
    <row r="44" spans="1:36" ht="27" customHeight="1">
      <c r="A44" s="183" t="s">
        <v>1245</v>
      </c>
      <c r="B44" s="94">
        <v>4</v>
      </c>
      <c r="C44" s="184" t="s">
        <v>152</v>
      </c>
      <c r="D44" s="94">
        <v>6</v>
      </c>
      <c r="E44" s="182" t="s">
        <v>1610</v>
      </c>
      <c r="F44" s="209">
        <v>45175</v>
      </c>
      <c r="G44" s="191" t="s">
        <v>1634</v>
      </c>
      <c r="H44" s="158" t="s">
        <v>1635</v>
      </c>
      <c r="I44" s="248">
        <v>15</v>
      </c>
      <c r="J44" s="716">
        <v>50</v>
      </c>
      <c r="K44" s="715">
        <v>50</v>
      </c>
      <c r="L44" s="685">
        <v>30</v>
      </c>
      <c r="M44" s="715">
        <f t="shared" si="1"/>
        <v>20</v>
      </c>
      <c r="N44" s="721">
        <v>0</v>
      </c>
      <c r="O44" s="721">
        <v>0</v>
      </c>
      <c r="P44" s="721">
        <v>0</v>
      </c>
      <c r="Q44" s="721">
        <v>0</v>
      </c>
      <c r="R44" s="95" t="s">
        <v>944</v>
      </c>
      <c r="S44" s="210">
        <v>18</v>
      </c>
      <c r="T44" s="369">
        <v>52</v>
      </c>
      <c r="U44" s="655">
        <v>0</v>
      </c>
      <c r="V44" s="67" t="s">
        <v>714</v>
      </c>
      <c r="W44" s="67" t="s">
        <v>714</v>
      </c>
      <c r="X44" s="671">
        <v>0</v>
      </c>
      <c r="Y44" s="232">
        <v>1</v>
      </c>
      <c r="Z44" s="248">
        <v>0</v>
      </c>
      <c r="AA44" s="230" t="s">
        <v>714</v>
      </c>
      <c r="AB44" s="248">
        <v>3</v>
      </c>
      <c r="AC44" s="236">
        <v>0</v>
      </c>
      <c r="AD44" s="191">
        <v>0</v>
      </c>
      <c r="AE44" s="248">
        <v>9</v>
      </c>
      <c r="AF44" s="254" t="s">
        <v>1506</v>
      </c>
    </row>
    <row r="45" spans="1:36" ht="27" customHeight="1">
      <c r="A45" s="183" t="s">
        <v>1245</v>
      </c>
      <c r="B45" s="94">
        <v>4</v>
      </c>
      <c r="C45" s="184" t="s">
        <v>152</v>
      </c>
      <c r="D45" s="94">
        <v>7</v>
      </c>
      <c r="E45" s="182" t="s">
        <v>1611</v>
      </c>
      <c r="F45" s="209">
        <v>45266</v>
      </c>
      <c r="G45" s="191" t="s">
        <v>1634</v>
      </c>
      <c r="H45" s="158" t="s">
        <v>1635</v>
      </c>
      <c r="I45" s="248">
        <v>15</v>
      </c>
      <c r="J45" s="716">
        <v>20</v>
      </c>
      <c r="K45" s="715">
        <v>20</v>
      </c>
      <c r="L45" s="685">
        <v>10</v>
      </c>
      <c r="M45" s="715">
        <f t="shared" si="1"/>
        <v>10</v>
      </c>
      <c r="N45" s="721">
        <v>0</v>
      </c>
      <c r="O45" s="721">
        <v>0</v>
      </c>
      <c r="P45" s="721">
        <v>0</v>
      </c>
      <c r="Q45" s="721">
        <v>0</v>
      </c>
      <c r="R45" s="95" t="s">
        <v>945</v>
      </c>
      <c r="S45" s="210">
        <v>30.7</v>
      </c>
      <c r="T45" s="369">
        <v>55</v>
      </c>
      <c r="U45" s="655">
        <v>0</v>
      </c>
      <c r="V45" s="67" t="s">
        <v>714</v>
      </c>
      <c r="W45" s="67" t="s">
        <v>714</v>
      </c>
      <c r="X45" s="671">
        <v>0</v>
      </c>
      <c r="Y45" s="233">
        <v>1</v>
      </c>
      <c r="Z45" s="248">
        <v>0</v>
      </c>
      <c r="AA45" s="230" t="s">
        <v>714</v>
      </c>
      <c r="AB45" s="248">
        <v>2</v>
      </c>
      <c r="AC45" s="236">
        <v>1</v>
      </c>
      <c r="AD45" s="191">
        <v>0</v>
      </c>
      <c r="AE45" s="248">
        <v>7</v>
      </c>
      <c r="AF45" s="254" t="s">
        <v>1036</v>
      </c>
    </row>
    <row r="46" spans="1:36" ht="27" customHeight="1">
      <c r="A46" s="183" t="s">
        <v>1245</v>
      </c>
      <c r="B46" s="94">
        <v>4</v>
      </c>
      <c r="C46" s="184" t="s">
        <v>152</v>
      </c>
      <c r="D46" s="94">
        <v>8</v>
      </c>
      <c r="E46" s="182" t="s">
        <v>161</v>
      </c>
      <c r="F46" s="209">
        <v>45266</v>
      </c>
      <c r="G46" s="191" t="s">
        <v>1634</v>
      </c>
      <c r="H46" s="158" t="s">
        <v>1635</v>
      </c>
      <c r="I46" s="248">
        <v>15</v>
      </c>
      <c r="J46" s="716" t="s">
        <v>1637</v>
      </c>
      <c r="K46" s="715">
        <v>10</v>
      </c>
      <c r="L46" s="685">
        <v>10</v>
      </c>
      <c r="M46" s="715">
        <f t="shared" si="1"/>
        <v>0</v>
      </c>
      <c r="N46" s="721">
        <v>0</v>
      </c>
      <c r="O46" s="721">
        <v>0</v>
      </c>
      <c r="P46" s="721">
        <v>0</v>
      </c>
      <c r="Q46" s="721">
        <v>0</v>
      </c>
      <c r="R46" s="95" t="s">
        <v>945</v>
      </c>
      <c r="S46" s="210">
        <v>19.3</v>
      </c>
      <c r="T46" s="369">
        <v>26</v>
      </c>
      <c r="U46" s="655">
        <v>0</v>
      </c>
      <c r="V46" s="67" t="s">
        <v>714</v>
      </c>
      <c r="W46" s="67" t="s">
        <v>714</v>
      </c>
      <c r="X46" s="671">
        <v>0</v>
      </c>
      <c r="Y46" s="232">
        <v>1</v>
      </c>
      <c r="Z46" s="248">
        <v>0</v>
      </c>
      <c r="AA46" s="230" t="s">
        <v>714</v>
      </c>
      <c r="AB46" s="248">
        <v>2</v>
      </c>
      <c r="AC46" s="236">
        <v>0</v>
      </c>
      <c r="AD46" s="191">
        <v>0</v>
      </c>
      <c r="AE46" s="248">
        <v>20</v>
      </c>
      <c r="AF46" s="254" t="s">
        <v>1036</v>
      </c>
    </row>
    <row r="47" spans="1:36" ht="27" customHeight="1">
      <c r="A47" s="183" t="s">
        <v>1245</v>
      </c>
      <c r="B47" s="94">
        <v>4</v>
      </c>
      <c r="C47" s="184" t="s">
        <v>152</v>
      </c>
      <c r="D47" s="94">
        <v>9</v>
      </c>
      <c r="E47" s="182" t="s">
        <v>162</v>
      </c>
      <c r="F47" s="209">
        <v>45266</v>
      </c>
      <c r="G47" s="191" t="s">
        <v>1634</v>
      </c>
      <c r="H47" s="158" t="s">
        <v>1635</v>
      </c>
      <c r="I47" s="248">
        <v>15</v>
      </c>
      <c r="J47" s="716">
        <v>20</v>
      </c>
      <c r="K47" s="715">
        <v>20</v>
      </c>
      <c r="L47" s="685">
        <v>10</v>
      </c>
      <c r="M47" s="715">
        <f t="shared" si="1"/>
        <v>10</v>
      </c>
      <c r="N47" s="721">
        <v>0</v>
      </c>
      <c r="O47" s="721">
        <v>0</v>
      </c>
      <c r="P47" s="721">
        <v>0</v>
      </c>
      <c r="Q47" s="721">
        <v>0</v>
      </c>
      <c r="R47" s="95" t="s">
        <v>945</v>
      </c>
      <c r="S47" s="210">
        <v>38.700000000000003</v>
      </c>
      <c r="T47" s="369">
        <v>79</v>
      </c>
      <c r="U47" s="655">
        <v>0</v>
      </c>
      <c r="V47" s="67" t="s">
        <v>714</v>
      </c>
      <c r="W47" s="67" t="s">
        <v>714</v>
      </c>
      <c r="X47" s="671">
        <v>0</v>
      </c>
      <c r="Y47" s="233">
        <v>1</v>
      </c>
      <c r="Z47" s="248">
        <v>0</v>
      </c>
      <c r="AA47" s="230" t="s">
        <v>714</v>
      </c>
      <c r="AB47" s="248">
        <v>3</v>
      </c>
      <c r="AC47" s="236">
        <v>0</v>
      </c>
      <c r="AD47" s="191">
        <v>0</v>
      </c>
      <c r="AE47" s="248">
        <v>11</v>
      </c>
      <c r="AF47" s="254" t="s">
        <v>1506</v>
      </c>
    </row>
    <row r="48" spans="1:36" ht="27" customHeight="1">
      <c r="A48" s="183" t="s">
        <v>1245</v>
      </c>
      <c r="B48" s="94">
        <v>4</v>
      </c>
      <c r="C48" s="184" t="s">
        <v>152</v>
      </c>
      <c r="D48" s="94">
        <v>10</v>
      </c>
      <c r="E48" s="182" t="s">
        <v>163</v>
      </c>
      <c r="F48" s="209">
        <v>45266</v>
      </c>
      <c r="G48" s="191" t="s">
        <v>1634</v>
      </c>
      <c r="H48" s="158" t="s">
        <v>1635</v>
      </c>
      <c r="I48" s="248">
        <v>15</v>
      </c>
      <c r="J48" s="716">
        <v>40</v>
      </c>
      <c r="K48" s="715">
        <v>40</v>
      </c>
      <c r="L48" s="685">
        <v>30</v>
      </c>
      <c r="M48" s="715">
        <f t="shared" si="1"/>
        <v>10</v>
      </c>
      <c r="N48" s="721">
        <v>0</v>
      </c>
      <c r="O48" s="721">
        <v>0</v>
      </c>
      <c r="P48" s="721">
        <v>0</v>
      </c>
      <c r="Q48" s="721">
        <v>0</v>
      </c>
      <c r="R48" s="95" t="s">
        <v>945</v>
      </c>
      <c r="S48" s="210">
        <v>33.299999999999997</v>
      </c>
      <c r="T48" s="369">
        <v>44</v>
      </c>
      <c r="U48" s="655">
        <v>0</v>
      </c>
      <c r="V48" s="67" t="s">
        <v>714</v>
      </c>
      <c r="W48" s="67" t="s">
        <v>714</v>
      </c>
      <c r="X48" s="671">
        <v>0</v>
      </c>
      <c r="Y48" s="232">
        <v>1</v>
      </c>
      <c r="Z48" s="248">
        <v>0</v>
      </c>
      <c r="AA48" s="230" t="s">
        <v>714</v>
      </c>
      <c r="AB48" s="248">
        <v>2</v>
      </c>
      <c r="AC48" s="236">
        <v>0</v>
      </c>
      <c r="AD48" s="191">
        <v>0</v>
      </c>
      <c r="AE48" s="248">
        <v>17</v>
      </c>
      <c r="AF48" s="254" t="s">
        <v>1506</v>
      </c>
    </row>
    <row r="49" spans="1:36" ht="27" customHeight="1">
      <c r="A49" s="183" t="s">
        <v>1245</v>
      </c>
      <c r="B49" s="94">
        <v>4</v>
      </c>
      <c r="C49" s="184" t="s">
        <v>152</v>
      </c>
      <c r="D49" s="94">
        <v>11</v>
      </c>
      <c r="E49" s="182" t="s">
        <v>165</v>
      </c>
      <c r="F49" s="209">
        <v>45266</v>
      </c>
      <c r="G49" s="191" t="s">
        <v>1634</v>
      </c>
      <c r="H49" s="158" t="s">
        <v>1635</v>
      </c>
      <c r="I49" s="248">
        <v>15</v>
      </c>
      <c r="J49" s="716">
        <v>30</v>
      </c>
      <c r="K49" s="715">
        <v>30</v>
      </c>
      <c r="L49" s="685">
        <v>20</v>
      </c>
      <c r="M49" s="715">
        <f t="shared" si="1"/>
        <v>10</v>
      </c>
      <c r="N49" s="721">
        <v>0</v>
      </c>
      <c r="O49" s="721">
        <v>0</v>
      </c>
      <c r="P49" s="721">
        <v>0</v>
      </c>
      <c r="Q49" s="721">
        <v>0</v>
      </c>
      <c r="R49" s="361" t="s">
        <v>945</v>
      </c>
      <c r="S49" s="210">
        <v>24</v>
      </c>
      <c r="T49" s="369">
        <v>39</v>
      </c>
      <c r="U49" s="655">
        <v>0</v>
      </c>
      <c r="V49" s="67" t="s">
        <v>714</v>
      </c>
      <c r="W49" s="67" t="s">
        <v>714</v>
      </c>
      <c r="X49" s="671">
        <v>0.5</v>
      </c>
      <c r="Y49" s="232">
        <v>1</v>
      </c>
      <c r="Z49" s="248">
        <v>0</v>
      </c>
      <c r="AA49" s="230" t="s">
        <v>714</v>
      </c>
      <c r="AB49" s="248">
        <v>4</v>
      </c>
      <c r="AC49" s="236">
        <v>0</v>
      </c>
      <c r="AD49" s="191">
        <v>0</v>
      </c>
      <c r="AE49" s="248">
        <v>3</v>
      </c>
      <c r="AF49" s="254" t="s">
        <v>1641</v>
      </c>
    </row>
    <row r="50" spans="1:36" ht="27" customHeight="1">
      <c r="A50" s="183" t="s">
        <v>1245</v>
      </c>
      <c r="B50" s="94">
        <v>4</v>
      </c>
      <c r="C50" s="184" t="s">
        <v>152</v>
      </c>
      <c r="D50" s="94">
        <v>12</v>
      </c>
      <c r="E50" s="182" t="s">
        <v>1612</v>
      </c>
      <c r="F50" s="209"/>
      <c r="G50" s="191"/>
      <c r="H50" s="158"/>
      <c r="I50" s="248"/>
      <c r="J50" s="447"/>
      <c r="K50" s="626"/>
      <c r="L50" s="621"/>
      <c r="M50" s="715"/>
      <c r="N50" s="721"/>
      <c r="O50" s="721"/>
      <c r="P50" s="721"/>
      <c r="Q50" s="721"/>
      <c r="R50" s="361"/>
      <c r="S50" s="210"/>
      <c r="T50" s="369"/>
      <c r="U50" s="655"/>
      <c r="V50" s="67"/>
      <c r="W50" s="67"/>
      <c r="X50" s="671"/>
      <c r="Y50" s="232"/>
      <c r="Z50" s="248"/>
      <c r="AA50" s="230"/>
      <c r="AB50" s="248"/>
      <c r="AC50" s="236"/>
      <c r="AD50" s="191"/>
      <c r="AE50" s="248"/>
      <c r="AF50" s="254"/>
    </row>
    <row r="51" spans="1:36" ht="27" customHeight="1">
      <c r="A51" s="183" t="s">
        <v>1245</v>
      </c>
      <c r="B51" s="94">
        <v>4</v>
      </c>
      <c r="C51" s="184" t="s">
        <v>152</v>
      </c>
      <c r="D51" s="94">
        <v>13</v>
      </c>
      <c r="E51" s="182" t="s">
        <v>1519</v>
      </c>
      <c r="F51" s="209">
        <v>45266</v>
      </c>
      <c r="G51" s="191" t="s">
        <v>1634</v>
      </c>
      <c r="H51" s="158" t="s">
        <v>1635</v>
      </c>
      <c r="I51" s="248">
        <v>15</v>
      </c>
      <c r="J51" s="716">
        <v>10</v>
      </c>
      <c r="K51" s="715">
        <v>10</v>
      </c>
      <c r="L51" s="685">
        <v>30</v>
      </c>
      <c r="M51" s="715">
        <f>K51-L51</f>
        <v>-20</v>
      </c>
      <c r="N51" s="721">
        <v>0</v>
      </c>
      <c r="O51" s="721">
        <v>0</v>
      </c>
      <c r="P51" s="721">
        <v>0</v>
      </c>
      <c r="Q51" s="721">
        <v>0</v>
      </c>
      <c r="R51" s="95" t="s">
        <v>944</v>
      </c>
      <c r="S51" s="210">
        <v>0.7</v>
      </c>
      <c r="T51" s="369">
        <v>26.666666666666668</v>
      </c>
      <c r="U51" s="655">
        <v>0</v>
      </c>
      <c r="V51" s="67" t="s">
        <v>714</v>
      </c>
      <c r="W51" s="67" t="s">
        <v>714</v>
      </c>
      <c r="X51" s="671">
        <v>0</v>
      </c>
      <c r="Y51" s="233">
        <v>1</v>
      </c>
      <c r="Z51" s="248">
        <v>0</v>
      </c>
      <c r="AA51" s="230" t="s">
        <v>714</v>
      </c>
      <c r="AB51" s="248">
        <v>3</v>
      </c>
      <c r="AC51" s="236">
        <v>0</v>
      </c>
      <c r="AD51" s="191">
        <v>0</v>
      </c>
      <c r="AE51" s="248">
        <v>4</v>
      </c>
      <c r="AF51" s="254" t="s">
        <v>1036</v>
      </c>
    </row>
    <row r="52" spans="1:36" s="147" customFormat="1" ht="27" customHeight="1">
      <c r="A52" s="183" t="s">
        <v>1245</v>
      </c>
      <c r="B52" s="94">
        <v>4</v>
      </c>
      <c r="C52" s="184" t="s">
        <v>152</v>
      </c>
      <c r="D52" s="94">
        <v>14</v>
      </c>
      <c r="E52" s="182" t="s">
        <v>170</v>
      </c>
      <c r="F52" s="65"/>
      <c r="G52" s="65"/>
      <c r="H52" s="65"/>
      <c r="I52" s="66"/>
      <c r="J52" s="692"/>
      <c r="K52" s="715"/>
      <c r="L52" s="685"/>
      <c r="M52" s="715"/>
      <c r="N52" s="697"/>
      <c r="O52" s="697"/>
      <c r="P52" s="697"/>
      <c r="Q52" s="697"/>
      <c r="R52" s="65"/>
      <c r="S52" s="65"/>
      <c r="T52" s="66"/>
      <c r="U52" s="643"/>
      <c r="V52" s="204"/>
      <c r="W52" s="204"/>
      <c r="X52" s="645"/>
      <c r="Y52" s="228"/>
      <c r="Z52" s="66"/>
      <c r="AA52" s="221"/>
      <c r="AB52" s="66"/>
      <c r="AC52" s="228"/>
      <c r="AD52" s="65"/>
      <c r="AE52" s="66"/>
      <c r="AF52" s="151"/>
      <c r="AJ52" s="150"/>
    </row>
    <row r="53" spans="1:36" ht="27" customHeight="1">
      <c r="A53" s="183" t="s">
        <v>1245</v>
      </c>
      <c r="B53" s="94">
        <v>4</v>
      </c>
      <c r="C53" s="184" t="s">
        <v>152</v>
      </c>
      <c r="D53" s="94">
        <v>15</v>
      </c>
      <c r="E53" s="182" t="s">
        <v>172</v>
      </c>
      <c r="F53" s="209">
        <v>45266</v>
      </c>
      <c r="G53" s="191" t="s">
        <v>1634</v>
      </c>
      <c r="H53" s="65" t="s">
        <v>1635</v>
      </c>
      <c r="I53" s="248">
        <v>15</v>
      </c>
      <c r="J53" s="716">
        <v>40</v>
      </c>
      <c r="K53" s="715">
        <v>40</v>
      </c>
      <c r="L53" s="685">
        <v>60</v>
      </c>
      <c r="M53" s="715">
        <f>K53-L53</f>
        <v>-20</v>
      </c>
      <c r="N53" s="721">
        <v>0</v>
      </c>
      <c r="O53" s="721">
        <v>0</v>
      </c>
      <c r="P53" s="721">
        <v>0</v>
      </c>
      <c r="Q53" s="721">
        <v>0</v>
      </c>
      <c r="R53" s="95" t="s">
        <v>945</v>
      </c>
      <c r="S53" s="210">
        <v>16.7</v>
      </c>
      <c r="T53" s="369">
        <v>45.555555555555557</v>
      </c>
      <c r="U53" s="655">
        <v>0</v>
      </c>
      <c r="V53" s="67" t="s">
        <v>714</v>
      </c>
      <c r="W53" s="67" t="s">
        <v>714</v>
      </c>
      <c r="X53" s="671">
        <v>0</v>
      </c>
      <c r="Y53" s="232">
        <v>2</v>
      </c>
      <c r="Z53" s="248">
        <v>0.5</v>
      </c>
      <c r="AA53" s="230" t="s">
        <v>714</v>
      </c>
      <c r="AB53" s="248">
        <v>3</v>
      </c>
      <c r="AC53" s="236">
        <v>0</v>
      </c>
      <c r="AD53" s="191">
        <v>0</v>
      </c>
      <c r="AE53" s="248">
        <v>8</v>
      </c>
      <c r="AF53" s="254" t="s">
        <v>1036</v>
      </c>
    </row>
    <row r="54" spans="1:36" ht="27" customHeight="1">
      <c r="A54" s="183" t="s">
        <v>1245</v>
      </c>
      <c r="B54" s="94">
        <v>4</v>
      </c>
      <c r="C54" s="184" t="s">
        <v>152</v>
      </c>
      <c r="D54" s="94">
        <v>16</v>
      </c>
      <c r="E54" s="182" t="s">
        <v>1613</v>
      </c>
      <c r="F54" s="209">
        <v>45186</v>
      </c>
      <c r="G54" s="191" t="s">
        <v>1634</v>
      </c>
      <c r="H54" s="158" t="s">
        <v>1635</v>
      </c>
      <c r="I54" s="248">
        <v>15</v>
      </c>
      <c r="J54" s="716" t="s">
        <v>1637</v>
      </c>
      <c r="K54" s="715">
        <v>10</v>
      </c>
      <c r="L54" s="621">
        <v>2.5</v>
      </c>
      <c r="M54" s="626">
        <f>K54-L54</f>
        <v>7.5</v>
      </c>
      <c r="N54" s="721">
        <v>0</v>
      </c>
      <c r="O54" s="721">
        <v>0</v>
      </c>
      <c r="P54" s="721">
        <v>0</v>
      </c>
      <c r="Q54" s="721">
        <v>0</v>
      </c>
      <c r="R54" s="95" t="s">
        <v>944</v>
      </c>
      <c r="S54" s="210">
        <v>4</v>
      </c>
      <c r="T54" s="369">
        <v>65</v>
      </c>
      <c r="U54" s="655">
        <v>0</v>
      </c>
      <c r="V54" s="67" t="s">
        <v>714</v>
      </c>
      <c r="W54" s="67" t="s">
        <v>714</v>
      </c>
      <c r="X54" s="671">
        <v>0</v>
      </c>
      <c r="Y54" s="232">
        <v>1</v>
      </c>
      <c r="Z54" s="248">
        <v>0</v>
      </c>
      <c r="AA54" s="230" t="s">
        <v>714</v>
      </c>
      <c r="AB54" s="248">
        <v>2</v>
      </c>
      <c r="AC54" s="236">
        <v>0</v>
      </c>
      <c r="AD54" s="191">
        <v>0</v>
      </c>
      <c r="AE54" s="248">
        <v>0</v>
      </c>
      <c r="AF54" s="254" t="s">
        <v>1506</v>
      </c>
    </row>
    <row r="55" spans="1:36" ht="27" customHeight="1">
      <c r="A55" s="183" t="s">
        <v>1245</v>
      </c>
      <c r="B55" s="94">
        <v>4</v>
      </c>
      <c r="C55" s="184" t="s">
        <v>152</v>
      </c>
      <c r="D55" s="94">
        <v>17</v>
      </c>
      <c r="E55" s="182" t="s">
        <v>175</v>
      </c>
      <c r="F55" s="209">
        <v>45186</v>
      </c>
      <c r="G55" s="191" t="s">
        <v>1634</v>
      </c>
      <c r="H55" s="158" t="s">
        <v>1635</v>
      </c>
      <c r="I55" s="248">
        <v>15</v>
      </c>
      <c r="J55" s="716">
        <v>40</v>
      </c>
      <c r="K55" s="715">
        <v>40</v>
      </c>
      <c r="L55" s="621"/>
      <c r="M55" s="626"/>
      <c r="N55" s="210">
        <v>1.5</v>
      </c>
      <c r="O55" s="210">
        <v>1.5</v>
      </c>
      <c r="P55" s="210">
        <v>1.5</v>
      </c>
      <c r="Q55" s="210">
        <v>1.5</v>
      </c>
      <c r="R55" s="95" t="s">
        <v>945</v>
      </c>
      <c r="S55" s="210">
        <v>23.3</v>
      </c>
      <c r="T55" s="369">
        <v>54</v>
      </c>
      <c r="U55" s="655">
        <v>0</v>
      </c>
      <c r="V55" s="67" t="s">
        <v>714</v>
      </c>
      <c r="W55" s="67" t="s">
        <v>714</v>
      </c>
      <c r="X55" s="671">
        <v>0</v>
      </c>
      <c r="Y55" s="233">
        <v>1</v>
      </c>
      <c r="Z55" s="248">
        <v>0</v>
      </c>
      <c r="AA55" s="230" t="s">
        <v>714</v>
      </c>
      <c r="AB55" s="248">
        <v>3</v>
      </c>
      <c r="AC55" s="236">
        <v>0</v>
      </c>
      <c r="AD55" s="191">
        <v>0</v>
      </c>
      <c r="AE55" s="248">
        <v>22</v>
      </c>
      <c r="AF55" s="254" t="s">
        <v>1036</v>
      </c>
    </row>
    <row r="56" spans="1:36" ht="27" customHeight="1">
      <c r="A56" s="183" t="s">
        <v>1245</v>
      </c>
      <c r="B56" s="94">
        <v>4</v>
      </c>
      <c r="C56" s="184" t="s">
        <v>152</v>
      </c>
      <c r="D56" s="94">
        <v>18</v>
      </c>
      <c r="E56" s="182" t="s">
        <v>176</v>
      </c>
      <c r="F56" s="209">
        <v>45186</v>
      </c>
      <c r="G56" s="191" t="s">
        <v>1634</v>
      </c>
      <c r="H56" s="158" t="s">
        <v>1635</v>
      </c>
      <c r="I56" s="248">
        <v>15</v>
      </c>
      <c r="J56" s="716">
        <v>60</v>
      </c>
      <c r="K56" s="715">
        <v>60</v>
      </c>
      <c r="L56" s="621"/>
      <c r="M56" s="626"/>
      <c r="N56" s="721">
        <v>0</v>
      </c>
      <c r="O56" s="721">
        <v>0</v>
      </c>
      <c r="P56" s="721">
        <v>0</v>
      </c>
      <c r="Q56" s="721">
        <v>0</v>
      </c>
      <c r="R56" s="95" t="s">
        <v>945</v>
      </c>
      <c r="S56" s="210">
        <v>20</v>
      </c>
      <c r="T56" s="369">
        <v>65</v>
      </c>
      <c r="U56" s="655">
        <v>0</v>
      </c>
      <c r="V56" s="67" t="s">
        <v>714</v>
      </c>
      <c r="W56" s="67" t="s">
        <v>714</v>
      </c>
      <c r="X56" s="671">
        <v>0</v>
      </c>
      <c r="Y56" s="232">
        <v>1</v>
      </c>
      <c r="Z56" s="248">
        <v>0</v>
      </c>
      <c r="AA56" s="230" t="s">
        <v>714</v>
      </c>
      <c r="AB56" s="248">
        <v>3</v>
      </c>
      <c r="AC56" s="236">
        <v>0</v>
      </c>
      <c r="AD56" s="191">
        <v>0</v>
      </c>
      <c r="AE56" s="248">
        <v>7</v>
      </c>
      <c r="AF56" s="254" t="s">
        <v>1506</v>
      </c>
    </row>
    <row r="57" spans="1:36" ht="27" customHeight="1">
      <c r="A57" s="183" t="s">
        <v>1245</v>
      </c>
      <c r="B57" s="94">
        <v>4</v>
      </c>
      <c r="C57" s="184" t="s">
        <v>152</v>
      </c>
      <c r="D57" s="94">
        <v>19</v>
      </c>
      <c r="E57" s="182" t="s">
        <v>951</v>
      </c>
      <c r="F57" s="209">
        <v>45186</v>
      </c>
      <c r="G57" s="191" t="s">
        <v>1634</v>
      </c>
      <c r="H57" s="158" t="s">
        <v>1635</v>
      </c>
      <c r="I57" s="248">
        <v>15</v>
      </c>
      <c r="J57" s="716">
        <v>40</v>
      </c>
      <c r="K57" s="715">
        <v>40</v>
      </c>
      <c r="L57" s="621"/>
      <c r="M57" s="626"/>
      <c r="N57" s="721">
        <v>0</v>
      </c>
      <c r="O57" s="721">
        <v>0</v>
      </c>
      <c r="P57" s="721">
        <v>0</v>
      </c>
      <c r="Q57" s="721">
        <v>0</v>
      </c>
      <c r="R57" s="95" t="s">
        <v>945</v>
      </c>
      <c r="S57" s="210">
        <v>16.7</v>
      </c>
      <c r="T57" s="369">
        <v>31.666666666666668</v>
      </c>
      <c r="U57" s="655">
        <v>0</v>
      </c>
      <c r="V57" s="67" t="s">
        <v>714</v>
      </c>
      <c r="W57" s="67" t="s">
        <v>714</v>
      </c>
      <c r="X57" s="671">
        <v>0</v>
      </c>
      <c r="Y57" s="232">
        <v>2</v>
      </c>
      <c r="Z57" s="248">
        <v>0</v>
      </c>
      <c r="AA57" s="230" t="s">
        <v>714</v>
      </c>
      <c r="AB57" s="248">
        <v>3</v>
      </c>
      <c r="AC57" s="236">
        <v>0</v>
      </c>
      <c r="AD57" s="191">
        <v>0</v>
      </c>
      <c r="AE57" s="248">
        <v>9</v>
      </c>
      <c r="AF57" s="254" t="s">
        <v>1506</v>
      </c>
    </row>
    <row r="58" spans="1:36" ht="27" customHeight="1">
      <c r="A58" s="183" t="s">
        <v>1245</v>
      </c>
      <c r="B58" s="94">
        <v>4</v>
      </c>
      <c r="C58" s="184" t="s">
        <v>152</v>
      </c>
      <c r="D58" s="94">
        <v>20</v>
      </c>
      <c r="E58" s="182" t="s">
        <v>952</v>
      </c>
      <c r="F58" s="209">
        <v>45186</v>
      </c>
      <c r="G58" s="191" t="s">
        <v>1634</v>
      </c>
      <c r="H58" s="158" t="s">
        <v>1635</v>
      </c>
      <c r="I58" s="248">
        <v>15</v>
      </c>
      <c r="J58" s="716">
        <v>30</v>
      </c>
      <c r="K58" s="715">
        <v>30</v>
      </c>
      <c r="L58" s="621"/>
      <c r="M58" s="626"/>
      <c r="N58" s="210">
        <v>2.5</v>
      </c>
      <c r="O58" s="721">
        <v>45</v>
      </c>
      <c r="P58" s="210">
        <v>0.5</v>
      </c>
      <c r="Q58" s="721">
        <v>45</v>
      </c>
      <c r="R58" s="95" t="s">
        <v>945</v>
      </c>
      <c r="S58" s="210">
        <v>29.3</v>
      </c>
      <c r="T58" s="369">
        <v>46.25</v>
      </c>
      <c r="U58" s="655">
        <v>0</v>
      </c>
      <c r="V58" s="67" t="s">
        <v>714</v>
      </c>
      <c r="W58" s="67" t="s">
        <v>714</v>
      </c>
      <c r="X58" s="671">
        <v>0</v>
      </c>
      <c r="Y58" s="232">
        <v>1</v>
      </c>
      <c r="Z58" s="248">
        <v>0</v>
      </c>
      <c r="AA58" s="230" t="s">
        <v>714</v>
      </c>
      <c r="AB58" s="248">
        <v>2</v>
      </c>
      <c r="AC58" s="236">
        <v>0</v>
      </c>
      <c r="AD58" s="191">
        <v>0</v>
      </c>
      <c r="AE58" s="248">
        <v>4</v>
      </c>
      <c r="AF58" s="254" t="s">
        <v>1036</v>
      </c>
    </row>
    <row r="59" spans="1:36" ht="27" customHeight="1">
      <c r="A59" s="183" t="s">
        <v>1245</v>
      </c>
      <c r="B59" s="94">
        <v>4</v>
      </c>
      <c r="C59" s="184" t="s">
        <v>152</v>
      </c>
      <c r="D59" s="94">
        <v>21</v>
      </c>
      <c r="E59" s="182" t="s">
        <v>953</v>
      </c>
      <c r="F59" s="209">
        <v>45186</v>
      </c>
      <c r="G59" s="191" t="s">
        <v>1634</v>
      </c>
      <c r="H59" s="158" t="s">
        <v>1635</v>
      </c>
      <c r="I59" s="248">
        <v>15</v>
      </c>
      <c r="J59" s="716">
        <v>50</v>
      </c>
      <c r="K59" s="715">
        <v>50</v>
      </c>
      <c r="L59" s="621"/>
      <c r="M59" s="626"/>
      <c r="N59" s="721">
        <v>0</v>
      </c>
      <c r="O59" s="721">
        <v>0</v>
      </c>
      <c r="P59" s="721">
        <v>0</v>
      </c>
      <c r="Q59" s="721">
        <v>0</v>
      </c>
      <c r="R59" s="95" t="s">
        <v>945</v>
      </c>
      <c r="S59" s="210">
        <v>23.3</v>
      </c>
      <c r="T59" s="369">
        <v>39</v>
      </c>
      <c r="U59" s="655">
        <v>0</v>
      </c>
      <c r="V59" s="67" t="s">
        <v>714</v>
      </c>
      <c r="W59" s="67" t="s">
        <v>714</v>
      </c>
      <c r="X59" s="671">
        <v>0</v>
      </c>
      <c r="Y59" s="233">
        <v>1</v>
      </c>
      <c r="Z59" s="248">
        <v>0</v>
      </c>
      <c r="AA59" s="230" t="s">
        <v>714</v>
      </c>
      <c r="AB59" s="248">
        <v>2</v>
      </c>
      <c r="AC59" s="236">
        <v>1</v>
      </c>
      <c r="AD59" s="191">
        <v>0</v>
      </c>
      <c r="AE59" s="248">
        <v>23</v>
      </c>
      <c r="AF59" s="254" t="s">
        <v>1506</v>
      </c>
    </row>
    <row r="60" spans="1:36" ht="27" customHeight="1">
      <c r="A60" s="183" t="s">
        <v>1245</v>
      </c>
      <c r="B60" s="94">
        <v>4</v>
      </c>
      <c r="C60" s="184" t="s">
        <v>152</v>
      </c>
      <c r="D60" s="94">
        <v>22</v>
      </c>
      <c r="E60" s="182" t="s">
        <v>954</v>
      </c>
      <c r="F60" s="209">
        <v>45186</v>
      </c>
      <c r="G60" s="191" t="s">
        <v>1634</v>
      </c>
      <c r="H60" s="158" t="s">
        <v>1635</v>
      </c>
      <c r="I60" s="248">
        <v>15</v>
      </c>
      <c r="J60" s="716">
        <v>50</v>
      </c>
      <c r="K60" s="715">
        <v>50</v>
      </c>
      <c r="L60" s="621"/>
      <c r="M60" s="626"/>
      <c r="N60" s="721">
        <v>0</v>
      </c>
      <c r="O60" s="721">
        <v>0</v>
      </c>
      <c r="P60" s="721">
        <v>0</v>
      </c>
      <c r="Q60" s="721">
        <v>0</v>
      </c>
      <c r="R60" s="95" t="s">
        <v>945</v>
      </c>
      <c r="S60" s="210">
        <v>32</v>
      </c>
      <c r="T60" s="369">
        <v>47</v>
      </c>
      <c r="U60" s="655">
        <v>0</v>
      </c>
      <c r="V60" s="67" t="s">
        <v>714</v>
      </c>
      <c r="W60" s="67" t="s">
        <v>714</v>
      </c>
      <c r="X60" s="671">
        <v>0</v>
      </c>
      <c r="Y60" s="232">
        <v>1</v>
      </c>
      <c r="Z60" s="248">
        <v>0</v>
      </c>
      <c r="AA60" s="230" t="s">
        <v>714</v>
      </c>
      <c r="AB60" s="248">
        <v>3</v>
      </c>
      <c r="AC60" s="236">
        <v>0</v>
      </c>
      <c r="AD60" s="191">
        <v>0</v>
      </c>
      <c r="AE60" s="248">
        <v>17</v>
      </c>
      <c r="AF60" s="254" t="s">
        <v>1506</v>
      </c>
    </row>
    <row r="61" spans="1:36" s="147" customFormat="1" ht="27" customHeight="1">
      <c r="A61" s="183" t="s">
        <v>1245</v>
      </c>
      <c r="B61" s="94">
        <v>4</v>
      </c>
      <c r="C61" s="184" t="s">
        <v>152</v>
      </c>
      <c r="D61" s="94">
        <v>23</v>
      </c>
      <c r="E61" s="182" t="s">
        <v>1614</v>
      </c>
      <c r="F61" s="209">
        <v>45246</v>
      </c>
      <c r="G61" s="191" t="s">
        <v>1634</v>
      </c>
      <c r="H61" s="158" t="s">
        <v>1635</v>
      </c>
      <c r="I61" s="248">
        <v>15</v>
      </c>
      <c r="J61" s="716">
        <v>20</v>
      </c>
      <c r="K61" s="715">
        <v>20</v>
      </c>
      <c r="L61" s="685">
        <v>20</v>
      </c>
      <c r="M61" s="715">
        <f>K61-L61</f>
        <v>0</v>
      </c>
      <c r="N61" s="721">
        <v>0</v>
      </c>
      <c r="O61" s="721">
        <v>0</v>
      </c>
      <c r="P61" s="721">
        <v>0</v>
      </c>
      <c r="Q61" s="721">
        <v>0</v>
      </c>
      <c r="R61" s="95" t="s">
        <v>945</v>
      </c>
      <c r="S61" s="210">
        <v>15.3</v>
      </c>
      <c r="T61" s="248">
        <v>24</v>
      </c>
      <c r="U61" s="655">
        <v>0</v>
      </c>
      <c r="V61" s="67" t="s">
        <v>714</v>
      </c>
      <c r="W61" s="67" t="s">
        <v>714</v>
      </c>
      <c r="X61" s="671">
        <v>0</v>
      </c>
      <c r="Y61" s="232">
        <v>1</v>
      </c>
      <c r="Z61" s="248">
        <v>0</v>
      </c>
      <c r="AA61" s="230" t="s">
        <v>714</v>
      </c>
      <c r="AB61" s="248">
        <v>1</v>
      </c>
      <c r="AC61" s="236">
        <v>0</v>
      </c>
      <c r="AD61" s="191">
        <v>0</v>
      </c>
      <c r="AE61" s="248">
        <v>11</v>
      </c>
      <c r="AF61" s="254" t="s">
        <v>1506</v>
      </c>
      <c r="AJ61" s="150"/>
    </row>
    <row r="62" spans="1:36" s="147" customFormat="1" ht="27" customHeight="1">
      <c r="A62" s="183" t="s">
        <v>1245</v>
      </c>
      <c r="B62" s="94">
        <v>4</v>
      </c>
      <c r="C62" s="184" t="s">
        <v>152</v>
      </c>
      <c r="D62" s="94">
        <v>24</v>
      </c>
      <c r="E62" s="182" t="s">
        <v>1615</v>
      </c>
      <c r="F62" s="209">
        <v>45246</v>
      </c>
      <c r="G62" s="191" t="s">
        <v>1634</v>
      </c>
      <c r="H62" s="158" t="s">
        <v>1635</v>
      </c>
      <c r="I62" s="248">
        <v>15</v>
      </c>
      <c r="J62" s="716">
        <v>60</v>
      </c>
      <c r="K62" s="715">
        <v>60</v>
      </c>
      <c r="L62" s="685">
        <v>50</v>
      </c>
      <c r="M62" s="715">
        <f>K62-L62</f>
        <v>10</v>
      </c>
      <c r="N62" s="721">
        <v>0</v>
      </c>
      <c r="O62" s="721">
        <v>0</v>
      </c>
      <c r="P62" s="721">
        <v>0</v>
      </c>
      <c r="Q62" s="721">
        <v>0</v>
      </c>
      <c r="R62" s="95" t="s">
        <v>945</v>
      </c>
      <c r="S62" s="210">
        <v>20</v>
      </c>
      <c r="T62" s="369">
        <v>76</v>
      </c>
      <c r="U62" s="655">
        <v>0</v>
      </c>
      <c r="V62" s="67" t="s">
        <v>714</v>
      </c>
      <c r="W62" s="67" t="s">
        <v>714</v>
      </c>
      <c r="X62" s="671">
        <v>0</v>
      </c>
      <c r="Y62" s="232">
        <v>1</v>
      </c>
      <c r="Z62" s="248">
        <v>0</v>
      </c>
      <c r="AA62" s="230" t="s">
        <v>714</v>
      </c>
      <c r="AB62" s="248">
        <v>2</v>
      </c>
      <c r="AC62" s="236">
        <v>0</v>
      </c>
      <c r="AD62" s="191">
        <v>0</v>
      </c>
      <c r="AE62" s="248">
        <v>30</v>
      </c>
      <c r="AF62" s="254" t="s">
        <v>1036</v>
      </c>
      <c r="AJ62" s="150"/>
    </row>
    <row r="63" spans="1:36" ht="27" customHeight="1">
      <c r="A63" s="183" t="s">
        <v>1245</v>
      </c>
      <c r="B63" s="94">
        <v>4</v>
      </c>
      <c r="C63" s="184" t="s">
        <v>152</v>
      </c>
      <c r="D63" s="94">
        <v>25</v>
      </c>
      <c r="E63" s="182" t="s">
        <v>1616</v>
      </c>
      <c r="F63" s="209">
        <v>45246</v>
      </c>
      <c r="G63" s="191" t="s">
        <v>1634</v>
      </c>
      <c r="H63" s="158" t="s">
        <v>1635</v>
      </c>
      <c r="I63" s="248">
        <v>15</v>
      </c>
      <c r="J63" s="716">
        <v>60</v>
      </c>
      <c r="K63" s="715">
        <v>60</v>
      </c>
      <c r="L63" s="685">
        <v>50</v>
      </c>
      <c r="M63" s="715">
        <f>K63-L63</f>
        <v>10</v>
      </c>
      <c r="N63" s="721">
        <v>0</v>
      </c>
      <c r="O63" s="721">
        <v>0</v>
      </c>
      <c r="P63" s="721">
        <v>0</v>
      </c>
      <c r="Q63" s="721">
        <v>0</v>
      </c>
      <c r="R63" s="95" t="s">
        <v>944</v>
      </c>
      <c r="S63" s="210">
        <v>16</v>
      </c>
      <c r="T63" s="369">
        <v>86</v>
      </c>
      <c r="U63" s="655">
        <v>0.5</v>
      </c>
      <c r="V63" s="67" t="s">
        <v>955</v>
      </c>
      <c r="W63" s="67" t="s">
        <v>955</v>
      </c>
      <c r="X63" s="671">
        <v>0.5</v>
      </c>
      <c r="Y63" s="233">
        <v>1</v>
      </c>
      <c r="Z63" s="248">
        <v>0</v>
      </c>
      <c r="AA63" s="230" t="s">
        <v>714</v>
      </c>
      <c r="AB63" s="248">
        <v>3</v>
      </c>
      <c r="AC63" s="236">
        <v>1</v>
      </c>
      <c r="AD63" s="191">
        <v>0</v>
      </c>
      <c r="AE63" s="248">
        <v>17</v>
      </c>
      <c r="AF63" s="254" t="s">
        <v>1506</v>
      </c>
    </row>
    <row r="64" spans="1:36" s="147" customFormat="1" ht="27" customHeight="1">
      <c r="A64" s="183" t="s">
        <v>1245</v>
      </c>
      <c r="B64" s="94">
        <v>4</v>
      </c>
      <c r="C64" s="184" t="s">
        <v>152</v>
      </c>
      <c r="D64" s="94">
        <v>26</v>
      </c>
      <c r="E64" s="181" t="s">
        <v>1617</v>
      </c>
      <c r="F64" s="209">
        <v>45246</v>
      </c>
      <c r="G64" s="191" t="s">
        <v>1634</v>
      </c>
      <c r="H64" s="178" t="s">
        <v>1498</v>
      </c>
      <c r="I64" s="248">
        <v>15</v>
      </c>
      <c r="J64" s="716">
        <v>70</v>
      </c>
      <c r="K64" s="715">
        <v>70</v>
      </c>
      <c r="L64" s="685">
        <v>60</v>
      </c>
      <c r="M64" s="715">
        <f>K64-L64</f>
        <v>10</v>
      </c>
      <c r="N64" s="721">
        <v>0</v>
      </c>
      <c r="O64" s="721">
        <v>0</v>
      </c>
      <c r="P64" s="721">
        <v>0</v>
      </c>
      <c r="Q64" s="721">
        <v>0</v>
      </c>
      <c r="R64" s="191" t="s">
        <v>944</v>
      </c>
      <c r="S64" s="191">
        <v>24.7</v>
      </c>
      <c r="T64" s="248">
        <v>78</v>
      </c>
      <c r="U64" s="655">
        <v>0</v>
      </c>
      <c r="V64" s="67" t="s">
        <v>714</v>
      </c>
      <c r="W64" s="67" t="s">
        <v>714</v>
      </c>
      <c r="X64" s="671">
        <v>0</v>
      </c>
      <c r="Y64" s="236">
        <v>1</v>
      </c>
      <c r="Z64" s="248">
        <v>0</v>
      </c>
      <c r="AA64" s="230" t="s">
        <v>714</v>
      </c>
      <c r="AB64" s="248">
        <v>2</v>
      </c>
      <c r="AC64" s="236">
        <v>2</v>
      </c>
      <c r="AD64" s="191">
        <v>0</v>
      </c>
      <c r="AE64" s="248">
        <v>18</v>
      </c>
      <c r="AF64" s="254" t="s">
        <v>1506</v>
      </c>
      <c r="AJ64" s="150"/>
    </row>
    <row r="65" spans="1:36" ht="27" customHeight="1">
      <c r="A65" s="183" t="s">
        <v>1245</v>
      </c>
      <c r="B65" s="94">
        <v>4</v>
      </c>
      <c r="C65" s="184" t="s">
        <v>152</v>
      </c>
      <c r="D65" s="94">
        <v>27</v>
      </c>
      <c r="E65" s="181" t="s">
        <v>1618</v>
      </c>
      <c r="F65" s="209">
        <v>45186</v>
      </c>
      <c r="G65" s="191" t="s">
        <v>1634</v>
      </c>
      <c r="H65" s="158" t="s">
        <v>1635</v>
      </c>
      <c r="I65" s="248">
        <v>15</v>
      </c>
      <c r="J65" s="716">
        <v>60</v>
      </c>
      <c r="K65" s="715">
        <v>60</v>
      </c>
      <c r="L65" s="621"/>
      <c r="M65" s="715"/>
      <c r="N65" s="721">
        <v>0</v>
      </c>
      <c r="O65" s="721">
        <v>0</v>
      </c>
      <c r="P65" s="721">
        <v>0</v>
      </c>
      <c r="Q65" s="721">
        <v>0</v>
      </c>
      <c r="R65" s="95" t="s">
        <v>944</v>
      </c>
      <c r="S65" s="210">
        <v>36</v>
      </c>
      <c r="T65" s="369">
        <v>62</v>
      </c>
      <c r="U65" s="655">
        <v>0</v>
      </c>
      <c r="V65" s="67" t="s">
        <v>714</v>
      </c>
      <c r="W65" s="67" t="s">
        <v>714</v>
      </c>
      <c r="X65" s="671">
        <v>0</v>
      </c>
      <c r="Y65" s="232">
        <v>1</v>
      </c>
      <c r="Z65" s="248">
        <v>0</v>
      </c>
      <c r="AA65" s="230" t="s">
        <v>714</v>
      </c>
      <c r="AB65" s="248">
        <v>2</v>
      </c>
      <c r="AC65" s="236">
        <v>0</v>
      </c>
      <c r="AD65" s="191">
        <v>0</v>
      </c>
      <c r="AE65" s="248">
        <v>20</v>
      </c>
      <c r="AF65" s="254" t="s">
        <v>1506</v>
      </c>
    </row>
    <row r="66" spans="1:36" ht="27" customHeight="1">
      <c r="A66" s="183" t="s">
        <v>1245</v>
      </c>
      <c r="B66" s="94">
        <v>4</v>
      </c>
      <c r="C66" s="184" t="s">
        <v>152</v>
      </c>
      <c r="D66" s="94">
        <v>28</v>
      </c>
      <c r="E66" s="182" t="s">
        <v>177</v>
      </c>
      <c r="F66" s="209">
        <v>45186</v>
      </c>
      <c r="G66" s="191" t="s">
        <v>1634</v>
      </c>
      <c r="H66" s="158" t="s">
        <v>1635</v>
      </c>
      <c r="I66" s="248">
        <v>15</v>
      </c>
      <c r="J66" s="716">
        <v>70</v>
      </c>
      <c r="K66" s="715">
        <v>70</v>
      </c>
      <c r="L66" s="685">
        <v>80</v>
      </c>
      <c r="M66" s="715">
        <f>K66-L66</f>
        <v>-10</v>
      </c>
      <c r="N66" s="721">
        <v>0</v>
      </c>
      <c r="O66" s="721">
        <v>0</v>
      </c>
      <c r="P66" s="721">
        <v>0</v>
      </c>
      <c r="Q66" s="721">
        <v>0</v>
      </c>
      <c r="R66" s="95" t="s">
        <v>945</v>
      </c>
      <c r="S66" s="210">
        <v>16.7</v>
      </c>
      <c r="T66" s="369">
        <v>101</v>
      </c>
      <c r="U66" s="655">
        <v>0</v>
      </c>
      <c r="V66" s="67" t="s">
        <v>714</v>
      </c>
      <c r="W66" s="67" t="s">
        <v>714</v>
      </c>
      <c r="X66" s="671">
        <v>0</v>
      </c>
      <c r="Y66" s="232">
        <v>1</v>
      </c>
      <c r="Z66" s="248">
        <v>0</v>
      </c>
      <c r="AA66" s="230" t="s">
        <v>714</v>
      </c>
      <c r="AB66" s="248">
        <v>2</v>
      </c>
      <c r="AC66" s="236">
        <v>1</v>
      </c>
      <c r="AD66" s="191">
        <v>0</v>
      </c>
      <c r="AE66" s="248">
        <v>6</v>
      </c>
      <c r="AF66" s="254" t="s">
        <v>1506</v>
      </c>
    </row>
    <row r="67" spans="1:36" s="147" customFormat="1" ht="27" customHeight="1">
      <c r="A67" s="183" t="s">
        <v>1245</v>
      </c>
      <c r="B67" s="94">
        <v>4</v>
      </c>
      <c r="C67" s="184" t="s">
        <v>152</v>
      </c>
      <c r="D67" s="94">
        <v>29</v>
      </c>
      <c r="E67" s="182" t="s">
        <v>178</v>
      </c>
      <c r="F67" s="209"/>
      <c r="G67" s="191"/>
      <c r="H67" s="178"/>
      <c r="I67" s="248"/>
      <c r="J67" s="447"/>
      <c r="K67" s="626"/>
      <c r="L67" s="621"/>
      <c r="M67" s="626"/>
      <c r="N67" s="721"/>
      <c r="O67" s="721"/>
      <c r="P67" s="721"/>
      <c r="Q67" s="721"/>
      <c r="R67" s="191"/>
      <c r="S67" s="191"/>
      <c r="T67" s="248"/>
      <c r="U67" s="655"/>
      <c r="V67" s="67"/>
      <c r="W67" s="67"/>
      <c r="X67" s="671"/>
      <c r="Y67" s="236"/>
      <c r="Z67" s="248"/>
      <c r="AA67" s="230"/>
      <c r="AB67" s="248"/>
      <c r="AC67" s="236"/>
      <c r="AD67" s="191"/>
      <c r="AE67" s="248"/>
      <c r="AF67" s="364"/>
      <c r="AJ67" s="150"/>
    </row>
    <row r="68" spans="1:36" s="147" customFormat="1" ht="27" customHeight="1">
      <c r="A68" s="183" t="s">
        <v>1245</v>
      </c>
      <c r="B68" s="94">
        <v>4</v>
      </c>
      <c r="C68" s="184" t="s">
        <v>152</v>
      </c>
      <c r="D68" s="94">
        <v>30</v>
      </c>
      <c r="E68" s="182" t="s">
        <v>182</v>
      </c>
      <c r="F68" s="209"/>
      <c r="G68" s="191"/>
      <c r="H68" s="178"/>
      <c r="I68" s="248"/>
      <c r="J68" s="447"/>
      <c r="K68" s="626"/>
      <c r="L68" s="621"/>
      <c r="M68" s="626"/>
      <c r="N68" s="721"/>
      <c r="O68" s="721"/>
      <c r="P68" s="721"/>
      <c r="Q68" s="721"/>
      <c r="R68" s="191"/>
      <c r="S68" s="191"/>
      <c r="T68" s="248"/>
      <c r="U68" s="655"/>
      <c r="V68" s="67"/>
      <c r="W68" s="67"/>
      <c r="X68" s="671"/>
      <c r="Y68" s="236"/>
      <c r="Z68" s="248"/>
      <c r="AA68" s="230"/>
      <c r="AB68" s="248"/>
      <c r="AC68" s="236"/>
      <c r="AD68" s="191"/>
      <c r="AE68" s="248"/>
      <c r="AF68" s="364"/>
      <c r="AJ68" s="150"/>
    </row>
    <row r="69" spans="1:36" s="147" customFormat="1" ht="27" customHeight="1">
      <c r="A69" s="183" t="s">
        <v>1245</v>
      </c>
      <c r="B69" s="94">
        <v>4</v>
      </c>
      <c r="C69" s="184" t="s">
        <v>152</v>
      </c>
      <c r="D69" s="94">
        <v>31</v>
      </c>
      <c r="E69" s="182" t="s">
        <v>183</v>
      </c>
      <c r="F69" s="209"/>
      <c r="G69" s="191"/>
      <c r="H69" s="178"/>
      <c r="I69" s="248"/>
      <c r="J69" s="447"/>
      <c r="K69" s="626"/>
      <c r="L69" s="621"/>
      <c r="M69" s="626"/>
      <c r="N69" s="721"/>
      <c r="O69" s="721"/>
      <c r="P69" s="721"/>
      <c r="Q69" s="721"/>
      <c r="R69" s="191"/>
      <c r="S69" s="191"/>
      <c r="T69" s="248"/>
      <c r="U69" s="655"/>
      <c r="V69" s="67"/>
      <c r="W69" s="67"/>
      <c r="X69" s="671"/>
      <c r="Y69" s="236"/>
      <c r="Z69" s="248"/>
      <c r="AA69" s="230"/>
      <c r="AB69" s="248"/>
      <c r="AC69" s="236"/>
      <c r="AD69" s="191"/>
      <c r="AE69" s="248"/>
      <c r="AF69" s="364"/>
      <c r="AJ69" s="150"/>
    </row>
    <row r="70" spans="1:36" s="147" customFormat="1" ht="27" customHeight="1">
      <c r="A70" s="183" t="s">
        <v>1245</v>
      </c>
      <c r="B70" s="94">
        <v>4</v>
      </c>
      <c r="C70" s="184" t="s">
        <v>152</v>
      </c>
      <c r="D70" s="94">
        <v>32</v>
      </c>
      <c r="E70" s="182" t="s">
        <v>185</v>
      </c>
      <c r="F70" s="209"/>
      <c r="G70" s="191"/>
      <c r="H70" s="178"/>
      <c r="I70" s="248"/>
      <c r="J70" s="447"/>
      <c r="K70" s="626"/>
      <c r="L70" s="621"/>
      <c r="M70" s="626"/>
      <c r="N70" s="721"/>
      <c r="O70" s="721"/>
      <c r="P70" s="721"/>
      <c r="Q70" s="721"/>
      <c r="R70" s="191"/>
      <c r="S70" s="191"/>
      <c r="T70" s="248"/>
      <c r="U70" s="655"/>
      <c r="V70" s="67"/>
      <c r="W70" s="67"/>
      <c r="X70" s="671"/>
      <c r="Y70" s="236"/>
      <c r="Z70" s="248"/>
      <c r="AA70" s="230"/>
      <c r="AB70" s="248"/>
      <c r="AC70" s="236"/>
      <c r="AD70" s="191"/>
      <c r="AE70" s="248"/>
      <c r="AF70" s="364"/>
      <c r="AJ70" s="150"/>
    </row>
    <row r="71" spans="1:36" s="147" customFormat="1" ht="27" customHeight="1">
      <c r="A71" s="183" t="s">
        <v>1245</v>
      </c>
      <c r="B71" s="94">
        <v>4</v>
      </c>
      <c r="C71" s="184" t="s">
        <v>152</v>
      </c>
      <c r="D71" s="94">
        <v>33</v>
      </c>
      <c r="E71" s="182" t="s">
        <v>186</v>
      </c>
      <c r="F71" s="209">
        <v>45181</v>
      </c>
      <c r="G71" s="191" t="s">
        <v>1634</v>
      </c>
      <c r="H71" s="158" t="s">
        <v>1635</v>
      </c>
      <c r="I71" s="248">
        <v>15</v>
      </c>
      <c r="J71" s="716">
        <v>40</v>
      </c>
      <c r="K71" s="715">
        <v>40</v>
      </c>
      <c r="L71" s="685">
        <v>60</v>
      </c>
      <c r="M71" s="715">
        <f>K71-L71</f>
        <v>-20</v>
      </c>
      <c r="N71" s="721">
        <v>0</v>
      </c>
      <c r="O71" s="721">
        <v>0</v>
      </c>
      <c r="P71" s="721">
        <v>0</v>
      </c>
      <c r="Q71" s="721">
        <v>0</v>
      </c>
      <c r="R71" s="95" t="s">
        <v>944</v>
      </c>
      <c r="S71" s="210">
        <v>14.7</v>
      </c>
      <c r="T71" s="369">
        <v>124</v>
      </c>
      <c r="U71" s="655">
        <v>0</v>
      </c>
      <c r="V71" s="67" t="s">
        <v>714</v>
      </c>
      <c r="W71" s="67" t="s">
        <v>714</v>
      </c>
      <c r="X71" s="671">
        <v>0</v>
      </c>
      <c r="Y71" s="232">
        <v>1</v>
      </c>
      <c r="Z71" s="248">
        <v>0</v>
      </c>
      <c r="AA71" s="230" t="s">
        <v>714</v>
      </c>
      <c r="AB71" s="248">
        <v>4</v>
      </c>
      <c r="AC71" s="236">
        <v>0</v>
      </c>
      <c r="AD71" s="191">
        <v>0</v>
      </c>
      <c r="AE71" s="248">
        <v>15</v>
      </c>
      <c r="AF71" s="254" t="s">
        <v>1036</v>
      </c>
      <c r="AJ71" s="150"/>
    </row>
    <row r="72" spans="1:36" s="147" customFormat="1" ht="27" customHeight="1">
      <c r="A72" s="183" t="s">
        <v>1245</v>
      </c>
      <c r="B72" s="94">
        <v>4</v>
      </c>
      <c r="C72" s="184" t="s">
        <v>152</v>
      </c>
      <c r="D72" s="94">
        <v>34</v>
      </c>
      <c r="E72" s="182" t="s">
        <v>187</v>
      </c>
      <c r="F72" s="209"/>
      <c r="G72" s="191"/>
      <c r="H72" s="178"/>
      <c r="I72" s="248"/>
      <c r="J72" s="447"/>
      <c r="K72" s="626"/>
      <c r="L72" s="621"/>
      <c r="M72" s="626"/>
      <c r="N72" s="721"/>
      <c r="O72" s="721"/>
      <c r="P72" s="721"/>
      <c r="Q72" s="721"/>
      <c r="R72" s="191"/>
      <c r="S72" s="191"/>
      <c r="T72" s="248"/>
      <c r="U72" s="655"/>
      <c r="V72" s="67"/>
      <c r="W72" s="67"/>
      <c r="X72" s="671"/>
      <c r="Y72" s="236"/>
      <c r="Z72" s="248"/>
      <c r="AA72" s="230"/>
      <c r="AB72" s="248"/>
      <c r="AC72" s="236"/>
      <c r="AD72" s="191"/>
      <c r="AE72" s="248"/>
      <c r="AF72" s="364"/>
      <c r="AJ72" s="150"/>
    </row>
    <row r="73" spans="1:36" s="147" customFormat="1" ht="27" customHeight="1">
      <c r="A73" s="183" t="s">
        <v>1245</v>
      </c>
      <c r="B73" s="94">
        <v>4</v>
      </c>
      <c r="C73" s="184" t="s">
        <v>152</v>
      </c>
      <c r="D73" s="94">
        <v>35</v>
      </c>
      <c r="E73" s="182" t="s">
        <v>188</v>
      </c>
      <c r="F73" s="65"/>
      <c r="G73" s="65"/>
      <c r="H73" s="65"/>
      <c r="I73" s="66"/>
      <c r="J73" s="444"/>
      <c r="K73" s="626"/>
      <c r="L73" s="621"/>
      <c r="M73" s="626"/>
      <c r="N73" s="697"/>
      <c r="O73" s="697"/>
      <c r="P73" s="697"/>
      <c r="Q73" s="697"/>
      <c r="R73" s="65"/>
      <c r="S73" s="65"/>
      <c r="T73" s="66"/>
      <c r="U73" s="643"/>
      <c r="V73" s="204"/>
      <c r="W73" s="204"/>
      <c r="X73" s="645"/>
      <c r="Y73" s="228"/>
      <c r="Z73" s="66"/>
      <c r="AA73" s="221"/>
      <c r="AB73" s="66"/>
      <c r="AC73" s="228"/>
      <c r="AD73" s="65"/>
      <c r="AE73" s="66"/>
      <c r="AF73" s="151"/>
      <c r="AJ73" s="150"/>
    </row>
    <row r="74" spans="1:36" s="147" customFormat="1" ht="27" customHeight="1">
      <c r="A74" s="183" t="s">
        <v>1245</v>
      </c>
      <c r="B74" s="94">
        <v>4</v>
      </c>
      <c r="C74" s="184" t="s">
        <v>152</v>
      </c>
      <c r="D74" s="94">
        <v>36</v>
      </c>
      <c r="E74" s="182" t="s">
        <v>189</v>
      </c>
      <c r="F74" s="209"/>
      <c r="G74" s="191"/>
      <c r="H74" s="178"/>
      <c r="I74" s="248"/>
      <c r="J74" s="447"/>
      <c r="K74" s="626"/>
      <c r="L74" s="621"/>
      <c r="M74" s="626"/>
      <c r="N74" s="721"/>
      <c r="O74" s="721"/>
      <c r="P74" s="721"/>
      <c r="Q74" s="721"/>
      <c r="R74" s="191"/>
      <c r="S74" s="191"/>
      <c r="T74" s="248"/>
      <c r="U74" s="655"/>
      <c r="V74" s="67"/>
      <c r="W74" s="67"/>
      <c r="X74" s="671"/>
      <c r="Y74" s="236"/>
      <c r="Z74" s="248"/>
      <c r="AA74" s="230"/>
      <c r="AB74" s="248"/>
      <c r="AC74" s="236"/>
      <c r="AD74" s="191"/>
      <c r="AE74" s="248"/>
      <c r="AF74" s="364"/>
      <c r="AJ74" s="150"/>
    </row>
    <row r="75" spans="1:36" s="147" customFormat="1" ht="27" customHeight="1">
      <c r="A75" s="183" t="s">
        <v>1245</v>
      </c>
      <c r="B75" s="94">
        <v>4</v>
      </c>
      <c r="C75" s="184" t="s">
        <v>152</v>
      </c>
      <c r="D75" s="94">
        <v>37</v>
      </c>
      <c r="E75" s="182" t="s">
        <v>190</v>
      </c>
      <c r="F75" s="209"/>
      <c r="G75" s="191"/>
      <c r="H75" s="178"/>
      <c r="I75" s="248"/>
      <c r="J75" s="447"/>
      <c r="K75" s="626"/>
      <c r="L75" s="621"/>
      <c r="M75" s="626"/>
      <c r="N75" s="721"/>
      <c r="O75" s="721"/>
      <c r="P75" s="721"/>
      <c r="Q75" s="721"/>
      <c r="R75" s="191"/>
      <c r="S75" s="191"/>
      <c r="T75" s="248"/>
      <c r="U75" s="655"/>
      <c r="V75" s="67"/>
      <c r="W75" s="67"/>
      <c r="X75" s="671"/>
      <c r="Y75" s="236"/>
      <c r="Z75" s="248"/>
      <c r="AA75" s="230"/>
      <c r="AB75" s="248"/>
      <c r="AC75" s="236"/>
      <c r="AD75" s="191"/>
      <c r="AE75" s="248"/>
      <c r="AF75" s="364"/>
      <c r="AJ75" s="150"/>
    </row>
    <row r="76" spans="1:36" s="147" customFormat="1" ht="27" customHeight="1">
      <c r="A76" s="183" t="s">
        <v>1245</v>
      </c>
      <c r="B76" s="94">
        <v>4</v>
      </c>
      <c r="C76" s="184" t="s">
        <v>152</v>
      </c>
      <c r="D76" s="94">
        <v>38</v>
      </c>
      <c r="E76" s="182" t="s">
        <v>194</v>
      </c>
      <c r="F76" s="209"/>
      <c r="G76" s="191"/>
      <c r="H76" s="178"/>
      <c r="I76" s="248"/>
      <c r="J76" s="447"/>
      <c r="K76" s="626"/>
      <c r="L76" s="621"/>
      <c r="M76" s="626"/>
      <c r="N76" s="721"/>
      <c r="O76" s="721"/>
      <c r="P76" s="721"/>
      <c r="Q76" s="721"/>
      <c r="R76" s="191"/>
      <c r="S76" s="191"/>
      <c r="T76" s="248"/>
      <c r="U76" s="655"/>
      <c r="V76" s="67"/>
      <c r="W76" s="67"/>
      <c r="X76" s="671"/>
      <c r="Y76" s="236"/>
      <c r="Z76" s="248"/>
      <c r="AA76" s="230"/>
      <c r="AB76" s="248"/>
      <c r="AC76" s="236"/>
      <c r="AD76" s="191"/>
      <c r="AE76" s="248"/>
      <c r="AF76" s="364"/>
      <c r="AJ76" s="150"/>
    </row>
    <row r="77" spans="1:36" ht="27" customHeight="1">
      <c r="A77" s="183" t="s">
        <v>1245</v>
      </c>
      <c r="B77" s="94">
        <v>4</v>
      </c>
      <c r="C77" s="184" t="s">
        <v>152</v>
      </c>
      <c r="D77" s="94">
        <v>39</v>
      </c>
      <c r="E77" s="182" t="s">
        <v>196</v>
      </c>
      <c r="F77" s="209"/>
      <c r="G77" s="191"/>
      <c r="H77" s="65"/>
      <c r="I77" s="248"/>
      <c r="J77" s="447"/>
      <c r="K77" s="626"/>
      <c r="L77" s="621"/>
      <c r="M77" s="626"/>
      <c r="N77" s="721"/>
      <c r="O77" s="721"/>
      <c r="P77" s="721"/>
      <c r="Q77" s="721"/>
      <c r="R77" s="95"/>
      <c r="S77" s="210"/>
      <c r="T77" s="369"/>
      <c r="U77" s="655"/>
      <c r="V77" s="67"/>
      <c r="W77" s="67"/>
      <c r="X77" s="671"/>
      <c r="Y77" s="232"/>
      <c r="Z77" s="248"/>
      <c r="AA77" s="230"/>
      <c r="AB77" s="248"/>
      <c r="AC77" s="236"/>
      <c r="AD77" s="191"/>
      <c r="AE77" s="248"/>
      <c r="AF77" s="254"/>
    </row>
    <row r="78" spans="1:36" ht="27" customHeight="1">
      <c r="A78" s="186" t="s">
        <v>1246</v>
      </c>
      <c r="B78" s="181">
        <v>4</v>
      </c>
      <c r="C78" s="186" t="s">
        <v>1247</v>
      </c>
      <c r="D78" s="181">
        <v>40</v>
      </c>
      <c r="E78" s="182" t="s">
        <v>197</v>
      </c>
      <c r="F78" s="209">
        <v>45266</v>
      </c>
      <c r="G78" s="191" t="s">
        <v>1634</v>
      </c>
      <c r="H78" s="158" t="s">
        <v>1635</v>
      </c>
      <c r="I78" s="248">
        <v>15</v>
      </c>
      <c r="J78" s="716">
        <v>70</v>
      </c>
      <c r="K78" s="715">
        <v>70</v>
      </c>
      <c r="L78" s="685">
        <v>70</v>
      </c>
      <c r="M78" s="715">
        <f>K78-L78</f>
        <v>0</v>
      </c>
      <c r="N78" s="721">
        <v>0</v>
      </c>
      <c r="O78" s="721">
        <v>0</v>
      </c>
      <c r="P78" s="721">
        <v>0</v>
      </c>
      <c r="Q78" s="721">
        <v>0</v>
      </c>
      <c r="R78" s="95" t="s">
        <v>945</v>
      </c>
      <c r="S78" s="210">
        <v>18.7</v>
      </c>
      <c r="T78" s="369">
        <v>73</v>
      </c>
      <c r="U78" s="655">
        <v>0</v>
      </c>
      <c r="V78" s="67" t="s">
        <v>714</v>
      </c>
      <c r="W78" s="67" t="s">
        <v>714</v>
      </c>
      <c r="X78" s="671">
        <v>0</v>
      </c>
      <c r="Y78" s="232">
        <v>1</v>
      </c>
      <c r="Z78" s="248">
        <v>0</v>
      </c>
      <c r="AA78" s="230" t="s">
        <v>714</v>
      </c>
      <c r="AB78" s="248">
        <v>2</v>
      </c>
      <c r="AC78" s="236">
        <v>0</v>
      </c>
      <c r="AD78" s="191">
        <v>0</v>
      </c>
      <c r="AE78" s="248">
        <v>4</v>
      </c>
      <c r="AF78" s="254" t="s">
        <v>1036</v>
      </c>
    </row>
    <row r="79" spans="1:36" ht="27" customHeight="1">
      <c r="A79" s="186" t="s">
        <v>1246</v>
      </c>
      <c r="B79" s="181">
        <v>4</v>
      </c>
      <c r="C79" s="186" t="s">
        <v>1247</v>
      </c>
      <c r="D79" s="181">
        <v>41</v>
      </c>
      <c r="E79" s="182" t="s">
        <v>1248</v>
      </c>
      <c r="F79" s="65"/>
      <c r="G79" s="65"/>
      <c r="H79" s="65"/>
      <c r="I79" s="66"/>
      <c r="J79" s="444"/>
      <c r="K79" s="626"/>
      <c r="L79" s="621"/>
      <c r="M79" s="626"/>
      <c r="N79" s="697"/>
      <c r="O79" s="697"/>
      <c r="P79" s="697"/>
      <c r="Q79" s="697"/>
      <c r="R79" s="65"/>
      <c r="S79" s="65"/>
      <c r="T79" s="66"/>
      <c r="U79" s="643"/>
      <c r="V79" s="204"/>
      <c r="W79" s="204"/>
      <c r="X79" s="645"/>
      <c r="Y79" s="228"/>
      <c r="Z79" s="66"/>
      <c r="AA79" s="221"/>
      <c r="AB79" s="66"/>
      <c r="AC79" s="228"/>
      <c r="AD79" s="65"/>
      <c r="AE79" s="66"/>
      <c r="AF79" s="151"/>
    </row>
    <row r="80" spans="1:36" ht="27" customHeight="1">
      <c r="A80" s="186" t="s">
        <v>1246</v>
      </c>
      <c r="B80" s="181">
        <v>4</v>
      </c>
      <c r="C80" s="186" t="s">
        <v>1247</v>
      </c>
      <c r="D80" s="181">
        <v>42</v>
      </c>
      <c r="E80" s="182" t="s">
        <v>1619</v>
      </c>
      <c r="F80" s="65"/>
      <c r="G80" s="65"/>
      <c r="H80" s="65"/>
      <c r="I80" s="66"/>
      <c r="J80" s="444"/>
      <c r="K80" s="626"/>
      <c r="L80" s="621"/>
      <c r="M80" s="626"/>
      <c r="N80" s="697"/>
      <c r="O80" s="697"/>
      <c r="P80" s="697"/>
      <c r="Q80" s="697"/>
      <c r="R80" s="65"/>
      <c r="S80" s="65"/>
      <c r="T80" s="66"/>
      <c r="U80" s="643"/>
      <c r="V80" s="204"/>
      <c r="W80" s="204"/>
      <c r="X80" s="645"/>
      <c r="Y80" s="228"/>
      <c r="Z80" s="66"/>
      <c r="AA80" s="221"/>
      <c r="AB80" s="66"/>
      <c r="AC80" s="228"/>
      <c r="AD80" s="65"/>
      <c r="AE80" s="66"/>
      <c r="AF80" s="151"/>
    </row>
    <row r="81" spans="1:32" ht="27" customHeight="1">
      <c r="A81" s="186" t="s">
        <v>1246</v>
      </c>
      <c r="B81" s="181">
        <v>4</v>
      </c>
      <c r="C81" s="186" t="s">
        <v>1247</v>
      </c>
      <c r="D81" s="181">
        <v>43</v>
      </c>
      <c r="E81" s="182" t="s">
        <v>1249</v>
      </c>
      <c r="F81" s="65"/>
      <c r="G81" s="65"/>
      <c r="H81" s="65"/>
      <c r="I81" s="66"/>
      <c r="J81" s="444"/>
      <c r="K81" s="626"/>
      <c r="L81" s="621"/>
      <c r="M81" s="626"/>
      <c r="N81" s="697"/>
      <c r="O81" s="697"/>
      <c r="P81" s="697"/>
      <c r="Q81" s="697"/>
      <c r="R81" s="65"/>
      <c r="S81" s="65"/>
      <c r="T81" s="66"/>
      <c r="U81" s="643"/>
      <c r="V81" s="204"/>
      <c r="W81" s="204"/>
      <c r="X81" s="645"/>
      <c r="Y81" s="228"/>
      <c r="Z81" s="66"/>
      <c r="AA81" s="221"/>
      <c r="AB81" s="66"/>
      <c r="AC81" s="228"/>
      <c r="AD81" s="65"/>
      <c r="AE81" s="66"/>
      <c r="AF81" s="151"/>
    </row>
    <row r="82" spans="1:32" ht="27" customHeight="1">
      <c r="A82" s="186" t="s">
        <v>1246</v>
      </c>
      <c r="B82" s="181">
        <v>4</v>
      </c>
      <c r="C82" s="186" t="s">
        <v>1247</v>
      </c>
      <c r="D82" s="181">
        <v>44</v>
      </c>
      <c r="E82" s="182" t="s">
        <v>1537</v>
      </c>
      <c r="F82" s="209">
        <v>45266</v>
      </c>
      <c r="G82" s="191" t="s">
        <v>1634</v>
      </c>
      <c r="H82" s="158" t="s">
        <v>1635</v>
      </c>
      <c r="I82" s="248">
        <v>15</v>
      </c>
      <c r="J82" s="716">
        <v>30</v>
      </c>
      <c r="K82" s="715">
        <v>30</v>
      </c>
      <c r="L82" s="685">
        <v>20</v>
      </c>
      <c r="M82" s="715">
        <f>K82-L82</f>
        <v>10</v>
      </c>
      <c r="N82" s="721">
        <v>0</v>
      </c>
      <c r="O82" s="721">
        <v>0</v>
      </c>
      <c r="P82" s="721">
        <v>0</v>
      </c>
      <c r="Q82" s="721">
        <v>0</v>
      </c>
      <c r="R82" s="95" t="s">
        <v>945</v>
      </c>
      <c r="S82" s="210">
        <v>33.299999999999997</v>
      </c>
      <c r="T82" s="369">
        <v>53</v>
      </c>
      <c r="U82" s="655">
        <v>0</v>
      </c>
      <c r="V82" s="67" t="s">
        <v>714</v>
      </c>
      <c r="W82" s="67" t="s">
        <v>714</v>
      </c>
      <c r="X82" s="671">
        <v>0.5</v>
      </c>
      <c r="Y82" s="232">
        <v>1</v>
      </c>
      <c r="Z82" s="248">
        <v>0</v>
      </c>
      <c r="AA82" s="230" t="s">
        <v>714</v>
      </c>
      <c r="AB82" s="248">
        <v>3</v>
      </c>
      <c r="AC82" s="236">
        <v>0</v>
      </c>
      <c r="AD82" s="191">
        <v>0</v>
      </c>
      <c r="AE82" s="248">
        <v>2</v>
      </c>
      <c r="AF82" s="254" t="s">
        <v>1036</v>
      </c>
    </row>
    <row r="83" spans="1:32" ht="27" customHeight="1">
      <c r="A83" s="407" t="s">
        <v>1246</v>
      </c>
      <c r="B83" s="408">
        <v>4</v>
      </c>
      <c r="C83" s="407" t="s">
        <v>1247</v>
      </c>
      <c r="D83" s="408">
        <v>45</v>
      </c>
      <c r="E83" s="420" t="s">
        <v>1538</v>
      </c>
      <c r="F83" s="409"/>
      <c r="G83" s="410"/>
      <c r="H83" s="411"/>
      <c r="I83" s="412"/>
      <c r="J83" s="448"/>
      <c r="K83" s="626"/>
      <c r="L83" s="718"/>
      <c r="M83" s="626"/>
      <c r="N83" s="722"/>
      <c r="O83" s="722"/>
      <c r="P83" s="722"/>
      <c r="Q83" s="722"/>
      <c r="R83" s="98"/>
      <c r="S83" s="414"/>
      <c r="T83" s="415"/>
      <c r="U83" s="680"/>
      <c r="V83" s="416"/>
      <c r="W83" s="416"/>
      <c r="X83" s="682"/>
      <c r="Y83" s="417"/>
      <c r="Z83" s="412"/>
      <c r="AA83" s="413"/>
      <c r="AB83" s="412"/>
      <c r="AC83" s="418"/>
      <c r="AD83" s="410"/>
      <c r="AE83" s="412"/>
      <c r="AF83" s="419"/>
    </row>
    <row r="84" spans="1:32" ht="27" customHeight="1">
      <c r="A84" s="186" t="s">
        <v>1246</v>
      </c>
      <c r="B84" s="181">
        <v>4</v>
      </c>
      <c r="C84" s="186" t="s">
        <v>1247</v>
      </c>
      <c r="D84" s="181">
        <v>46</v>
      </c>
      <c r="E84" s="182" t="s">
        <v>1156</v>
      </c>
      <c r="F84" s="209"/>
      <c r="G84" s="191"/>
      <c r="H84" s="158"/>
      <c r="I84" s="248"/>
      <c r="J84" s="447"/>
      <c r="K84" s="626"/>
      <c r="L84" s="685">
        <v>50</v>
      </c>
      <c r="M84" s="626"/>
      <c r="N84" s="721"/>
      <c r="O84" s="721"/>
      <c r="P84" s="721"/>
      <c r="Q84" s="721"/>
      <c r="R84" s="95"/>
      <c r="S84" s="210"/>
      <c r="T84" s="369"/>
      <c r="U84" s="655"/>
      <c r="V84" s="67"/>
      <c r="W84" s="67"/>
      <c r="X84" s="671"/>
      <c r="Y84" s="232"/>
      <c r="Z84" s="248"/>
      <c r="AA84" s="230"/>
      <c r="AB84" s="248"/>
      <c r="AC84" s="236"/>
      <c r="AD84" s="191"/>
      <c r="AE84" s="248"/>
      <c r="AF84" s="254"/>
    </row>
    <row r="85" spans="1:32" ht="27" customHeight="1">
      <c r="A85" s="186" t="s">
        <v>1246</v>
      </c>
      <c r="B85" s="181">
        <v>4</v>
      </c>
      <c r="C85" s="186" t="s">
        <v>1247</v>
      </c>
      <c r="D85" s="187">
        <v>47</v>
      </c>
      <c r="E85" s="188" t="s">
        <v>1632</v>
      </c>
      <c r="F85" s="209">
        <v>45222</v>
      </c>
      <c r="G85" s="191" t="s">
        <v>1634</v>
      </c>
      <c r="H85" s="158" t="s">
        <v>1635</v>
      </c>
      <c r="I85" s="248">
        <v>15</v>
      </c>
      <c r="J85" s="716">
        <v>30</v>
      </c>
      <c r="K85" s="715">
        <v>30</v>
      </c>
      <c r="L85" s="621"/>
      <c r="M85" s="626"/>
      <c r="N85" s="721">
        <v>0</v>
      </c>
      <c r="O85" s="721">
        <v>0</v>
      </c>
      <c r="P85" s="721">
        <v>0</v>
      </c>
      <c r="Q85" s="721">
        <v>0</v>
      </c>
      <c r="R85" s="95" t="s">
        <v>944</v>
      </c>
      <c r="S85" s="210">
        <v>9.3000000000000007</v>
      </c>
      <c r="T85" s="369">
        <v>20</v>
      </c>
      <c r="U85" s="655">
        <v>0</v>
      </c>
      <c r="V85" s="67" t="s">
        <v>714</v>
      </c>
      <c r="W85" s="67" t="s">
        <v>714</v>
      </c>
      <c r="X85" s="671">
        <v>0</v>
      </c>
      <c r="Y85" s="232">
        <v>1</v>
      </c>
      <c r="Z85" s="248">
        <v>0</v>
      </c>
      <c r="AA85" s="230" t="s">
        <v>714</v>
      </c>
      <c r="AB85" s="248" t="s">
        <v>714</v>
      </c>
      <c r="AC85" s="236">
        <v>0</v>
      </c>
      <c r="AD85" s="191">
        <v>0</v>
      </c>
      <c r="AE85" s="248">
        <v>0</v>
      </c>
      <c r="AF85" s="254" t="s">
        <v>1036</v>
      </c>
    </row>
    <row r="86" spans="1:32" ht="27" customHeight="1" thickBot="1">
      <c r="A86" s="264" t="s">
        <v>1246</v>
      </c>
      <c r="B86" s="265">
        <v>4</v>
      </c>
      <c r="C86" s="264" t="s">
        <v>1247</v>
      </c>
      <c r="D86" s="356">
        <v>48</v>
      </c>
      <c r="E86" s="353" t="s">
        <v>1633</v>
      </c>
      <c r="F86" s="294">
        <v>45222</v>
      </c>
      <c r="G86" s="360" t="s">
        <v>1634</v>
      </c>
      <c r="H86" s="313" t="s">
        <v>1635</v>
      </c>
      <c r="I86" s="296">
        <v>15</v>
      </c>
      <c r="J86" s="719">
        <v>20</v>
      </c>
      <c r="K86" s="720">
        <v>20</v>
      </c>
      <c r="L86" s="628"/>
      <c r="M86" s="628"/>
      <c r="N86" s="723">
        <v>0</v>
      </c>
      <c r="O86" s="723">
        <v>0</v>
      </c>
      <c r="P86" s="723">
        <v>0</v>
      </c>
      <c r="Q86" s="723">
        <v>0</v>
      </c>
      <c r="R86" s="103" t="s">
        <v>945</v>
      </c>
      <c r="S86" s="370">
        <v>10.7</v>
      </c>
      <c r="T86" s="371">
        <v>23.333333333333332</v>
      </c>
      <c r="U86" s="656">
        <v>0</v>
      </c>
      <c r="V86" s="375" t="s">
        <v>714</v>
      </c>
      <c r="W86" s="375" t="s">
        <v>714</v>
      </c>
      <c r="X86" s="672">
        <v>0</v>
      </c>
      <c r="Y86" s="317">
        <v>1</v>
      </c>
      <c r="Z86" s="296">
        <v>0</v>
      </c>
      <c r="AA86" s="295" t="s">
        <v>714</v>
      </c>
      <c r="AB86" s="296" t="s">
        <v>714</v>
      </c>
      <c r="AC86" s="304">
        <v>0</v>
      </c>
      <c r="AD86" s="360">
        <v>0</v>
      </c>
      <c r="AE86" s="296">
        <v>0</v>
      </c>
      <c r="AF86" s="297" t="s">
        <v>1036</v>
      </c>
    </row>
    <row r="87" spans="1:32" ht="27" customHeight="1" thickTop="1">
      <c r="A87" s="354" t="s">
        <v>1250</v>
      </c>
      <c r="B87" s="92">
        <v>5</v>
      </c>
      <c r="C87" s="355" t="s">
        <v>199</v>
      </c>
      <c r="D87" s="92">
        <v>1</v>
      </c>
      <c r="E87" s="268" t="s">
        <v>200</v>
      </c>
      <c r="F87" s="300">
        <v>45181</v>
      </c>
      <c r="G87" s="361" t="s">
        <v>1634</v>
      </c>
      <c r="H87" s="155" t="s">
        <v>1635</v>
      </c>
      <c r="I87" s="262">
        <v>15</v>
      </c>
      <c r="J87" s="714">
        <v>40</v>
      </c>
      <c r="K87" s="715">
        <v>40</v>
      </c>
      <c r="L87" s="717">
        <v>40</v>
      </c>
      <c r="M87" s="715">
        <f>K87-L87</f>
        <v>0</v>
      </c>
      <c r="N87" s="724">
        <v>0</v>
      </c>
      <c r="O87" s="724">
        <v>0</v>
      </c>
      <c r="P87" s="724">
        <v>0</v>
      </c>
      <c r="Q87" s="724">
        <v>0</v>
      </c>
      <c r="R87" s="93" t="s">
        <v>945</v>
      </c>
      <c r="S87" s="367">
        <v>27.3</v>
      </c>
      <c r="T87" s="368">
        <v>92</v>
      </c>
      <c r="U87" s="654">
        <v>0</v>
      </c>
      <c r="V87" s="374" t="s">
        <v>714</v>
      </c>
      <c r="W87" s="374" t="s">
        <v>714</v>
      </c>
      <c r="X87" s="670">
        <v>0</v>
      </c>
      <c r="Y87" s="261">
        <v>1</v>
      </c>
      <c r="Z87" s="262">
        <v>0</v>
      </c>
      <c r="AA87" s="366" t="s">
        <v>714</v>
      </c>
      <c r="AB87" s="262">
        <v>3</v>
      </c>
      <c r="AC87" s="307">
        <v>1</v>
      </c>
      <c r="AD87" s="361">
        <v>0</v>
      </c>
      <c r="AE87" s="262">
        <v>15</v>
      </c>
      <c r="AF87" s="301" t="s">
        <v>1506</v>
      </c>
    </row>
    <row r="88" spans="1:32" s="147" customFormat="1" ht="27" customHeight="1">
      <c r="A88" s="183" t="s">
        <v>1250</v>
      </c>
      <c r="B88" s="94">
        <v>5</v>
      </c>
      <c r="C88" s="184" t="s">
        <v>199</v>
      </c>
      <c r="D88" s="94">
        <v>2</v>
      </c>
      <c r="E88" s="182" t="s">
        <v>201</v>
      </c>
      <c r="F88" s="65"/>
      <c r="G88" s="65"/>
      <c r="H88" s="65"/>
      <c r="I88" s="66"/>
      <c r="J88" s="444"/>
      <c r="K88" s="626"/>
      <c r="L88" s="621"/>
      <c r="M88" s="626"/>
      <c r="N88" s="179"/>
      <c r="O88" s="179"/>
      <c r="P88" s="179"/>
      <c r="Q88" s="179"/>
      <c r="R88" s="65"/>
      <c r="S88" s="65"/>
      <c r="T88" s="66"/>
      <c r="U88" s="643"/>
      <c r="V88" s="204"/>
      <c r="W88" s="204"/>
      <c r="X88" s="645"/>
      <c r="Y88" s="228"/>
      <c r="Z88" s="66"/>
      <c r="AA88" s="221"/>
      <c r="AB88" s="66"/>
      <c r="AC88" s="228"/>
      <c r="AD88" s="65"/>
      <c r="AE88" s="66"/>
      <c r="AF88" s="151"/>
    </row>
    <row r="89" spans="1:32" s="147" customFormat="1" ht="27" customHeight="1">
      <c r="A89" s="183" t="s">
        <v>1250</v>
      </c>
      <c r="B89" s="94">
        <v>5</v>
      </c>
      <c r="C89" s="184" t="s">
        <v>199</v>
      </c>
      <c r="D89" s="94">
        <v>3</v>
      </c>
      <c r="E89" s="182" t="s">
        <v>203</v>
      </c>
      <c r="F89" s="65"/>
      <c r="G89" s="65"/>
      <c r="H89" s="65"/>
      <c r="I89" s="66"/>
      <c r="J89" s="444"/>
      <c r="K89" s="626"/>
      <c r="L89" s="621"/>
      <c r="M89" s="626"/>
      <c r="N89" s="179"/>
      <c r="O89" s="179"/>
      <c r="P89" s="179"/>
      <c r="Q89" s="179"/>
      <c r="R89" s="65"/>
      <c r="S89" s="65"/>
      <c r="T89" s="66"/>
      <c r="U89" s="643"/>
      <c r="V89" s="204"/>
      <c r="W89" s="204"/>
      <c r="X89" s="645"/>
      <c r="Y89" s="228"/>
      <c r="Z89" s="66"/>
      <c r="AA89" s="221"/>
      <c r="AB89" s="66"/>
      <c r="AC89" s="228"/>
      <c r="AD89" s="65"/>
      <c r="AE89" s="66"/>
      <c r="AF89" s="151"/>
    </row>
    <row r="90" spans="1:32" s="147" customFormat="1" ht="27" customHeight="1">
      <c r="A90" s="183" t="s">
        <v>1250</v>
      </c>
      <c r="B90" s="94">
        <v>5</v>
      </c>
      <c r="C90" s="184" t="s">
        <v>199</v>
      </c>
      <c r="D90" s="94">
        <v>4</v>
      </c>
      <c r="E90" s="182" t="s">
        <v>1620</v>
      </c>
      <c r="F90" s="209">
        <v>45240</v>
      </c>
      <c r="G90" s="191" t="s">
        <v>1634</v>
      </c>
      <c r="H90" s="158" t="s">
        <v>1635</v>
      </c>
      <c r="I90" s="248">
        <v>15</v>
      </c>
      <c r="J90" s="716">
        <v>60</v>
      </c>
      <c r="K90" s="715">
        <v>60</v>
      </c>
      <c r="L90" s="685">
        <v>60</v>
      </c>
      <c r="M90" s="715">
        <f>K90-L90</f>
        <v>0</v>
      </c>
      <c r="N90" s="721">
        <v>0</v>
      </c>
      <c r="O90" s="721">
        <v>0</v>
      </c>
      <c r="P90" s="721">
        <v>0</v>
      </c>
      <c r="Q90" s="721">
        <v>0</v>
      </c>
      <c r="R90" s="95" t="s">
        <v>945</v>
      </c>
      <c r="S90" s="210">
        <v>14.7</v>
      </c>
      <c r="T90" s="369">
        <v>85</v>
      </c>
      <c r="U90" s="655">
        <v>0</v>
      </c>
      <c r="V90" s="67" t="s">
        <v>714</v>
      </c>
      <c r="W90" s="67" t="s">
        <v>714</v>
      </c>
      <c r="X90" s="671">
        <v>0</v>
      </c>
      <c r="Y90" s="232">
        <v>1</v>
      </c>
      <c r="Z90" s="248">
        <v>0</v>
      </c>
      <c r="AA90" s="230" t="s">
        <v>714</v>
      </c>
      <c r="AB90" s="248">
        <v>2</v>
      </c>
      <c r="AC90" s="236">
        <v>0</v>
      </c>
      <c r="AD90" s="191">
        <v>0</v>
      </c>
      <c r="AE90" s="248">
        <v>7</v>
      </c>
      <c r="AF90" s="254" t="s">
        <v>1506</v>
      </c>
    </row>
    <row r="91" spans="1:32" s="147" customFormat="1" ht="27" customHeight="1">
      <c r="A91" s="183" t="s">
        <v>1250</v>
      </c>
      <c r="B91" s="94">
        <v>5</v>
      </c>
      <c r="C91" s="184" t="s">
        <v>199</v>
      </c>
      <c r="D91" s="94">
        <v>5</v>
      </c>
      <c r="E91" s="182" t="s">
        <v>205</v>
      </c>
      <c r="F91" s="209">
        <v>45240</v>
      </c>
      <c r="G91" s="191" t="s">
        <v>1634</v>
      </c>
      <c r="H91" s="158" t="s">
        <v>1635</v>
      </c>
      <c r="I91" s="248">
        <v>15</v>
      </c>
      <c r="J91" s="716">
        <v>60</v>
      </c>
      <c r="K91" s="715">
        <v>60</v>
      </c>
      <c r="L91" s="685">
        <v>70</v>
      </c>
      <c r="M91" s="715">
        <f>K91-L91</f>
        <v>-10</v>
      </c>
      <c r="N91" s="721">
        <v>0</v>
      </c>
      <c r="O91" s="721">
        <v>0</v>
      </c>
      <c r="P91" s="721">
        <v>0</v>
      </c>
      <c r="Q91" s="721">
        <v>0</v>
      </c>
      <c r="R91" s="95" t="s">
        <v>944</v>
      </c>
      <c r="S91" s="210">
        <v>7.3</v>
      </c>
      <c r="T91" s="369">
        <v>89</v>
      </c>
      <c r="U91" s="655">
        <v>0</v>
      </c>
      <c r="V91" s="67" t="s">
        <v>714</v>
      </c>
      <c r="W91" s="67" t="s">
        <v>714</v>
      </c>
      <c r="X91" s="671">
        <v>0</v>
      </c>
      <c r="Y91" s="232">
        <v>1</v>
      </c>
      <c r="Z91" s="248">
        <v>0</v>
      </c>
      <c r="AA91" s="230" t="s">
        <v>714</v>
      </c>
      <c r="AB91" s="248">
        <v>2</v>
      </c>
      <c r="AC91" s="236">
        <v>0</v>
      </c>
      <c r="AD91" s="191">
        <v>0</v>
      </c>
      <c r="AE91" s="248">
        <v>4</v>
      </c>
      <c r="AF91" s="254" t="s">
        <v>1506</v>
      </c>
    </row>
    <row r="92" spans="1:32" ht="27" customHeight="1">
      <c r="A92" s="183" t="s">
        <v>1250</v>
      </c>
      <c r="B92" s="94">
        <v>5</v>
      </c>
      <c r="C92" s="184" t="s">
        <v>199</v>
      </c>
      <c r="D92" s="94">
        <v>6</v>
      </c>
      <c r="E92" s="182" t="s">
        <v>206</v>
      </c>
      <c r="F92" s="209">
        <v>45240</v>
      </c>
      <c r="G92" s="191" t="s">
        <v>1634</v>
      </c>
      <c r="H92" s="158" t="s">
        <v>1635</v>
      </c>
      <c r="I92" s="248">
        <v>15</v>
      </c>
      <c r="J92" s="716">
        <v>40</v>
      </c>
      <c r="K92" s="715">
        <v>40</v>
      </c>
      <c r="L92" s="621"/>
      <c r="M92" s="626"/>
      <c r="N92" s="721">
        <v>0</v>
      </c>
      <c r="O92" s="721">
        <v>0</v>
      </c>
      <c r="P92" s="721">
        <v>0</v>
      </c>
      <c r="Q92" s="721">
        <v>0</v>
      </c>
      <c r="R92" s="95" t="s">
        <v>944</v>
      </c>
      <c r="S92" s="210">
        <v>10.7</v>
      </c>
      <c r="T92" s="369">
        <v>88</v>
      </c>
      <c r="U92" s="655">
        <v>0</v>
      </c>
      <c r="V92" s="67" t="s">
        <v>714</v>
      </c>
      <c r="W92" s="67" t="s">
        <v>714</v>
      </c>
      <c r="X92" s="671">
        <v>0</v>
      </c>
      <c r="Y92" s="232">
        <v>1</v>
      </c>
      <c r="Z92" s="248">
        <v>0</v>
      </c>
      <c r="AA92" s="230" t="s">
        <v>714</v>
      </c>
      <c r="AB92" s="248">
        <v>2</v>
      </c>
      <c r="AC92" s="236">
        <v>0</v>
      </c>
      <c r="AD92" s="191">
        <v>0</v>
      </c>
      <c r="AE92" s="248">
        <v>6</v>
      </c>
      <c r="AF92" s="254" t="s">
        <v>1036</v>
      </c>
    </row>
    <row r="93" spans="1:32" ht="27" customHeight="1">
      <c r="A93" s="183" t="s">
        <v>1250</v>
      </c>
      <c r="B93" s="94">
        <v>5</v>
      </c>
      <c r="C93" s="184" t="s">
        <v>199</v>
      </c>
      <c r="D93" s="94">
        <v>7</v>
      </c>
      <c r="E93" s="182" t="s">
        <v>207</v>
      </c>
      <c r="F93" s="209">
        <v>45240</v>
      </c>
      <c r="G93" s="191" t="s">
        <v>1634</v>
      </c>
      <c r="H93" s="158" t="s">
        <v>1635</v>
      </c>
      <c r="I93" s="248">
        <v>15</v>
      </c>
      <c r="J93" s="716">
        <v>50</v>
      </c>
      <c r="K93" s="715">
        <v>50</v>
      </c>
      <c r="L93" s="685">
        <v>60</v>
      </c>
      <c r="M93" s="715">
        <f t="shared" ref="M93:M107" si="2">K93-L93</f>
        <v>-10</v>
      </c>
      <c r="N93" s="721">
        <v>0</v>
      </c>
      <c r="O93" s="721">
        <v>0</v>
      </c>
      <c r="P93" s="721">
        <v>0</v>
      </c>
      <c r="Q93" s="721">
        <v>0</v>
      </c>
      <c r="R93" s="95" t="s">
        <v>945</v>
      </c>
      <c r="S93" s="210">
        <v>25.3</v>
      </c>
      <c r="T93" s="369">
        <v>80</v>
      </c>
      <c r="U93" s="655">
        <v>0</v>
      </c>
      <c r="V93" s="67" t="s">
        <v>714</v>
      </c>
      <c r="W93" s="67" t="s">
        <v>714</v>
      </c>
      <c r="X93" s="671">
        <v>0</v>
      </c>
      <c r="Y93" s="232">
        <v>1</v>
      </c>
      <c r="Z93" s="248">
        <v>0</v>
      </c>
      <c r="AA93" s="230" t="s">
        <v>714</v>
      </c>
      <c r="AB93" s="248">
        <v>2</v>
      </c>
      <c r="AC93" s="236">
        <v>0</v>
      </c>
      <c r="AD93" s="191">
        <v>0</v>
      </c>
      <c r="AE93" s="248">
        <v>20</v>
      </c>
      <c r="AF93" s="254" t="s">
        <v>1036</v>
      </c>
    </row>
    <row r="94" spans="1:32" ht="27" customHeight="1">
      <c r="A94" s="183" t="s">
        <v>1250</v>
      </c>
      <c r="B94" s="94">
        <v>5</v>
      </c>
      <c r="C94" s="184" t="s">
        <v>199</v>
      </c>
      <c r="D94" s="94">
        <v>8</v>
      </c>
      <c r="E94" s="182" t="s">
        <v>208</v>
      </c>
      <c r="F94" s="209">
        <v>45240</v>
      </c>
      <c r="G94" s="191" t="s">
        <v>1634</v>
      </c>
      <c r="H94" s="158" t="s">
        <v>1635</v>
      </c>
      <c r="I94" s="248">
        <v>15</v>
      </c>
      <c r="J94" s="716">
        <v>50</v>
      </c>
      <c r="K94" s="715">
        <v>50</v>
      </c>
      <c r="L94" s="685">
        <v>60</v>
      </c>
      <c r="M94" s="715">
        <f t="shared" si="2"/>
        <v>-10</v>
      </c>
      <c r="N94" s="721">
        <v>0</v>
      </c>
      <c r="O94" s="721">
        <v>0</v>
      </c>
      <c r="P94" s="721">
        <v>0</v>
      </c>
      <c r="Q94" s="721">
        <v>0</v>
      </c>
      <c r="R94" s="95" t="s">
        <v>945</v>
      </c>
      <c r="S94" s="210">
        <v>23.3</v>
      </c>
      <c r="T94" s="369">
        <v>38</v>
      </c>
      <c r="U94" s="655">
        <v>0</v>
      </c>
      <c r="V94" s="67" t="s">
        <v>714</v>
      </c>
      <c r="W94" s="67" t="s">
        <v>714</v>
      </c>
      <c r="X94" s="671">
        <v>0</v>
      </c>
      <c r="Y94" s="233">
        <v>1</v>
      </c>
      <c r="Z94" s="248">
        <v>0</v>
      </c>
      <c r="AA94" s="230" t="s">
        <v>714</v>
      </c>
      <c r="AB94" s="248">
        <v>1</v>
      </c>
      <c r="AC94" s="236">
        <v>0</v>
      </c>
      <c r="AD94" s="191">
        <v>0</v>
      </c>
      <c r="AE94" s="248">
        <v>21</v>
      </c>
      <c r="AF94" s="254" t="s">
        <v>1506</v>
      </c>
    </row>
    <row r="95" spans="1:32" ht="27" customHeight="1">
      <c r="A95" s="183" t="s">
        <v>1250</v>
      </c>
      <c r="B95" s="94">
        <v>5</v>
      </c>
      <c r="C95" s="184" t="s">
        <v>199</v>
      </c>
      <c r="D95" s="94">
        <v>9</v>
      </c>
      <c r="E95" s="182" t="s">
        <v>209</v>
      </c>
      <c r="F95" s="209">
        <v>45240</v>
      </c>
      <c r="G95" s="191" t="s">
        <v>1634</v>
      </c>
      <c r="H95" s="158" t="s">
        <v>1635</v>
      </c>
      <c r="I95" s="248">
        <v>15</v>
      </c>
      <c r="J95" s="716">
        <v>70</v>
      </c>
      <c r="K95" s="715">
        <v>70</v>
      </c>
      <c r="L95" s="685">
        <v>80</v>
      </c>
      <c r="M95" s="715">
        <f t="shared" si="2"/>
        <v>-10</v>
      </c>
      <c r="N95" s="721">
        <v>0</v>
      </c>
      <c r="O95" s="721">
        <v>0</v>
      </c>
      <c r="P95" s="721">
        <v>0</v>
      </c>
      <c r="Q95" s="721">
        <v>0</v>
      </c>
      <c r="R95" s="95" t="s">
        <v>1165</v>
      </c>
      <c r="S95" s="210">
        <v>8.6999999999999993</v>
      </c>
      <c r="T95" s="369">
        <v>77</v>
      </c>
      <c r="U95" s="655">
        <v>0</v>
      </c>
      <c r="V95" s="67" t="s">
        <v>714</v>
      </c>
      <c r="W95" s="67" t="s">
        <v>714</v>
      </c>
      <c r="X95" s="671">
        <v>0</v>
      </c>
      <c r="Y95" s="233">
        <v>2</v>
      </c>
      <c r="Z95" s="248">
        <v>0.5</v>
      </c>
      <c r="AA95" s="230" t="s">
        <v>714</v>
      </c>
      <c r="AB95" s="248">
        <v>4</v>
      </c>
      <c r="AC95" s="236">
        <v>0</v>
      </c>
      <c r="AD95" s="191">
        <v>0</v>
      </c>
      <c r="AE95" s="248">
        <v>4</v>
      </c>
      <c r="AF95" s="254" t="s">
        <v>1036</v>
      </c>
    </row>
    <row r="96" spans="1:32" ht="27" customHeight="1">
      <c r="A96" s="183" t="s">
        <v>1250</v>
      </c>
      <c r="B96" s="94">
        <v>5</v>
      </c>
      <c r="C96" s="184" t="s">
        <v>199</v>
      </c>
      <c r="D96" s="94">
        <v>10</v>
      </c>
      <c r="E96" s="182" t="s">
        <v>210</v>
      </c>
      <c r="F96" s="209">
        <v>45245</v>
      </c>
      <c r="G96" s="191" t="s">
        <v>1634</v>
      </c>
      <c r="H96" s="158" t="s">
        <v>1635</v>
      </c>
      <c r="I96" s="248">
        <v>15</v>
      </c>
      <c r="J96" s="716">
        <v>40</v>
      </c>
      <c r="K96" s="715">
        <v>40</v>
      </c>
      <c r="L96" s="685">
        <v>50</v>
      </c>
      <c r="M96" s="715">
        <f t="shared" si="2"/>
        <v>-10</v>
      </c>
      <c r="N96" s="721">
        <v>0</v>
      </c>
      <c r="O96" s="721">
        <v>0</v>
      </c>
      <c r="P96" s="721">
        <v>0</v>
      </c>
      <c r="Q96" s="721">
        <v>0</v>
      </c>
      <c r="R96" s="158" t="s">
        <v>1120</v>
      </c>
      <c r="S96" s="210">
        <v>6.7</v>
      </c>
      <c r="T96" s="369">
        <v>106</v>
      </c>
      <c r="U96" s="655">
        <v>0</v>
      </c>
      <c r="V96" s="67" t="s">
        <v>714</v>
      </c>
      <c r="W96" s="67" t="s">
        <v>714</v>
      </c>
      <c r="X96" s="671">
        <v>0</v>
      </c>
      <c r="Y96" s="232">
        <v>1</v>
      </c>
      <c r="Z96" s="248">
        <v>0</v>
      </c>
      <c r="AA96" s="230" t="s">
        <v>714</v>
      </c>
      <c r="AB96" s="248">
        <v>3</v>
      </c>
      <c r="AC96" s="236">
        <v>0</v>
      </c>
      <c r="AD96" s="191">
        <v>0</v>
      </c>
      <c r="AE96" s="248">
        <v>3</v>
      </c>
      <c r="AF96" s="254" t="s">
        <v>1036</v>
      </c>
    </row>
    <row r="97" spans="1:32" s="147" customFormat="1" ht="27" customHeight="1">
      <c r="A97" s="183" t="s">
        <v>1250</v>
      </c>
      <c r="B97" s="94">
        <v>5</v>
      </c>
      <c r="C97" s="184" t="s">
        <v>199</v>
      </c>
      <c r="D97" s="94">
        <v>11</v>
      </c>
      <c r="E97" s="182" t="s">
        <v>211</v>
      </c>
      <c r="F97" s="209">
        <v>45245</v>
      </c>
      <c r="G97" s="191" t="s">
        <v>1634</v>
      </c>
      <c r="H97" s="178" t="s">
        <v>1635</v>
      </c>
      <c r="I97" s="248">
        <v>15</v>
      </c>
      <c r="J97" s="716">
        <v>50</v>
      </c>
      <c r="K97" s="715">
        <v>50</v>
      </c>
      <c r="L97" s="685">
        <v>50</v>
      </c>
      <c r="M97" s="715">
        <f t="shared" si="2"/>
        <v>0</v>
      </c>
      <c r="N97" s="721">
        <v>0</v>
      </c>
      <c r="O97" s="721">
        <v>0</v>
      </c>
      <c r="P97" s="721">
        <v>0</v>
      </c>
      <c r="Q97" s="721">
        <v>0</v>
      </c>
      <c r="R97" s="191" t="s">
        <v>1120</v>
      </c>
      <c r="S97" s="191">
        <v>16.7</v>
      </c>
      <c r="T97" s="248">
        <v>58</v>
      </c>
      <c r="U97" s="655">
        <v>0</v>
      </c>
      <c r="V97" s="67" t="s">
        <v>714</v>
      </c>
      <c r="W97" s="67" t="s">
        <v>714</v>
      </c>
      <c r="X97" s="671">
        <v>0</v>
      </c>
      <c r="Y97" s="236">
        <v>1</v>
      </c>
      <c r="Z97" s="248">
        <v>0</v>
      </c>
      <c r="AA97" s="230" t="s">
        <v>714</v>
      </c>
      <c r="AB97" s="248">
        <v>4</v>
      </c>
      <c r="AC97" s="236">
        <v>0</v>
      </c>
      <c r="AD97" s="191">
        <v>0</v>
      </c>
      <c r="AE97" s="248">
        <v>6</v>
      </c>
      <c r="AF97" s="364" t="s">
        <v>1036</v>
      </c>
    </row>
    <row r="98" spans="1:32" ht="27" customHeight="1">
      <c r="A98" s="183" t="s">
        <v>1250</v>
      </c>
      <c r="B98" s="94">
        <v>5</v>
      </c>
      <c r="C98" s="184" t="s">
        <v>199</v>
      </c>
      <c r="D98" s="94">
        <v>12</v>
      </c>
      <c r="E98" s="182" t="s">
        <v>1071</v>
      </c>
      <c r="F98" s="209">
        <v>45245</v>
      </c>
      <c r="G98" s="191" t="s">
        <v>1634</v>
      </c>
      <c r="H98" s="158" t="s">
        <v>1635</v>
      </c>
      <c r="I98" s="248">
        <v>15</v>
      </c>
      <c r="J98" s="716">
        <v>30</v>
      </c>
      <c r="K98" s="715">
        <v>30</v>
      </c>
      <c r="L98" s="685">
        <v>40</v>
      </c>
      <c r="M98" s="715">
        <f t="shared" si="2"/>
        <v>-10</v>
      </c>
      <c r="N98" s="721">
        <v>0</v>
      </c>
      <c r="O98" s="721">
        <v>0</v>
      </c>
      <c r="P98" s="721">
        <v>0</v>
      </c>
      <c r="Q98" s="721">
        <v>0</v>
      </c>
      <c r="R98" s="95" t="s">
        <v>1120</v>
      </c>
      <c r="S98" s="210">
        <v>9.3000000000000007</v>
      </c>
      <c r="T98" s="369">
        <v>74</v>
      </c>
      <c r="U98" s="655">
        <v>0</v>
      </c>
      <c r="V98" s="67" t="s">
        <v>714</v>
      </c>
      <c r="W98" s="67" t="s">
        <v>714</v>
      </c>
      <c r="X98" s="671">
        <v>0</v>
      </c>
      <c r="Y98" s="232">
        <v>2</v>
      </c>
      <c r="Z98" s="248">
        <v>0.5</v>
      </c>
      <c r="AA98" s="230" t="s">
        <v>714</v>
      </c>
      <c r="AB98" s="248">
        <v>3</v>
      </c>
      <c r="AC98" s="236">
        <v>0</v>
      </c>
      <c r="AD98" s="191">
        <v>0</v>
      </c>
      <c r="AE98" s="248">
        <v>0</v>
      </c>
      <c r="AF98" s="254" t="s">
        <v>1506</v>
      </c>
    </row>
    <row r="99" spans="1:32" ht="27" customHeight="1">
      <c r="A99" s="183" t="s">
        <v>1250</v>
      </c>
      <c r="B99" s="94">
        <v>5</v>
      </c>
      <c r="C99" s="184" t="s">
        <v>199</v>
      </c>
      <c r="D99" s="94">
        <v>13</v>
      </c>
      <c r="E99" s="182" t="s">
        <v>212</v>
      </c>
      <c r="F99" s="209">
        <v>45175</v>
      </c>
      <c r="G99" s="191" t="s">
        <v>1634</v>
      </c>
      <c r="H99" s="158" t="s">
        <v>1635</v>
      </c>
      <c r="I99" s="248">
        <v>20</v>
      </c>
      <c r="J99" s="716">
        <v>30</v>
      </c>
      <c r="K99" s="715">
        <v>30</v>
      </c>
      <c r="L99" s="685">
        <v>20</v>
      </c>
      <c r="M99" s="715">
        <f t="shared" si="2"/>
        <v>10</v>
      </c>
      <c r="N99" s="721">
        <v>0</v>
      </c>
      <c r="O99" s="721">
        <v>0</v>
      </c>
      <c r="P99" s="721">
        <v>0</v>
      </c>
      <c r="Q99" s="721">
        <v>0</v>
      </c>
      <c r="R99" s="95" t="s">
        <v>945</v>
      </c>
      <c r="S99" s="210">
        <v>7.3</v>
      </c>
      <c r="T99" s="369">
        <v>38</v>
      </c>
      <c r="U99" s="655">
        <v>0</v>
      </c>
      <c r="V99" s="67" t="s">
        <v>714</v>
      </c>
      <c r="W99" s="67" t="s">
        <v>714</v>
      </c>
      <c r="X99" s="671">
        <v>0</v>
      </c>
      <c r="Y99" s="233">
        <v>1</v>
      </c>
      <c r="Z99" s="248">
        <v>0</v>
      </c>
      <c r="AA99" s="230" t="s">
        <v>714</v>
      </c>
      <c r="AB99" s="248">
        <v>2</v>
      </c>
      <c r="AC99" s="236">
        <v>0</v>
      </c>
      <c r="AD99" s="191">
        <v>0</v>
      </c>
      <c r="AE99" s="248">
        <v>4</v>
      </c>
      <c r="AF99" s="254" t="s">
        <v>1036</v>
      </c>
    </row>
    <row r="100" spans="1:32" ht="27" customHeight="1">
      <c r="A100" s="183" t="s">
        <v>1250</v>
      </c>
      <c r="B100" s="94">
        <v>5</v>
      </c>
      <c r="C100" s="184" t="s">
        <v>199</v>
      </c>
      <c r="D100" s="94">
        <v>14</v>
      </c>
      <c r="E100" s="182" t="s">
        <v>214</v>
      </c>
      <c r="F100" s="209">
        <v>45174</v>
      </c>
      <c r="G100" s="191" t="s">
        <v>1634</v>
      </c>
      <c r="H100" s="65" t="s">
        <v>1498</v>
      </c>
      <c r="I100" s="248">
        <v>15</v>
      </c>
      <c r="J100" s="716">
        <v>30</v>
      </c>
      <c r="K100" s="715">
        <v>30</v>
      </c>
      <c r="L100" s="685">
        <v>40</v>
      </c>
      <c r="M100" s="715">
        <f t="shared" si="2"/>
        <v>-10</v>
      </c>
      <c r="N100" s="721">
        <v>0</v>
      </c>
      <c r="O100" s="721">
        <v>0</v>
      </c>
      <c r="P100" s="721">
        <v>0</v>
      </c>
      <c r="Q100" s="721">
        <v>0</v>
      </c>
      <c r="R100" s="95" t="s">
        <v>945</v>
      </c>
      <c r="S100" s="210">
        <v>13.3</v>
      </c>
      <c r="T100" s="369">
        <v>44</v>
      </c>
      <c r="U100" s="655">
        <v>0</v>
      </c>
      <c r="V100" s="67" t="s">
        <v>714</v>
      </c>
      <c r="W100" s="67" t="s">
        <v>714</v>
      </c>
      <c r="X100" s="671">
        <v>0</v>
      </c>
      <c r="Y100" s="232">
        <v>2</v>
      </c>
      <c r="Z100" s="248">
        <v>0.5</v>
      </c>
      <c r="AA100" s="230" t="s">
        <v>714</v>
      </c>
      <c r="AB100" s="248">
        <v>3</v>
      </c>
      <c r="AC100" s="236">
        <v>0</v>
      </c>
      <c r="AD100" s="191">
        <v>0</v>
      </c>
      <c r="AE100" s="248">
        <v>14</v>
      </c>
      <c r="AF100" s="254" t="s">
        <v>1506</v>
      </c>
    </row>
    <row r="101" spans="1:32" ht="27" customHeight="1">
      <c r="A101" s="183" t="s">
        <v>1250</v>
      </c>
      <c r="B101" s="94">
        <v>5</v>
      </c>
      <c r="C101" s="184" t="s">
        <v>199</v>
      </c>
      <c r="D101" s="94">
        <v>15</v>
      </c>
      <c r="E101" s="182" t="s">
        <v>1621</v>
      </c>
      <c r="F101" s="209">
        <v>45175</v>
      </c>
      <c r="G101" s="191" t="s">
        <v>1634</v>
      </c>
      <c r="H101" s="158" t="s">
        <v>1635</v>
      </c>
      <c r="I101" s="248">
        <v>10</v>
      </c>
      <c r="J101" s="716">
        <v>10</v>
      </c>
      <c r="K101" s="715">
        <v>10</v>
      </c>
      <c r="L101" s="685">
        <v>10</v>
      </c>
      <c r="M101" s="715">
        <f t="shared" si="2"/>
        <v>0</v>
      </c>
      <c r="N101" s="721">
        <v>0</v>
      </c>
      <c r="O101" s="721">
        <v>0</v>
      </c>
      <c r="P101" s="721">
        <v>0</v>
      </c>
      <c r="Q101" s="721">
        <v>0</v>
      </c>
      <c r="R101" s="95" t="s">
        <v>945</v>
      </c>
      <c r="S101" s="210">
        <v>2.7</v>
      </c>
      <c r="T101" s="248" t="s">
        <v>949</v>
      </c>
      <c r="U101" s="655">
        <v>0</v>
      </c>
      <c r="V101" s="67" t="s">
        <v>714</v>
      </c>
      <c r="W101" s="67" t="s">
        <v>714</v>
      </c>
      <c r="X101" s="671">
        <v>0</v>
      </c>
      <c r="Y101" s="233">
        <v>1</v>
      </c>
      <c r="Z101" s="248">
        <v>0</v>
      </c>
      <c r="AA101" s="230" t="s">
        <v>714</v>
      </c>
      <c r="AB101" s="248">
        <v>3</v>
      </c>
      <c r="AC101" s="236">
        <v>0</v>
      </c>
      <c r="AD101" s="191">
        <v>0</v>
      </c>
      <c r="AE101" s="248">
        <v>8</v>
      </c>
      <c r="AF101" s="254" t="s">
        <v>1036</v>
      </c>
    </row>
    <row r="102" spans="1:32" ht="27" customHeight="1">
      <c r="A102" s="183" t="s">
        <v>1250</v>
      </c>
      <c r="B102" s="94">
        <v>5</v>
      </c>
      <c r="C102" s="184" t="s">
        <v>199</v>
      </c>
      <c r="D102" s="94">
        <v>16</v>
      </c>
      <c r="E102" s="182" t="s">
        <v>215</v>
      </c>
      <c r="F102" s="209">
        <v>45174</v>
      </c>
      <c r="G102" s="191" t="s">
        <v>1634</v>
      </c>
      <c r="H102" s="158" t="s">
        <v>1635</v>
      </c>
      <c r="I102" s="248">
        <v>15</v>
      </c>
      <c r="J102" s="716">
        <v>50</v>
      </c>
      <c r="K102" s="715">
        <v>50</v>
      </c>
      <c r="L102" s="685">
        <v>60</v>
      </c>
      <c r="M102" s="715">
        <f t="shared" si="2"/>
        <v>-10</v>
      </c>
      <c r="N102" s="721">
        <v>0</v>
      </c>
      <c r="O102" s="721">
        <v>0</v>
      </c>
      <c r="P102" s="721">
        <v>0</v>
      </c>
      <c r="Q102" s="721">
        <v>0</v>
      </c>
      <c r="R102" s="95" t="s">
        <v>1120</v>
      </c>
      <c r="S102" s="210">
        <v>15.3</v>
      </c>
      <c r="T102" s="369">
        <v>55.555555555555557</v>
      </c>
      <c r="U102" s="655">
        <v>0</v>
      </c>
      <c r="V102" s="67" t="s">
        <v>714</v>
      </c>
      <c r="W102" s="67" t="s">
        <v>714</v>
      </c>
      <c r="X102" s="671">
        <v>0</v>
      </c>
      <c r="Y102" s="232">
        <v>1</v>
      </c>
      <c r="Z102" s="248">
        <v>0</v>
      </c>
      <c r="AA102" s="230" t="s">
        <v>714</v>
      </c>
      <c r="AB102" s="248">
        <v>2</v>
      </c>
      <c r="AC102" s="236">
        <v>0</v>
      </c>
      <c r="AD102" s="191">
        <v>0</v>
      </c>
      <c r="AE102" s="248">
        <v>9</v>
      </c>
      <c r="AF102" s="254" t="s">
        <v>1036</v>
      </c>
    </row>
    <row r="103" spans="1:32" ht="27" customHeight="1">
      <c r="A103" s="183" t="s">
        <v>1250</v>
      </c>
      <c r="B103" s="94">
        <v>5</v>
      </c>
      <c r="C103" s="184" t="s">
        <v>199</v>
      </c>
      <c r="D103" s="94">
        <v>17</v>
      </c>
      <c r="E103" s="182" t="s">
        <v>216</v>
      </c>
      <c r="F103" s="209">
        <v>45174</v>
      </c>
      <c r="G103" s="191" t="s">
        <v>1634</v>
      </c>
      <c r="H103" s="158" t="s">
        <v>1635</v>
      </c>
      <c r="I103" s="248">
        <v>15</v>
      </c>
      <c r="J103" s="716">
        <v>40</v>
      </c>
      <c r="K103" s="715">
        <v>40</v>
      </c>
      <c r="L103" s="685">
        <v>50</v>
      </c>
      <c r="M103" s="715">
        <f t="shared" si="2"/>
        <v>-10</v>
      </c>
      <c r="N103" s="721">
        <v>0</v>
      </c>
      <c r="O103" s="721">
        <v>0</v>
      </c>
      <c r="P103" s="721">
        <v>0</v>
      </c>
      <c r="Q103" s="721">
        <v>0</v>
      </c>
      <c r="R103" s="95" t="s">
        <v>945</v>
      </c>
      <c r="S103" s="210">
        <v>3.3</v>
      </c>
      <c r="T103" s="369">
        <v>8.5714285714285712</v>
      </c>
      <c r="U103" s="655">
        <v>0</v>
      </c>
      <c r="V103" s="67" t="s">
        <v>714</v>
      </c>
      <c r="W103" s="67" t="s">
        <v>714</v>
      </c>
      <c r="X103" s="671">
        <v>0</v>
      </c>
      <c r="Y103" s="232">
        <v>1</v>
      </c>
      <c r="Z103" s="248">
        <v>0</v>
      </c>
      <c r="AA103" s="230" t="s">
        <v>714</v>
      </c>
      <c r="AB103" s="248">
        <v>3</v>
      </c>
      <c r="AC103" s="236">
        <v>0</v>
      </c>
      <c r="AD103" s="191">
        <v>0</v>
      </c>
      <c r="AE103" s="248">
        <v>8</v>
      </c>
      <c r="AF103" s="254" t="s">
        <v>1036</v>
      </c>
    </row>
    <row r="104" spans="1:32" s="147" customFormat="1" ht="27" customHeight="1">
      <c r="A104" s="183" t="s">
        <v>1250</v>
      </c>
      <c r="B104" s="94">
        <v>5</v>
      </c>
      <c r="C104" s="184" t="s">
        <v>199</v>
      </c>
      <c r="D104" s="94">
        <v>18</v>
      </c>
      <c r="E104" s="182" t="s">
        <v>218</v>
      </c>
      <c r="F104" s="209">
        <v>45174</v>
      </c>
      <c r="G104" s="191" t="s">
        <v>1634</v>
      </c>
      <c r="H104" s="158" t="s">
        <v>1635</v>
      </c>
      <c r="I104" s="248">
        <v>15</v>
      </c>
      <c r="J104" s="716">
        <v>70</v>
      </c>
      <c r="K104" s="715">
        <v>70</v>
      </c>
      <c r="L104" s="685">
        <v>70</v>
      </c>
      <c r="M104" s="715">
        <f t="shared" si="2"/>
        <v>0</v>
      </c>
      <c r="N104" s="721">
        <v>0</v>
      </c>
      <c r="O104" s="721">
        <v>0</v>
      </c>
      <c r="P104" s="721">
        <v>0</v>
      </c>
      <c r="Q104" s="721">
        <v>0</v>
      </c>
      <c r="R104" s="95" t="s">
        <v>1120</v>
      </c>
      <c r="S104" s="210">
        <v>10</v>
      </c>
      <c r="T104" s="369">
        <v>79</v>
      </c>
      <c r="U104" s="655">
        <v>0</v>
      </c>
      <c r="V104" s="67" t="s">
        <v>714</v>
      </c>
      <c r="W104" s="67" t="s">
        <v>714</v>
      </c>
      <c r="X104" s="671">
        <v>0</v>
      </c>
      <c r="Y104" s="232">
        <v>2</v>
      </c>
      <c r="Z104" s="248">
        <v>0.5</v>
      </c>
      <c r="AA104" s="230" t="s">
        <v>714</v>
      </c>
      <c r="AB104" s="248">
        <v>3</v>
      </c>
      <c r="AC104" s="236">
        <v>0</v>
      </c>
      <c r="AD104" s="191">
        <v>0</v>
      </c>
      <c r="AE104" s="248">
        <v>5</v>
      </c>
      <c r="AF104" s="254" t="s">
        <v>1506</v>
      </c>
    </row>
    <row r="105" spans="1:32" s="147" customFormat="1" ht="27" customHeight="1">
      <c r="A105" s="183" t="s">
        <v>1250</v>
      </c>
      <c r="B105" s="94">
        <v>5</v>
      </c>
      <c r="C105" s="184" t="s">
        <v>199</v>
      </c>
      <c r="D105" s="94">
        <v>19</v>
      </c>
      <c r="E105" s="182" t="s">
        <v>219</v>
      </c>
      <c r="F105" s="209">
        <v>45174</v>
      </c>
      <c r="G105" s="191" t="s">
        <v>1634</v>
      </c>
      <c r="H105" s="158" t="s">
        <v>1635</v>
      </c>
      <c r="I105" s="248">
        <v>20</v>
      </c>
      <c r="J105" s="716">
        <v>60</v>
      </c>
      <c r="K105" s="715">
        <v>60</v>
      </c>
      <c r="L105" s="685">
        <v>70</v>
      </c>
      <c r="M105" s="715">
        <f t="shared" si="2"/>
        <v>-10</v>
      </c>
      <c r="N105" s="721">
        <v>0</v>
      </c>
      <c r="O105" s="721">
        <v>0</v>
      </c>
      <c r="P105" s="721">
        <v>0</v>
      </c>
      <c r="Q105" s="721">
        <v>0</v>
      </c>
      <c r="R105" s="95" t="s">
        <v>945</v>
      </c>
      <c r="S105" s="210">
        <v>5.3</v>
      </c>
      <c r="T105" s="369">
        <v>50</v>
      </c>
      <c r="U105" s="655">
        <v>0</v>
      </c>
      <c r="V105" s="67" t="s">
        <v>714</v>
      </c>
      <c r="W105" s="67" t="s">
        <v>714</v>
      </c>
      <c r="X105" s="671">
        <v>0</v>
      </c>
      <c r="Y105" s="232">
        <v>2</v>
      </c>
      <c r="Z105" s="248">
        <v>0.5</v>
      </c>
      <c r="AA105" s="230" t="s">
        <v>714</v>
      </c>
      <c r="AB105" s="248">
        <v>3</v>
      </c>
      <c r="AC105" s="236">
        <v>1</v>
      </c>
      <c r="AD105" s="191">
        <v>0</v>
      </c>
      <c r="AE105" s="248">
        <v>3</v>
      </c>
      <c r="AF105" s="254" t="s">
        <v>1506</v>
      </c>
    </row>
    <row r="106" spans="1:32" s="147" customFormat="1" ht="27" customHeight="1">
      <c r="A106" s="183" t="s">
        <v>1250</v>
      </c>
      <c r="B106" s="94">
        <v>5</v>
      </c>
      <c r="C106" s="184" t="s">
        <v>199</v>
      </c>
      <c r="D106" s="94">
        <v>20</v>
      </c>
      <c r="E106" s="182" t="s">
        <v>220</v>
      </c>
      <c r="F106" s="209">
        <v>45174</v>
      </c>
      <c r="G106" s="191" t="s">
        <v>1634</v>
      </c>
      <c r="H106" s="158" t="s">
        <v>1635</v>
      </c>
      <c r="I106" s="248">
        <v>15</v>
      </c>
      <c r="J106" s="716">
        <v>70</v>
      </c>
      <c r="K106" s="715">
        <v>70</v>
      </c>
      <c r="L106" s="685">
        <v>80</v>
      </c>
      <c r="M106" s="715">
        <f t="shared" si="2"/>
        <v>-10</v>
      </c>
      <c r="N106" s="721">
        <v>0</v>
      </c>
      <c r="O106" s="721">
        <v>0</v>
      </c>
      <c r="P106" s="721">
        <v>0</v>
      </c>
      <c r="Q106" s="721">
        <v>0</v>
      </c>
      <c r="R106" s="95" t="s">
        <v>1165</v>
      </c>
      <c r="S106" s="210">
        <v>14</v>
      </c>
      <c r="T106" s="369">
        <v>112</v>
      </c>
      <c r="U106" s="655">
        <v>0</v>
      </c>
      <c r="V106" s="67" t="s">
        <v>714</v>
      </c>
      <c r="W106" s="67" t="s">
        <v>714</v>
      </c>
      <c r="X106" s="671">
        <v>0.5</v>
      </c>
      <c r="Y106" s="232">
        <v>1</v>
      </c>
      <c r="Z106" s="248">
        <v>0</v>
      </c>
      <c r="AA106" s="230" t="s">
        <v>714</v>
      </c>
      <c r="AB106" s="248">
        <v>3</v>
      </c>
      <c r="AC106" s="236">
        <v>2</v>
      </c>
      <c r="AD106" s="191">
        <v>0</v>
      </c>
      <c r="AE106" s="248">
        <v>8</v>
      </c>
      <c r="AF106" s="254" t="s">
        <v>1506</v>
      </c>
    </row>
    <row r="107" spans="1:32" ht="27" customHeight="1">
      <c r="A107" s="183" t="s">
        <v>1250</v>
      </c>
      <c r="B107" s="94">
        <v>5</v>
      </c>
      <c r="C107" s="184" t="s">
        <v>199</v>
      </c>
      <c r="D107" s="94">
        <v>21</v>
      </c>
      <c r="E107" s="182" t="s">
        <v>221</v>
      </c>
      <c r="F107" s="209">
        <v>45178</v>
      </c>
      <c r="G107" s="191" t="s">
        <v>1634</v>
      </c>
      <c r="H107" s="158" t="s">
        <v>1635</v>
      </c>
      <c r="I107" s="248">
        <v>15</v>
      </c>
      <c r="J107" s="716">
        <v>40</v>
      </c>
      <c r="K107" s="715">
        <v>40</v>
      </c>
      <c r="L107" s="685">
        <v>60</v>
      </c>
      <c r="M107" s="715">
        <f t="shared" si="2"/>
        <v>-20</v>
      </c>
      <c r="N107" s="721">
        <v>0</v>
      </c>
      <c r="O107" s="721">
        <v>0</v>
      </c>
      <c r="P107" s="721">
        <v>0</v>
      </c>
      <c r="Q107" s="721">
        <v>0</v>
      </c>
      <c r="R107" s="95" t="s">
        <v>945</v>
      </c>
      <c r="S107" s="210">
        <v>19.3</v>
      </c>
      <c r="T107" s="369">
        <v>88</v>
      </c>
      <c r="U107" s="655">
        <v>0</v>
      </c>
      <c r="V107" s="67" t="s">
        <v>714</v>
      </c>
      <c r="W107" s="67" t="s">
        <v>714</v>
      </c>
      <c r="X107" s="671">
        <v>0</v>
      </c>
      <c r="Y107" s="232">
        <v>2</v>
      </c>
      <c r="Z107" s="248">
        <v>0.5</v>
      </c>
      <c r="AA107" s="230" t="s">
        <v>714</v>
      </c>
      <c r="AB107" s="248">
        <v>2</v>
      </c>
      <c r="AC107" s="236">
        <v>0</v>
      </c>
      <c r="AD107" s="191">
        <v>0</v>
      </c>
      <c r="AE107" s="248">
        <v>0</v>
      </c>
      <c r="AF107" s="254" t="s">
        <v>1036</v>
      </c>
    </row>
    <row r="108" spans="1:32" s="147" customFormat="1" ht="27" customHeight="1">
      <c r="A108" s="183" t="s">
        <v>1250</v>
      </c>
      <c r="B108" s="94">
        <v>5</v>
      </c>
      <c r="C108" s="184" t="s">
        <v>199</v>
      </c>
      <c r="D108" s="94">
        <v>22</v>
      </c>
      <c r="E108" s="182" t="s">
        <v>222</v>
      </c>
      <c r="F108" s="209"/>
      <c r="G108" s="191"/>
      <c r="H108" s="178"/>
      <c r="I108" s="248"/>
      <c r="J108" s="447"/>
      <c r="K108" s="626"/>
      <c r="L108" s="621"/>
      <c r="M108" s="626"/>
      <c r="N108" s="721"/>
      <c r="O108" s="721"/>
      <c r="P108" s="721"/>
      <c r="Q108" s="721"/>
      <c r="R108" s="191"/>
      <c r="S108" s="191"/>
      <c r="T108" s="248"/>
      <c r="U108" s="655"/>
      <c r="V108" s="67"/>
      <c r="W108" s="67"/>
      <c r="X108" s="671"/>
      <c r="Y108" s="236"/>
      <c r="Z108" s="248"/>
      <c r="AA108" s="230"/>
      <c r="AB108" s="248"/>
      <c r="AC108" s="236"/>
      <c r="AD108" s="191"/>
      <c r="AE108" s="248"/>
      <c r="AF108" s="364"/>
    </row>
    <row r="109" spans="1:32" s="147" customFormat="1" ht="27" customHeight="1">
      <c r="A109" s="183" t="s">
        <v>1250</v>
      </c>
      <c r="B109" s="94">
        <v>5</v>
      </c>
      <c r="C109" s="184" t="s">
        <v>199</v>
      </c>
      <c r="D109" s="94" t="s">
        <v>1603</v>
      </c>
      <c r="E109" s="182" t="s">
        <v>1558</v>
      </c>
      <c r="F109" s="209"/>
      <c r="G109" s="191"/>
      <c r="H109" s="178"/>
      <c r="I109" s="248"/>
      <c r="J109" s="447"/>
      <c r="K109" s="626"/>
      <c r="L109" s="621"/>
      <c r="M109" s="626"/>
      <c r="N109" s="721"/>
      <c r="O109" s="721"/>
      <c r="P109" s="721"/>
      <c r="Q109" s="721"/>
      <c r="R109" s="191"/>
      <c r="S109" s="191"/>
      <c r="T109" s="248"/>
      <c r="U109" s="655"/>
      <c r="V109" s="67"/>
      <c r="W109" s="67"/>
      <c r="X109" s="671"/>
      <c r="Y109" s="236"/>
      <c r="Z109" s="248"/>
      <c r="AA109" s="230"/>
      <c r="AB109" s="248"/>
      <c r="AC109" s="236"/>
      <c r="AD109" s="191"/>
      <c r="AE109" s="248"/>
      <c r="AF109" s="364"/>
    </row>
    <row r="110" spans="1:32" ht="27" customHeight="1">
      <c r="A110" s="183" t="s">
        <v>1250</v>
      </c>
      <c r="B110" s="94">
        <v>5</v>
      </c>
      <c r="C110" s="184" t="s">
        <v>199</v>
      </c>
      <c r="D110" s="94">
        <v>23</v>
      </c>
      <c r="E110" s="182" t="s">
        <v>224</v>
      </c>
      <c r="F110" s="209">
        <v>45178</v>
      </c>
      <c r="G110" s="191" t="s">
        <v>1634</v>
      </c>
      <c r="H110" s="158" t="s">
        <v>1635</v>
      </c>
      <c r="I110" s="248">
        <v>15</v>
      </c>
      <c r="J110" s="716">
        <v>70</v>
      </c>
      <c r="K110" s="715">
        <v>70</v>
      </c>
      <c r="L110" s="685">
        <v>80</v>
      </c>
      <c r="M110" s="715">
        <f t="shared" ref="M110:M116" si="3">K110-L110</f>
        <v>-10</v>
      </c>
      <c r="N110" s="721">
        <v>0</v>
      </c>
      <c r="O110" s="721">
        <v>0</v>
      </c>
      <c r="P110" s="721">
        <v>0</v>
      </c>
      <c r="Q110" s="721">
        <v>0</v>
      </c>
      <c r="R110" s="95" t="s">
        <v>945</v>
      </c>
      <c r="S110" s="210">
        <v>26.7</v>
      </c>
      <c r="T110" s="369">
        <v>78.888888888888886</v>
      </c>
      <c r="U110" s="655">
        <v>0</v>
      </c>
      <c r="V110" s="67" t="s">
        <v>714</v>
      </c>
      <c r="W110" s="67" t="s">
        <v>714</v>
      </c>
      <c r="X110" s="671">
        <v>0</v>
      </c>
      <c r="Y110" s="233">
        <v>1</v>
      </c>
      <c r="Z110" s="248">
        <v>0</v>
      </c>
      <c r="AA110" s="230" t="s">
        <v>714</v>
      </c>
      <c r="AB110" s="248">
        <v>3</v>
      </c>
      <c r="AC110" s="236">
        <v>0</v>
      </c>
      <c r="AD110" s="191">
        <v>0</v>
      </c>
      <c r="AE110" s="248">
        <v>3</v>
      </c>
      <c r="AF110" s="254" t="s">
        <v>1036</v>
      </c>
    </row>
    <row r="111" spans="1:32" ht="27" customHeight="1">
      <c r="A111" s="183" t="s">
        <v>1250</v>
      </c>
      <c r="B111" s="94">
        <v>5</v>
      </c>
      <c r="C111" s="184" t="s">
        <v>199</v>
      </c>
      <c r="D111" s="94">
        <v>24</v>
      </c>
      <c r="E111" s="182" t="s">
        <v>225</v>
      </c>
      <c r="F111" s="209">
        <v>45187</v>
      </c>
      <c r="G111" s="191" t="s">
        <v>1634</v>
      </c>
      <c r="H111" s="158" t="s">
        <v>1635</v>
      </c>
      <c r="I111" s="248">
        <v>15</v>
      </c>
      <c r="J111" s="716">
        <v>30</v>
      </c>
      <c r="K111" s="715">
        <v>30</v>
      </c>
      <c r="L111" s="685">
        <v>30</v>
      </c>
      <c r="M111" s="715">
        <f t="shared" si="3"/>
        <v>0</v>
      </c>
      <c r="N111" s="721">
        <v>0</v>
      </c>
      <c r="O111" s="721">
        <v>0</v>
      </c>
      <c r="P111" s="721">
        <v>0</v>
      </c>
      <c r="Q111" s="721">
        <v>0</v>
      </c>
      <c r="R111" s="95" t="s">
        <v>945</v>
      </c>
      <c r="S111" s="210">
        <v>1.3</v>
      </c>
      <c r="T111" s="369" t="s">
        <v>949</v>
      </c>
      <c r="U111" s="655">
        <v>0</v>
      </c>
      <c r="V111" s="67" t="s">
        <v>714</v>
      </c>
      <c r="W111" s="67" t="s">
        <v>714</v>
      </c>
      <c r="X111" s="671">
        <v>0</v>
      </c>
      <c r="Y111" s="232">
        <v>2</v>
      </c>
      <c r="Z111" s="248">
        <v>0.5</v>
      </c>
      <c r="AA111" s="230" t="s">
        <v>714</v>
      </c>
      <c r="AB111" s="248">
        <v>3</v>
      </c>
      <c r="AC111" s="236">
        <v>0</v>
      </c>
      <c r="AD111" s="191">
        <v>0</v>
      </c>
      <c r="AE111" s="248">
        <v>10</v>
      </c>
      <c r="AF111" s="254" t="s">
        <v>1036</v>
      </c>
    </row>
    <row r="112" spans="1:32" ht="27" customHeight="1">
      <c r="A112" s="183" t="s">
        <v>1250</v>
      </c>
      <c r="B112" s="94">
        <v>5</v>
      </c>
      <c r="C112" s="184" t="s">
        <v>199</v>
      </c>
      <c r="D112" s="94">
        <v>25</v>
      </c>
      <c r="E112" s="182" t="s">
        <v>226</v>
      </c>
      <c r="F112" s="209">
        <v>45187</v>
      </c>
      <c r="G112" s="191" t="s">
        <v>1634</v>
      </c>
      <c r="H112" s="158" t="s">
        <v>1635</v>
      </c>
      <c r="I112" s="248">
        <v>15</v>
      </c>
      <c r="J112" s="716">
        <v>60</v>
      </c>
      <c r="K112" s="715">
        <v>60</v>
      </c>
      <c r="L112" s="685">
        <v>60</v>
      </c>
      <c r="M112" s="715">
        <f t="shared" si="3"/>
        <v>0</v>
      </c>
      <c r="N112" s="721">
        <v>0</v>
      </c>
      <c r="O112" s="721">
        <v>0</v>
      </c>
      <c r="P112" s="721">
        <v>0</v>
      </c>
      <c r="Q112" s="721">
        <v>0</v>
      </c>
      <c r="R112" s="95" t="s">
        <v>945</v>
      </c>
      <c r="S112" s="210">
        <v>39.299999999999997</v>
      </c>
      <c r="T112" s="369">
        <v>79</v>
      </c>
      <c r="U112" s="655">
        <v>0</v>
      </c>
      <c r="V112" s="67" t="s">
        <v>714</v>
      </c>
      <c r="W112" s="67" t="s">
        <v>714</v>
      </c>
      <c r="X112" s="671">
        <v>0</v>
      </c>
      <c r="Y112" s="232">
        <v>1</v>
      </c>
      <c r="Z112" s="248">
        <v>0</v>
      </c>
      <c r="AA112" s="230" t="s">
        <v>714</v>
      </c>
      <c r="AB112" s="248">
        <v>3</v>
      </c>
      <c r="AC112" s="236">
        <v>0</v>
      </c>
      <c r="AD112" s="191">
        <v>0</v>
      </c>
      <c r="AE112" s="248">
        <v>8</v>
      </c>
      <c r="AF112" s="254" t="s">
        <v>1506</v>
      </c>
    </row>
    <row r="113" spans="1:32" s="147" customFormat="1" ht="27" customHeight="1">
      <c r="A113" s="183" t="s">
        <v>1250</v>
      </c>
      <c r="B113" s="94">
        <v>5</v>
      </c>
      <c r="C113" s="184" t="s">
        <v>199</v>
      </c>
      <c r="D113" s="94">
        <v>26</v>
      </c>
      <c r="E113" s="182" t="s">
        <v>1622</v>
      </c>
      <c r="F113" s="209">
        <v>45187</v>
      </c>
      <c r="G113" s="191" t="s">
        <v>1634</v>
      </c>
      <c r="H113" s="158" t="s">
        <v>1635</v>
      </c>
      <c r="I113" s="248">
        <v>15</v>
      </c>
      <c r="J113" s="716">
        <v>40</v>
      </c>
      <c r="K113" s="715">
        <v>40</v>
      </c>
      <c r="L113" s="685">
        <v>20</v>
      </c>
      <c r="M113" s="715">
        <f t="shared" si="3"/>
        <v>20</v>
      </c>
      <c r="N113" s="721">
        <v>0</v>
      </c>
      <c r="O113" s="721">
        <v>0</v>
      </c>
      <c r="P113" s="721">
        <v>0</v>
      </c>
      <c r="Q113" s="721">
        <v>0</v>
      </c>
      <c r="R113" s="95" t="s">
        <v>945</v>
      </c>
      <c r="S113" s="210">
        <v>0.7</v>
      </c>
      <c r="T113" s="369">
        <v>22.5</v>
      </c>
      <c r="U113" s="655">
        <v>0</v>
      </c>
      <c r="V113" s="67" t="s">
        <v>714</v>
      </c>
      <c r="W113" s="67" t="s">
        <v>714</v>
      </c>
      <c r="X113" s="671">
        <v>0</v>
      </c>
      <c r="Y113" s="232">
        <v>2</v>
      </c>
      <c r="Z113" s="248">
        <v>0.5</v>
      </c>
      <c r="AA113" s="230" t="s">
        <v>714</v>
      </c>
      <c r="AB113" s="248">
        <v>2</v>
      </c>
      <c r="AC113" s="236">
        <v>0</v>
      </c>
      <c r="AD113" s="191">
        <v>0</v>
      </c>
      <c r="AE113" s="248">
        <v>2</v>
      </c>
      <c r="AF113" s="254" t="s">
        <v>1506</v>
      </c>
    </row>
    <row r="114" spans="1:32" ht="27" customHeight="1">
      <c r="A114" s="183" t="s">
        <v>1250</v>
      </c>
      <c r="B114" s="94">
        <v>5</v>
      </c>
      <c r="C114" s="184" t="s">
        <v>199</v>
      </c>
      <c r="D114" s="94">
        <v>27</v>
      </c>
      <c r="E114" s="182" t="s">
        <v>1623</v>
      </c>
      <c r="F114" s="209">
        <v>45187</v>
      </c>
      <c r="G114" s="191" t="s">
        <v>1634</v>
      </c>
      <c r="H114" s="158" t="s">
        <v>1635</v>
      </c>
      <c r="I114" s="248">
        <v>15</v>
      </c>
      <c r="J114" s="716">
        <v>80</v>
      </c>
      <c r="K114" s="715">
        <v>80</v>
      </c>
      <c r="L114" s="685">
        <v>80</v>
      </c>
      <c r="M114" s="715">
        <f t="shared" si="3"/>
        <v>0</v>
      </c>
      <c r="N114" s="721">
        <v>0</v>
      </c>
      <c r="O114" s="721">
        <v>0</v>
      </c>
      <c r="P114" s="721">
        <v>0</v>
      </c>
      <c r="Q114" s="721">
        <v>0</v>
      </c>
      <c r="R114" s="95" t="s">
        <v>945</v>
      </c>
      <c r="S114" s="210">
        <v>16.7</v>
      </c>
      <c r="T114" s="369">
        <v>108</v>
      </c>
      <c r="U114" s="655">
        <v>0</v>
      </c>
      <c r="V114" s="67" t="s">
        <v>714</v>
      </c>
      <c r="W114" s="67" t="s">
        <v>714</v>
      </c>
      <c r="X114" s="671">
        <v>0</v>
      </c>
      <c r="Y114" s="232">
        <v>1</v>
      </c>
      <c r="Z114" s="248">
        <v>0</v>
      </c>
      <c r="AA114" s="230" t="s">
        <v>714</v>
      </c>
      <c r="AB114" s="248">
        <v>4</v>
      </c>
      <c r="AC114" s="236">
        <v>0</v>
      </c>
      <c r="AD114" s="191">
        <v>0</v>
      </c>
      <c r="AE114" s="248">
        <v>15</v>
      </c>
      <c r="AF114" s="254" t="s">
        <v>1036</v>
      </c>
    </row>
    <row r="115" spans="1:32" s="147" customFormat="1" ht="27" customHeight="1">
      <c r="A115" s="183" t="s">
        <v>1250</v>
      </c>
      <c r="B115" s="94">
        <v>5</v>
      </c>
      <c r="C115" s="184" t="s">
        <v>199</v>
      </c>
      <c r="D115" s="94">
        <v>28</v>
      </c>
      <c r="E115" s="182" t="s">
        <v>1624</v>
      </c>
      <c r="F115" s="209">
        <v>45187</v>
      </c>
      <c r="G115" s="191" t="s">
        <v>1634</v>
      </c>
      <c r="H115" s="158" t="s">
        <v>1635</v>
      </c>
      <c r="I115" s="248">
        <v>15</v>
      </c>
      <c r="J115" s="716">
        <v>40</v>
      </c>
      <c r="K115" s="715">
        <v>40</v>
      </c>
      <c r="L115" s="685">
        <v>40</v>
      </c>
      <c r="M115" s="715">
        <f t="shared" si="3"/>
        <v>0</v>
      </c>
      <c r="N115" s="721">
        <v>0</v>
      </c>
      <c r="O115" s="721">
        <v>0</v>
      </c>
      <c r="P115" s="721">
        <v>0</v>
      </c>
      <c r="Q115" s="721">
        <v>0</v>
      </c>
      <c r="R115" s="95" t="s">
        <v>945</v>
      </c>
      <c r="S115" s="210">
        <v>2</v>
      </c>
      <c r="T115" s="369">
        <v>37</v>
      </c>
      <c r="U115" s="655">
        <v>0</v>
      </c>
      <c r="V115" s="67" t="s">
        <v>714</v>
      </c>
      <c r="W115" s="67" t="s">
        <v>714</v>
      </c>
      <c r="X115" s="671">
        <v>0</v>
      </c>
      <c r="Y115" s="232">
        <v>1</v>
      </c>
      <c r="Z115" s="248">
        <v>0</v>
      </c>
      <c r="AA115" s="230" t="s">
        <v>714</v>
      </c>
      <c r="AB115" s="248">
        <v>2</v>
      </c>
      <c r="AC115" s="236">
        <v>0</v>
      </c>
      <c r="AD115" s="191">
        <v>0</v>
      </c>
      <c r="AE115" s="248">
        <v>3</v>
      </c>
      <c r="AF115" s="254" t="s">
        <v>1506</v>
      </c>
    </row>
    <row r="116" spans="1:32" ht="27" customHeight="1">
      <c r="A116" s="183" t="s">
        <v>1250</v>
      </c>
      <c r="B116" s="94">
        <v>5</v>
      </c>
      <c r="C116" s="184" t="s">
        <v>199</v>
      </c>
      <c r="D116" s="94">
        <v>29</v>
      </c>
      <c r="E116" s="182" t="s">
        <v>1625</v>
      </c>
      <c r="F116" s="209">
        <v>45187</v>
      </c>
      <c r="G116" s="191" t="s">
        <v>1634</v>
      </c>
      <c r="H116" s="65" t="s">
        <v>1498</v>
      </c>
      <c r="I116" s="248">
        <v>15</v>
      </c>
      <c r="J116" s="716">
        <v>80</v>
      </c>
      <c r="K116" s="715">
        <v>80</v>
      </c>
      <c r="L116" s="685">
        <v>80</v>
      </c>
      <c r="M116" s="715">
        <f t="shared" si="3"/>
        <v>0</v>
      </c>
      <c r="N116" s="721">
        <v>0</v>
      </c>
      <c r="O116" s="721">
        <v>0</v>
      </c>
      <c r="P116" s="721">
        <v>0</v>
      </c>
      <c r="Q116" s="721">
        <v>0</v>
      </c>
      <c r="R116" s="158" t="s">
        <v>944</v>
      </c>
      <c r="S116" s="210">
        <v>19.3</v>
      </c>
      <c r="T116" s="369">
        <v>99</v>
      </c>
      <c r="U116" s="655">
        <v>0</v>
      </c>
      <c r="V116" s="67" t="s">
        <v>714</v>
      </c>
      <c r="W116" s="67" t="s">
        <v>714</v>
      </c>
      <c r="X116" s="671">
        <v>0</v>
      </c>
      <c r="Y116" s="232">
        <v>1</v>
      </c>
      <c r="Z116" s="248">
        <v>0</v>
      </c>
      <c r="AA116" s="230" t="s">
        <v>714</v>
      </c>
      <c r="AB116" s="248">
        <v>3</v>
      </c>
      <c r="AC116" s="236">
        <v>0</v>
      </c>
      <c r="AD116" s="191">
        <v>0</v>
      </c>
      <c r="AE116" s="248">
        <v>9</v>
      </c>
      <c r="AF116" s="254" t="s">
        <v>1036</v>
      </c>
    </row>
    <row r="117" spans="1:32" s="147" customFormat="1" ht="27" customHeight="1">
      <c r="A117" s="183" t="s">
        <v>1250</v>
      </c>
      <c r="B117" s="94">
        <v>5</v>
      </c>
      <c r="C117" s="184" t="s">
        <v>199</v>
      </c>
      <c r="D117" s="94">
        <v>30</v>
      </c>
      <c r="E117" s="182" t="s">
        <v>1626</v>
      </c>
      <c r="F117" s="209"/>
      <c r="G117" s="191"/>
      <c r="H117" s="191"/>
      <c r="I117" s="248"/>
      <c r="J117" s="716"/>
      <c r="K117" s="715"/>
      <c r="L117" s="685">
        <v>70</v>
      </c>
      <c r="M117" s="715"/>
      <c r="N117" s="721"/>
      <c r="O117" s="721"/>
      <c r="P117" s="721"/>
      <c r="Q117" s="721"/>
      <c r="R117" s="191"/>
      <c r="S117" s="191"/>
      <c r="T117" s="248"/>
      <c r="U117" s="655"/>
      <c r="V117" s="67"/>
      <c r="W117" s="67"/>
      <c r="X117" s="671"/>
      <c r="Y117" s="236"/>
      <c r="Z117" s="248"/>
      <c r="AA117" s="230"/>
      <c r="AB117" s="248"/>
      <c r="AC117" s="236"/>
      <c r="AD117" s="191"/>
      <c r="AE117" s="248"/>
      <c r="AF117" s="364"/>
    </row>
    <row r="118" spans="1:32" ht="27" customHeight="1">
      <c r="A118" s="183" t="s">
        <v>1250</v>
      </c>
      <c r="B118" s="94">
        <v>5</v>
      </c>
      <c r="C118" s="184" t="s">
        <v>199</v>
      </c>
      <c r="D118" s="94">
        <v>31</v>
      </c>
      <c r="E118" s="182" t="s">
        <v>229</v>
      </c>
      <c r="F118" s="209">
        <v>45181</v>
      </c>
      <c r="G118" s="191" t="s">
        <v>1634</v>
      </c>
      <c r="H118" s="158" t="s">
        <v>1635</v>
      </c>
      <c r="I118" s="248">
        <v>15</v>
      </c>
      <c r="J118" s="716">
        <v>30</v>
      </c>
      <c r="K118" s="715">
        <v>30</v>
      </c>
      <c r="L118" s="685">
        <v>50</v>
      </c>
      <c r="M118" s="715">
        <f>K118-L118</f>
        <v>-20</v>
      </c>
      <c r="N118" s="721">
        <v>0</v>
      </c>
      <c r="O118" s="721">
        <v>0</v>
      </c>
      <c r="P118" s="721">
        <v>0</v>
      </c>
      <c r="Q118" s="721">
        <v>0</v>
      </c>
      <c r="R118" s="95" t="s">
        <v>945</v>
      </c>
      <c r="S118" s="210">
        <v>20.7</v>
      </c>
      <c r="T118" s="369">
        <v>57</v>
      </c>
      <c r="U118" s="655">
        <v>0</v>
      </c>
      <c r="V118" s="67" t="s">
        <v>714</v>
      </c>
      <c r="W118" s="67" t="s">
        <v>714</v>
      </c>
      <c r="X118" s="671">
        <v>0</v>
      </c>
      <c r="Y118" s="233">
        <v>1</v>
      </c>
      <c r="Z118" s="248">
        <v>0</v>
      </c>
      <c r="AA118" s="230" t="s">
        <v>714</v>
      </c>
      <c r="AB118" s="248">
        <v>3</v>
      </c>
      <c r="AC118" s="236">
        <v>0</v>
      </c>
      <c r="AD118" s="191">
        <v>0</v>
      </c>
      <c r="AE118" s="248">
        <v>11</v>
      </c>
      <c r="AF118" s="254" t="s">
        <v>1036</v>
      </c>
    </row>
    <row r="119" spans="1:32" s="147" customFormat="1" ht="27" customHeight="1">
      <c r="A119" s="183" t="s">
        <v>1250</v>
      </c>
      <c r="B119" s="94">
        <v>5</v>
      </c>
      <c r="C119" s="184" t="s">
        <v>199</v>
      </c>
      <c r="D119" s="94">
        <v>32</v>
      </c>
      <c r="E119" s="182" t="s">
        <v>1627</v>
      </c>
      <c r="F119" s="209">
        <v>45245</v>
      </c>
      <c r="G119" s="191" t="s">
        <v>1634</v>
      </c>
      <c r="H119" s="158" t="s">
        <v>1635</v>
      </c>
      <c r="I119" s="248">
        <v>15</v>
      </c>
      <c r="J119" s="716">
        <v>30</v>
      </c>
      <c r="K119" s="715">
        <v>30</v>
      </c>
      <c r="L119" s="685">
        <v>30</v>
      </c>
      <c r="M119" s="715">
        <f>K119-L119</f>
        <v>0</v>
      </c>
      <c r="N119" s="721">
        <v>0</v>
      </c>
      <c r="O119" s="721">
        <v>0</v>
      </c>
      <c r="P119" s="721">
        <v>0</v>
      </c>
      <c r="Q119" s="721">
        <v>0</v>
      </c>
      <c r="R119" s="95" t="s">
        <v>944</v>
      </c>
      <c r="S119" s="210">
        <v>4</v>
      </c>
      <c r="T119" s="369">
        <v>47</v>
      </c>
      <c r="U119" s="655">
        <v>0</v>
      </c>
      <c r="V119" s="67" t="s">
        <v>714</v>
      </c>
      <c r="W119" s="67" t="s">
        <v>714</v>
      </c>
      <c r="X119" s="671">
        <v>0</v>
      </c>
      <c r="Y119" s="232">
        <v>2</v>
      </c>
      <c r="Z119" s="248">
        <v>0.5</v>
      </c>
      <c r="AA119" s="230" t="s">
        <v>714</v>
      </c>
      <c r="AB119" s="248">
        <v>2</v>
      </c>
      <c r="AC119" s="236">
        <v>0</v>
      </c>
      <c r="AD119" s="191">
        <v>0</v>
      </c>
      <c r="AE119" s="248">
        <v>9</v>
      </c>
      <c r="AF119" s="254" t="s">
        <v>1036</v>
      </c>
    </row>
    <row r="120" spans="1:32" ht="27" customHeight="1">
      <c r="A120" s="183" t="s">
        <v>1250</v>
      </c>
      <c r="B120" s="94">
        <v>5</v>
      </c>
      <c r="C120" s="184" t="s">
        <v>199</v>
      </c>
      <c r="D120" s="94">
        <v>33</v>
      </c>
      <c r="E120" s="182" t="s">
        <v>1628</v>
      </c>
      <c r="F120" s="209">
        <v>45245</v>
      </c>
      <c r="G120" s="191" t="s">
        <v>1634</v>
      </c>
      <c r="H120" s="158" t="s">
        <v>1635</v>
      </c>
      <c r="I120" s="248">
        <v>15</v>
      </c>
      <c r="J120" s="716">
        <v>20</v>
      </c>
      <c r="K120" s="715">
        <v>20</v>
      </c>
      <c r="L120" s="685">
        <v>30</v>
      </c>
      <c r="M120" s="715">
        <f>K120-L120</f>
        <v>-10</v>
      </c>
      <c r="N120" s="721">
        <v>0</v>
      </c>
      <c r="O120" s="721">
        <v>0</v>
      </c>
      <c r="P120" s="721">
        <v>0</v>
      </c>
      <c r="Q120" s="721">
        <v>0</v>
      </c>
      <c r="R120" s="95" t="s">
        <v>945</v>
      </c>
      <c r="S120" s="210">
        <v>9.3000000000000007</v>
      </c>
      <c r="T120" s="369">
        <v>55</v>
      </c>
      <c r="U120" s="655">
        <v>0</v>
      </c>
      <c r="V120" s="67" t="s">
        <v>714</v>
      </c>
      <c r="W120" s="67" t="s">
        <v>714</v>
      </c>
      <c r="X120" s="671">
        <v>0</v>
      </c>
      <c r="Y120" s="232">
        <v>1</v>
      </c>
      <c r="Z120" s="248">
        <v>0</v>
      </c>
      <c r="AA120" s="230" t="s">
        <v>714</v>
      </c>
      <c r="AB120" s="248">
        <v>4</v>
      </c>
      <c r="AC120" s="236">
        <v>0</v>
      </c>
      <c r="AD120" s="191">
        <v>0</v>
      </c>
      <c r="AE120" s="248">
        <v>8</v>
      </c>
      <c r="AF120" s="254" t="s">
        <v>1036</v>
      </c>
    </row>
    <row r="121" spans="1:32" s="147" customFormat="1" ht="27" customHeight="1">
      <c r="A121" s="183" t="s">
        <v>1250</v>
      </c>
      <c r="B121" s="94">
        <v>5</v>
      </c>
      <c r="C121" s="184" t="s">
        <v>199</v>
      </c>
      <c r="D121" s="94">
        <v>34</v>
      </c>
      <c r="E121" s="182" t="s">
        <v>231</v>
      </c>
      <c r="F121" s="209"/>
      <c r="G121" s="191"/>
      <c r="H121" s="178"/>
      <c r="I121" s="248"/>
      <c r="J121" s="447"/>
      <c r="K121" s="626"/>
      <c r="L121" s="621"/>
      <c r="M121" s="626"/>
      <c r="N121" s="210"/>
      <c r="O121" s="210"/>
      <c r="P121" s="210"/>
      <c r="Q121" s="210"/>
      <c r="R121" s="191"/>
      <c r="S121" s="191"/>
      <c r="T121" s="248"/>
      <c r="U121" s="655"/>
      <c r="V121" s="67"/>
      <c r="W121" s="67"/>
      <c r="X121" s="671"/>
      <c r="Y121" s="236"/>
      <c r="Z121" s="248"/>
      <c r="AA121" s="230"/>
      <c r="AB121" s="248"/>
      <c r="AC121" s="236"/>
      <c r="AD121" s="191"/>
      <c r="AE121" s="248"/>
      <c r="AF121" s="364"/>
    </row>
    <row r="122" spans="1:32" s="147" customFormat="1" ht="27" customHeight="1">
      <c r="A122" s="183" t="s">
        <v>1250</v>
      </c>
      <c r="B122" s="94">
        <v>5</v>
      </c>
      <c r="C122" s="184" t="s">
        <v>199</v>
      </c>
      <c r="D122" s="94">
        <v>35</v>
      </c>
      <c r="E122" s="182" t="s">
        <v>232</v>
      </c>
      <c r="F122" s="209"/>
      <c r="G122" s="191"/>
      <c r="H122" s="178"/>
      <c r="I122" s="248"/>
      <c r="J122" s="447"/>
      <c r="K122" s="626"/>
      <c r="L122" s="621"/>
      <c r="M122" s="626"/>
      <c r="N122" s="210"/>
      <c r="O122" s="210"/>
      <c r="P122" s="210"/>
      <c r="Q122" s="210"/>
      <c r="R122" s="191"/>
      <c r="S122" s="191"/>
      <c r="T122" s="248"/>
      <c r="U122" s="655"/>
      <c r="V122" s="67"/>
      <c r="W122" s="67"/>
      <c r="X122" s="671"/>
      <c r="Y122" s="236"/>
      <c r="Z122" s="248"/>
      <c r="AA122" s="230"/>
      <c r="AB122" s="248"/>
      <c r="AC122" s="236"/>
      <c r="AD122" s="191"/>
      <c r="AE122" s="248"/>
      <c r="AF122" s="364"/>
    </row>
    <row r="123" spans="1:32" s="147" customFormat="1" ht="27" customHeight="1">
      <c r="A123" s="183" t="s">
        <v>1250</v>
      </c>
      <c r="B123" s="94">
        <v>5</v>
      </c>
      <c r="C123" s="184" t="s">
        <v>199</v>
      </c>
      <c r="D123" s="94">
        <v>36</v>
      </c>
      <c r="E123" s="182" t="s">
        <v>1629</v>
      </c>
      <c r="F123" s="209"/>
      <c r="G123" s="191"/>
      <c r="H123" s="178"/>
      <c r="I123" s="248"/>
      <c r="J123" s="447"/>
      <c r="K123" s="626"/>
      <c r="L123" s="621"/>
      <c r="M123" s="626"/>
      <c r="N123" s="210"/>
      <c r="O123" s="210"/>
      <c r="P123" s="210"/>
      <c r="Q123" s="210"/>
      <c r="R123" s="191"/>
      <c r="S123" s="191"/>
      <c r="T123" s="248"/>
      <c r="U123" s="655"/>
      <c r="V123" s="67"/>
      <c r="W123" s="67"/>
      <c r="X123" s="671"/>
      <c r="Y123" s="236"/>
      <c r="Z123" s="248"/>
      <c r="AA123" s="230"/>
      <c r="AB123" s="248"/>
      <c r="AC123" s="236"/>
      <c r="AD123" s="191"/>
      <c r="AE123" s="248"/>
      <c r="AF123" s="364"/>
    </row>
    <row r="124" spans="1:32" s="147" customFormat="1" ht="27" customHeight="1">
      <c r="A124" s="183" t="s">
        <v>1250</v>
      </c>
      <c r="B124" s="94">
        <v>5</v>
      </c>
      <c r="C124" s="184" t="s">
        <v>199</v>
      </c>
      <c r="D124" s="94">
        <v>37</v>
      </c>
      <c r="E124" s="182" t="s">
        <v>234</v>
      </c>
      <c r="F124" s="209"/>
      <c r="G124" s="191"/>
      <c r="H124" s="178"/>
      <c r="I124" s="248"/>
      <c r="J124" s="447"/>
      <c r="K124" s="626"/>
      <c r="L124" s="621"/>
      <c r="M124" s="626"/>
      <c r="N124" s="210"/>
      <c r="O124" s="210"/>
      <c r="P124" s="210"/>
      <c r="Q124" s="210"/>
      <c r="R124" s="191"/>
      <c r="S124" s="191"/>
      <c r="T124" s="248"/>
      <c r="U124" s="655"/>
      <c r="V124" s="67"/>
      <c r="W124" s="67"/>
      <c r="X124" s="671"/>
      <c r="Y124" s="236"/>
      <c r="Z124" s="248"/>
      <c r="AA124" s="230"/>
      <c r="AB124" s="248"/>
      <c r="AC124" s="236"/>
      <c r="AD124" s="191"/>
      <c r="AE124" s="248"/>
      <c r="AF124" s="364"/>
    </row>
    <row r="125" spans="1:32" s="147" customFormat="1" ht="27" customHeight="1">
      <c r="A125" s="183" t="s">
        <v>1250</v>
      </c>
      <c r="B125" s="94">
        <v>5</v>
      </c>
      <c r="C125" s="184" t="s">
        <v>199</v>
      </c>
      <c r="D125" s="94">
        <v>38</v>
      </c>
      <c r="E125" s="182" t="s">
        <v>235</v>
      </c>
      <c r="F125" s="209"/>
      <c r="G125" s="191"/>
      <c r="H125" s="178"/>
      <c r="I125" s="248"/>
      <c r="J125" s="447"/>
      <c r="K125" s="626"/>
      <c r="L125" s="621"/>
      <c r="M125" s="626"/>
      <c r="N125" s="210"/>
      <c r="O125" s="210"/>
      <c r="P125" s="210"/>
      <c r="Q125" s="210"/>
      <c r="R125" s="191"/>
      <c r="S125" s="191"/>
      <c r="T125" s="248"/>
      <c r="U125" s="655"/>
      <c r="V125" s="67"/>
      <c r="W125" s="67"/>
      <c r="X125" s="671"/>
      <c r="Y125" s="236"/>
      <c r="Z125" s="248"/>
      <c r="AA125" s="230"/>
      <c r="AB125" s="248"/>
      <c r="AC125" s="236"/>
      <c r="AD125" s="191"/>
      <c r="AE125" s="248"/>
      <c r="AF125" s="364"/>
    </row>
    <row r="126" spans="1:32" s="147" customFormat="1" ht="27" customHeight="1">
      <c r="A126" s="183" t="s">
        <v>1250</v>
      </c>
      <c r="B126" s="94">
        <v>5</v>
      </c>
      <c r="C126" s="184" t="s">
        <v>199</v>
      </c>
      <c r="D126" s="94">
        <v>39</v>
      </c>
      <c r="E126" s="182" t="s">
        <v>236</v>
      </c>
      <c r="F126" s="209"/>
      <c r="G126" s="191"/>
      <c r="H126" s="178"/>
      <c r="I126" s="248"/>
      <c r="J126" s="447"/>
      <c r="K126" s="626"/>
      <c r="L126" s="621"/>
      <c r="M126" s="626"/>
      <c r="N126" s="210"/>
      <c r="O126" s="210"/>
      <c r="P126" s="210"/>
      <c r="Q126" s="210"/>
      <c r="R126" s="191"/>
      <c r="S126" s="191"/>
      <c r="T126" s="248"/>
      <c r="U126" s="655"/>
      <c r="V126" s="67"/>
      <c r="W126" s="67"/>
      <c r="X126" s="671"/>
      <c r="Y126" s="236"/>
      <c r="Z126" s="248"/>
      <c r="AA126" s="230"/>
      <c r="AB126" s="248"/>
      <c r="AC126" s="236"/>
      <c r="AD126" s="191"/>
      <c r="AE126" s="248"/>
      <c r="AF126" s="364"/>
    </row>
    <row r="127" spans="1:32" ht="27" customHeight="1">
      <c r="A127" s="183" t="s">
        <v>1250</v>
      </c>
      <c r="B127" s="94">
        <v>5</v>
      </c>
      <c r="C127" s="184" t="s">
        <v>199</v>
      </c>
      <c r="D127" s="94">
        <v>40</v>
      </c>
      <c r="E127" s="182" t="s">
        <v>956</v>
      </c>
      <c r="F127" s="209">
        <v>45240</v>
      </c>
      <c r="G127" s="191" t="s">
        <v>1634</v>
      </c>
      <c r="H127" s="158" t="s">
        <v>1635</v>
      </c>
      <c r="I127" s="248">
        <v>15</v>
      </c>
      <c r="J127" s="716">
        <v>60</v>
      </c>
      <c r="K127" s="715">
        <v>60</v>
      </c>
      <c r="L127" s="685">
        <v>50</v>
      </c>
      <c r="M127" s="715">
        <f>K127-L127</f>
        <v>10</v>
      </c>
      <c r="N127" s="721">
        <v>0</v>
      </c>
      <c r="O127" s="721">
        <v>0</v>
      </c>
      <c r="P127" s="721">
        <v>0</v>
      </c>
      <c r="Q127" s="721">
        <v>0</v>
      </c>
      <c r="R127" s="95" t="s">
        <v>1165</v>
      </c>
      <c r="S127" s="210">
        <v>30</v>
      </c>
      <c r="T127" s="369">
        <v>106</v>
      </c>
      <c r="U127" s="655">
        <v>0</v>
      </c>
      <c r="V127" s="67" t="s">
        <v>714</v>
      </c>
      <c r="W127" s="67" t="s">
        <v>714</v>
      </c>
      <c r="X127" s="671">
        <v>0</v>
      </c>
      <c r="Y127" s="232">
        <v>1</v>
      </c>
      <c r="Z127" s="248">
        <v>0</v>
      </c>
      <c r="AA127" s="230" t="s">
        <v>714</v>
      </c>
      <c r="AB127" s="248">
        <v>2</v>
      </c>
      <c r="AC127" s="236">
        <v>0</v>
      </c>
      <c r="AD127" s="191">
        <v>0</v>
      </c>
      <c r="AE127" s="248">
        <v>2</v>
      </c>
      <c r="AF127" s="254" t="s">
        <v>1036</v>
      </c>
    </row>
    <row r="128" spans="1:32" s="147" customFormat="1" ht="27" customHeight="1">
      <c r="A128" s="183" t="s">
        <v>1250</v>
      </c>
      <c r="B128" s="94">
        <v>5</v>
      </c>
      <c r="C128" s="184" t="s">
        <v>199</v>
      </c>
      <c r="D128" s="94">
        <v>41</v>
      </c>
      <c r="E128" s="182" t="s">
        <v>237</v>
      </c>
      <c r="F128" s="209"/>
      <c r="G128" s="191"/>
      <c r="H128" s="178"/>
      <c r="I128" s="248"/>
      <c r="J128" s="447"/>
      <c r="K128" s="626"/>
      <c r="L128" s="621"/>
      <c r="M128" s="626"/>
      <c r="N128" s="721"/>
      <c r="O128" s="721"/>
      <c r="P128" s="721"/>
      <c r="Q128" s="721"/>
      <c r="R128" s="191"/>
      <c r="S128" s="191"/>
      <c r="T128" s="248"/>
      <c r="U128" s="655"/>
      <c r="V128" s="67"/>
      <c r="W128" s="67"/>
      <c r="X128" s="671"/>
      <c r="Y128" s="236"/>
      <c r="Z128" s="248"/>
      <c r="AA128" s="230"/>
      <c r="AB128" s="248"/>
      <c r="AC128" s="236"/>
      <c r="AD128" s="191"/>
      <c r="AE128" s="248"/>
      <c r="AF128" s="364"/>
    </row>
    <row r="129" spans="1:32" s="147" customFormat="1" ht="27" customHeight="1">
      <c r="A129" s="183" t="s">
        <v>1250</v>
      </c>
      <c r="B129" s="94">
        <v>5</v>
      </c>
      <c r="C129" s="184" t="s">
        <v>199</v>
      </c>
      <c r="D129" s="94">
        <v>42</v>
      </c>
      <c r="E129" s="182" t="s">
        <v>240</v>
      </c>
      <c r="F129" s="209"/>
      <c r="G129" s="191"/>
      <c r="H129" s="178"/>
      <c r="I129" s="248"/>
      <c r="J129" s="447"/>
      <c r="K129" s="626"/>
      <c r="L129" s="621"/>
      <c r="M129" s="626"/>
      <c r="N129" s="721"/>
      <c r="O129" s="721"/>
      <c r="P129" s="721"/>
      <c r="Q129" s="721"/>
      <c r="R129" s="191"/>
      <c r="S129" s="191"/>
      <c r="T129" s="248"/>
      <c r="U129" s="655"/>
      <c r="V129" s="67"/>
      <c r="W129" s="67"/>
      <c r="X129" s="671"/>
      <c r="Y129" s="236"/>
      <c r="Z129" s="248"/>
      <c r="AA129" s="230"/>
      <c r="AB129" s="248"/>
      <c r="AC129" s="236"/>
      <c r="AD129" s="191"/>
      <c r="AE129" s="248"/>
      <c r="AF129" s="364"/>
    </row>
    <row r="130" spans="1:32" ht="27" customHeight="1">
      <c r="A130" s="183" t="s">
        <v>1250</v>
      </c>
      <c r="B130" s="94">
        <v>5</v>
      </c>
      <c r="C130" s="184" t="s">
        <v>199</v>
      </c>
      <c r="D130" s="94">
        <v>43</v>
      </c>
      <c r="E130" s="182" t="s">
        <v>1602</v>
      </c>
      <c r="F130" s="209">
        <v>45175</v>
      </c>
      <c r="G130" s="191" t="s">
        <v>1634</v>
      </c>
      <c r="H130" s="158" t="s">
        <v>1635</v>
      </c>
      <c r="I130" s="248">
        <v>15</v>
      </c>
      <c r="J130" s="716">
        <v>20</v>
      </c>
      <c r="K130" s="715">
        <v>20</v>
      </c>
      <c r="L130" s="685">
        <v>20</v>
      </c>
      <c r="M130" s="715">
        <f>K130-L130</f>
        <v>0</v>
      </c>
      <c r="N130" s="721">
        <v>0</v>
      </c>
      <c r="O130" s="721">
        <v>0</v>
      </c>
      <c r="P130" s="721">
        <v>0</v>
      </c>
      <c r="Q130" s="721">
        <v>0</v>
      </c>
      <c r="R130" s="95" t="s">
        <v>945</v>
      </c>
      <c r="S130" s="210">
        <v>4</v>
      </c>
      <c r="T130" s="369">
        <v>20</v>
      </c>
      <c r="U130" s="655">
        <v>0</v>
      </c>
      <c r="V130" s="67" t="s">
        <v>714</v>
      </c>
      <c r="W130" s="67" t="s">
        <v>714</v>
      </c>
      <c r="X130" s="671">
        <v>0</v>
      </c>
      <c r="Y130" s="232">
        <v>1</v>
      </c>
      <c r="Z130" s="248">
        <v>0</v>
      </c>
      <c r="AA130" s="230" t="s">
        <v>714</v>
      </c>
      <c r="AB130" s="248">
        <v>3</v>
      </c>
      <c r="AC130" s="236">
        <v>1</v>
      </c>
      <c r="AD130" s="191">
        <v>0</v>
      </c>
      <c r="AE130" s="248">
        <v>8</v>
      </c>
      <c r="AF130" s="254" t="s">
        <v>1036</v>
      </c>
    </row>
    <row r="131" spans="1:32" s="147" customFormat="1" ht="27" customHeight="1">
      <c r="A131" s="183" t="s">
        <v>1250</v>
      </c>
      <c r="B131" s="94">
        <v>5</v>
      </c>
      <c r="C131" s="184" t="s">
        <v>199</v>
      </c>
      <c r="D131" s="94">
        <v>44</v>
      </c>
      <c r="E131" s="181" t="s">
        <v>1630</v>
      </c>
      <c r="F131" s="209"/>
      <c r="G131" s="191"/>
      <c r="H131" s="158"/>
      <c r="I131" s="248"/>
      <c r="J131" s="447"/>
      <c r="K131" s="626"/>
      <c r="L131" s="621"/>
      <c r="M131" s="626"/>
      <c r="N131" s="721"/>
      <c r="O131" s="721"/>
      <c r="P131" s="721"/>
      <c r="Q131" s="721"/>
      <c r="R131" s="95"/>
      <c r="S131" s="210"/>
      <c r="T131" s="369"/>
      <c r="U131" s="655"/>
      <c r="V131" s="67"/>
      <c r="W131" s="67"/>
      <c r="X131" s="671"/>
      <c r="Y131" s="232"/>
      <c r="Z131" s="248"/>
      <c r="AA131" s="230"/>
      <c r="AB131" s="248"/>
      <c r="AC131" s="236"/>
      <c r="AD131" s="191"/>
      <c r="AE131" s="248"/>
      <c r="AF131" s="254"/>
    </row>
    <row r="132" spans="1:32" ht="27" customHeight="1">
      <c r="A132" s="183" t="s">
        <v>1250</v>
      </c>
      <c r="B132" s="94">
        <v>5</v>
      </c>
      <c r="C132" s="184" t="s">
        <v>199</v>
      </c>
      <c r="D132" s="94">
        <v>45</v>
      </c>
      <c r="E132" s="181" t="s">
        <v>243</v>
      </c>
      <c r="F132" s="209">
        <v>45240</v>
      </c>
      <c r="G132" s="191" t="s">
        <v>1634</v>
      </c>
      <c r="H132" s="158" t="s">
        <v>1635</v>
      </c>
      <c r="I132" s="248">
        <v>15</v>
      </c>
      <c r="J132" s="716">
        <v>70</v>
      </c>
      <c r="K132" s="715">
        <v>70</v>
      </c>
      <c r="L132" s="685">
        <v>70</v>
      </c>
      <c r="M132" s="715">
        <f>K132-L132</f>
        <v>0</v>
      </c>
      <c r="N132" s="721">
        <v>0</v>
      </c>
      <c r="O132" s="721">
        <v>0</v>
      </c>
      <c r="P132" s="721">
        <v>0</v>
      </c>
      <c r="Q132" s="721">
        <v>0</v>
      </c>
      <c r="R132" s="95" t="s">
        <v>1165</v>
      </c>
      <c r="S132" s="210">
        <v>22</v>
      </c>
      <c r="T132" s="369">
        <v>110</v>
      </c>
      <c r="U132" s="655">
        <v>0</v>
      </c>
      <c r="V132" s="67" t="s">
        <v>714</v>
      </c>
      <c r="W132" s="67" t="s">
        <v>714</v>
      </c>
      <c r="X132" s="671">
        <v>0</v>
      </c>
      <c r="Y132" s="233">
        <v>1</v>
      </c>
      <c r="Z132" s="248">
        <v>0</v>
      </c>
      <c r="AA132" s="230" t="s">
        <v>714</v>
      </c>
      <c r="AB132" s="248">
        <v>1</v>
      </c>
      <c r="AC132" s="236">
        <v>0</v>
      </c>
      <c r="AD132" s="191">
        <v>0</v>
      </c>
      <c r="AE132" s="248">
        <v>10</v>
      </c>
      <c r="AF132" s="254" t="s">
        <v>1506</v>
      </c>
    </row>
    <row r="133" spans="1:32" ht="27" customHeight="1">
      <c r="A133" s="183" t="s">
        <v>1250</v>
      </c>
      <c r="B133" s="94">
        <v>5</v>
      </c>
      <c r="C133" s="184" t="s">
        <v>199</v>
      </c>
      <c r="D133" s="94">
        <v>46</v>
      </c>
      <c r="E133" s="181" t="s">
        <v>957</v>
      </c>
      <c r="F133" s="189">
        <v>45174</v>
      </c>
      <c r="G133" s="191" t="s">
        <v>1634</v>
      </c>
      <c r="H133" s="65" t="s">
        <v>1635</v>
      </c>
      <c r="I133" s="66">
        <v>15</v>
      </c>
      <c r="J133" s="692">
        <v>50</v>
      </c>
      <c r="K133" s="715">
        <v>50</v>
      </c>
      <c r="L133" s="685">
        <v>50</v>
      </c>
      <c r="M133" s="715">
        <f>K133-L133</f>
        <v>0</v>
      </c>
      <c r="N133" s="697">
        <v>0</v>
      </c>
      <c r="O133" s="697">
        <v>0</v>
      </c>
      <c r="P133" s="697">
        <v>0</v>
      </c>
      <c r="Q133" s="697">
        <v>0</v>
      </c>
      <c r="R133" s="65" t="s">
        <v>944</v>
      </c>
      <c r="S133" s="65">
        <v>14.7</v>
      </c>
      <c r="T133" s="66">
        <v>67</v>
      </c>
      <c r="U133" s="643">
        <v>0</v>
      </c>
      <c r="V133" s="204" t="s">
        <v>714</v>
      </c>
      <c r="W133" s="204" t="s">
        <v>714</v>
      </c>
      <c r="X133" s="645">
        <v>0.5</v>
      </c>
      <c r="Y133" s="228">
        <v>2</v>
      </c>
      <c r="Z133" s="66">
        <v>0.5</v>
      </c>
      <c r="AA133" s="221" t="s">
        <v>714</v>
      </c>
      <c r="AB133" s="66">
        <v>4</v>
      </c>
      <c r="AC133" s="233">
        <v>0</v>
      </c>
      <c r="AD133" s="19">
        <v>0</v>
      </c>
      <c r="AE133" s="225">
        <v>6</v>
      </c>
      <c r="AF133" s="151" t="s">
        <v>1036</v>
      </c>
    </row>
    <row r="134" spans="1:32" ht="27" customHeight="1">
      <c r="A134" s="183" t="s">
        <v>1250</v>
      </c>
      <c r="B134" s="94">
        <v>5</v>
      </c>
      <c r="C134" s="184" t="s">
        <v>199</v>
      </c>
      <c r="D134" s="94">
        <v>47</v>
      </c>
      <c r="E134" s="181" t="s">
        <v>958</v>
      </c>
      <c r="F134" s="65"/>
      <c r="G134" s="65"/>
      <c r="H134" s="65"/>
      <c r="I134" s="66"/>
      <c r="J134" s="692"/>
      <c r="K134" s="715"/>
      <c r="L134" s="685"/>
      <c r="M134" s="715"/>
      <c r="N134" s="179"/>
      <c r="O134" s="179"/>
      <c r="P134" s="179"/>
      <c r="Q134" s="179"/>
      <c r="R134" s="65"/>
      <c r="S134" s="65"/>
      <c r="T134" s="66"/>
      <c r="U134" s="643"/>
      <c r="V134" s="204"/>
      <c r="W134" s="204"/>
      <c r="X134" s="645"/>
      <c r="Y134" s="228"/>
      <c r="Z134" s="66"/>
      <c r="AA134" s="221"/>
      <c r="AB134" s="66"/>
      <c r="AC134" s="228"/>
      <c r="AD134" s="65"/>
      <c r="AE134" s="66"/>
      <c r="AF134" s="151"/>
    </row>
    <row r="135" spans="1:32" ht="27" customHeight="1">
      <c r="A135" s="183" t="s">
        <v>1250</v>
      </c>
      <c r="B135" s="94">
        <v>5</v>
      </c>
      <c r="C135" s="184" t="s">
        <v>199</v>
      </c>
      <c r="D135" s="94">
        <v>48</v>
      </c>
      <c r="E135" s="181" t="s">
        <v>906</v>
      </c>
      <c r="F135" s="209">
        <v>45181</v>
      </c>
      <c r="G135" s="191" t="s">
        <v>1634</v>
      </c>
      <c r="H135" s="158" t="s">
        <v>1635</v>
      </c>
      <c r="I135" s="248">
        <v>15</v>
      </c>
      <c r="J135" s="716">
        <v>70</v>
      </c>
      <c r="K135" s="715">
        <v>70</v>
      </c>
      <c r="L135" s="685">
        <v>70</v>
      </c>
      <c r="M135" s="715">
        <f>K135-L135</f>
        <v>0</v>
      </c>
      <c r="N135" s="210">
        <v>1.5</v>
      </c>
      <c r="O135" s="210">
        <v>45</v>
      </c>
      <c r="P135" s="210">
        <v>1.5</v>
      </c>
      <c r="Q135" s="210">
        <v>1.5</v>
      </c>
      <c r="R135" s="95" t="s">
        <v>1165</v>
      </c>
      <c r="S135" s="210">
        <v>4</v>
      </c>
      <c r="T135" s="369">
        <v>152</v>
      </c>
      <c r="U135" s="655">
        <v>0</v>
      </c>
      <c r="V135" s="67" t="s">
        <v>714</v>
      </c>
      <c r="W135" s="67" t="s">
        <v>714</v>
      </c>
      <c r="X135" s="671">
        <v>0</v>
      </c>
      <c r="Y135" s="232">
        <v>1</v>
      </c>
      <c r="Z135" s="248">
        <v>0</v>
      </c>
      <c r="AA135" s="230" t="s">
        <v>714</v>
      </c>
      <c r="AB135" s="248">
        <v>4</v>
      </c>
      <c r="AC135" s="236">
        <v>0</v>
      </c>
      <c r="AD135" s="191">
        <v>0</v>
      </c>
      <c r="AE135" s="248">
        <v>0</v>
      </c>
      <c r="AF135" s="254" t="s">
        <v>1506</v>
      </c>
    </row>
    <row r="136" spans="1:32" ht="27" customHeight="1">
      <c r="A136" s="183" t="s">
        <v>1250</v>
      </c>
      <c r="B136" s="94">
        <v>5</v>
      </c>
      <c r="C136" s="184" t="s">
        <v>199</v>
      </c>
      <c r="D136" s="94">
        <v>49</v>
      </c>
      <c r="E136" s="181" t="s">
        <v>907</v>
      </c>
      <c r="F136" s="189">
        <v>45187</v>
      </c>
      <c r="G136" s="65" t="s">
        <v>1634</v>
      </c>
      <c r="H136" s="65" t="s">
        <v>1635</v>
      </c>
      <c r="I136" s="66">
        <v>15</v>
      </c>
      <c r="J136" s="692">
        <v>70</v>
      </c>
      <c r="K136" s="715">
        <v>70</v>
      </c>
      <c r="L136" s="621"/>
      <c r="M136" s="626"/>
      <c r="N136" s="697">
        <v>0</v>
      </c>
      <c r="O136" s="697">
        <v>0</v>
      </c>
      <c r="P136" s="697">
        <v>0</v>
      </c>
      <c r="Q136" s="697">
        <v>0</v>
      </c>
      <c r="R136" s="65" t="s">
        <v>945</v>
      </c>
      <c r="S136" s="65">
        <v>17.3</v>
      </c>
      <c r="T136" s="66">
        <v>85</v>
      </c>
      <c r="U136" s="643">
        <v>0</v>
      </c>
      <c r="V136" s="644" t="s">
        <v>714</v>
      </c>
      <c r="W136" s="644" t="s">
        <v>714</v>
      </c>
      <c r="X136" s="645">
        <v>0</v>
      </c>
      <c r="Y136" s="228">
        <v>1</v>
      </c>
      <c r="Z136" s="66">
        <v>0</v>
      </c>
      <c r="AA136" s="221" t="s">
        <v>714</v>
      </c>
      <c r="AB136" s="66">
        <v>3</v>
      </c>
      <c r="AC136" s="233">
        <v>0</v>
      </c>
      <c r="AD136" s="19">
        <v>0</v>
      </c>
      <c r="AE136" s="66">
        <v>9</v>
      </c>
      <c r="AF136" s="254" t="s">
        <v>1506</v>
      </c>
    </row>
    <row r="137" spans="1:32" ht="27" customHeight="1">
      <c r="A137" s="183" t="s">
        <v>1250</v>
      </c>
      <c r="B137" s="94">
        <v>5</v>
      </c>
      <c r="C137" s="184" t="s">
        <v>199</v>
      </c>
      <c r="D137" s="94">
        <v>50</v>
      </c>
      <c r="E137" s="182" t="s">
        <v>1251</v>
      </c>
      <c r="F137" s="65"/>
      <c r="G137" s="65"/>
      <c r="H137" s="65"/>
      <c r="I137" s="66"/>
      <c r="J137" s="692"/>
      <c r="K137" s="715"/>
      <c r="L137" s="621"/>
      <c r="M137" s="626"/>
      <c r="N137" s="697"/>
      <c r="O137" s="697"/>
      <c r="P137" s="697"/>
      <c r="Q137" s="697"/>
      <c r="R137" s="65"/>
      <c r="S137" s="65"/>
      <c r="T137" s="66"/>
      <c r="U137" s="643"/>
      <c r="V137" s="204"/>
      <c r="W137" s="204"/>
      <c r="X137" s="645"/>
      <c r="Y137" s="228"/>
      <c r="Z137" s="66"/>
      <c r="AA137" s="221"/>
      <c r="AB137" s="66"/>
      <c r="AC137" s="228"/>
      <c r="AD137" s="65"/>
      <c r="AE137" s="66"/>
      <c r="AF137" s="151"/>
    </row>
    <row r="138" spans="1:32" ht="27" customHeight="1">
      <c r="A138" s="183" t="s">
        <v>1250</v>
      </c>
      <c r="B138" s="94">
        <v>5</v>
      </c>
      <c r="C138" s="184" t="s">
        <v>199</v>
      </c>
      <c r="D138" s="94">
        <v>51</v>
      </c>
      <c r="E138" s="182" t="s">
        <v>1072</v>
      </c>
      <c r="F138" s="209">
        <v>45174</v>
      </c>
      <c r="G138" s="191" t="s">
        <v>1634</v>
      </c>
      <c r="H138" s="158" t="s">
        <v>1635</v>
      </c>
      <c r="I138" s="248">
        <v>15</v>
      </c>
      <c r="J138" s="716">
        <v>70</v>
      </c>
      <c r="K138" s="715">
        <v>70</v>
      </c>
      <c r="L138" s="621"/>
      <c r="M138" s="626"/>
      <c r="N138" s="721">
        <v>0</v>
      </c>
      <c r="O138" s="721">
        <v>0</v>
      </c>
      <c r="P138" s="721">
        <v>0</v>
      </c>
      <c r="Q138" s="721">
        <v>0</v>
      </c>
      <c r="R138" s="95" t="s">
        <v>945</v>
      </c>
      <c r="S138" s="210">
        <v>9.3000000000000007</v>
      </c>
      <c r="T138" s="369">
        <v>79</v>
      </c>
      <c r="U138" s="655">
        <v>0</v>
      </c>
      <c r="V138" s="67" t="s">
        <v>714</v>
      </c>
      <c r="W138" s="67" t="s">
        <v>714</v>
      </c>
      <c r="X138" s="671">
        <v>0</v>
      </c>
      <c r="Y138" s="232">
        <v>2</v>
      </c>
      <c r="Z138" s="248">
        <v>0.5</v>
      </c>
      <c r="AA138" s="230" t="s">
        <v>714</v>
      </c>
      <c r="AB138" s="248">
        <v>2</v>
      </c>
      <c r="AC138" s="236">
        <v>1</v>
      </c>
      <c r="AD138" s="191">
        <v>0</v>
      </c>
      <c r="AE138" s="248">
        <v>2</v>
      </c>
      <c r="AF138" s="254" t="s">
        <v>1506</v>
      </c>
    </row>
    <row r="139" spans="1:32" ht="27" customHeight="1">
      <c r="A139" s="421" t="s">
        <v>1250</v>
      </c>
      <c r="B139" s="97">
        <v>5</v>
      </c>
      <c r="C139" s="422" t="s">
        <v>199</v>
      </c>
      <c r="D139" s="97">
        <v>52</v>
      </c>
      <c r="E139" s="420" t="s">
        <v>1575</v>
      </c>
      <c r="F139" s="409"/>
      <c r="G139" s="410"/>
      <c r="H139" s="411"/>
      <c r="I139" s="412"/>
      <c r="J139" s="448"/>
      <c r="K139" s="626"/>
      <c r="L139" s="627"/>
      <c r="M139" s="626"/>
      <c r="N139" s="722"/>
      <c r="O139" s="722"/>
      <c r="P139" s="722"/>
      <c r="Q139" s="722"/>
      <c r="R139" s="98"/>
      <c r="S139" s="414"/>
      <c r="T139" s="415"/>
      <c r="U139" s="680"/>
      <c r="V139" s="416"/>
      <c r="W139" s="416"/>
      <c r="X139" s="682"/>
      <c r="Y139" s="417"/>
      <c r="Z139" s="412"/>
      <c r="AA139" s="413"/>
      <c r="AB139" s="412"/>
      <c r="AC139" s="418"/>
      <c r="AD139" s="410"/>
      <c r="AE139" s="412"/>
      <c r="AF139" s="419"/>
    </row>
    <row r="140" spans="1:32" ht="27" customHeight="1">
      <c r="A140" s="183" t="s">
        <v>1250</v>
      </c>
      <c r="B140" s="94">
        <v>5</v>
      </c>
      <c r="C140" s="184" t="s">
        <v>199</v>
      </c>
      <c r="D140" s="94">
        <v>53</v>
      </c>
      <c r="E140" s="420" t="s">
        <v>1157</v>
      </c>
      <c r="F140" s="409"/>
      <c r="G140" s="191"/>
      <c r="H140" s="411"/>
      <c r="I140" s="412"/>
      <c r="J140" s="448"/>
      <c r="K140" s="626"/>
      <c r="L140" s="718">
        <v>70</v>
      </c>
      <c r="M140" s="626"/>
      <c r="N140" s="722"/>
      <c r="O140" s="722"/>
      <c r="P140" s="722"/>
      <c r="Q140" s="722"/>
      <c r="R140" s="98"/>
      <c r="S140" s="414"/>
      <c r="T140" s="415"/>
      <c r="U140" s="680"/>
      <c r="V140" s="416"/>
      <c r="W140" s="416"/>
      <c r="X140" s="682"/>
      <c r="Y140" s="417"/>
      <c r="Z140" s="412"/>
      <c r="AA140" s="413"/>
      <c r="AB140" s="412"/>
      <c r="AC140" s="418"/>
      <c r="AD140" s="410"/>
      <c r="AE140" s="412"/>
      <c r="AF140" s="419"/>
    </row>
    <row r="141" spans="1:32" ht="27" customHeight="1">
      <c r="A141" s="421" t="s">
        <v>1250</v>
      </c>
      <c r="B141" s="97">
        <v>5</v>
      </c>
      <c r="C141" s="422" t="s">
        <v>199</v>
      </c>
      <c r="D141" s="97">
        <v>54</v>
      </c>
      <c r="E141" s="420" t="s">
        <v>1158</v>
      </c>
      <c r="F141" s="409"/>
      <c r="G141" s="191"/>
      <c r="H141" s="411"/>
      <c r="I141" s="412"/>
      <c r="J141" s="448"/>
      <c r="K141" s="626"/>
      <c r="L141" s="718">
        <v>40</v>
      </c>
      <c r="M141" s="626"/>
      <c r="N141" s="722"/>
      <c r="O141" s="722"/>
      <c r="P141" s="722"/>
      <c r="Q141" s="722"/>
      <c r="R141" s="98"/>
      <c r="S141" s="414"/>
      <c r="T141" s="415"/>
      <c r="U141" s="680"/>
      <c r="V141" s="416"/>
      <c r="W141" s="416"/>
      <c r="X141" s="682"/>
      <c r="Y141" s="417"/>
      <c r="Z141" s="412"/>
      <c r="AA141" s="413"/>
      <c r="AB141" s="412"/>
      <c r="AC141" s="418"/>
      <c r="AD141" s="410"/>
      <c r="AE141" s="412"/>
      <c r="AF141" s="419"/>
    </row>
    <row r="142" spans="1:32" ht="27" customHeight="1">
      <c r="A142" s="183" t="s">
        <v>1250</v>
      </c>
      <c r="B142" s="94">
        <v>5</v>
      </c>
      <c r="C142" s="184" t="s">
        <v>199</v>
      </c>
      <c r="D142" s="94">
        <v>55</v>
      </c>
      <c r="E142" s="420" t="s">
        <v>1631</v>
      </c>
      <c r="F142" s="409"/>
      <c r="G142" s="191"/>
      <c r="H142" s="411"/>
      <c r="I142" s="412"/>
      <c r="J142" s="448"/>
      <c r="K142" s="626"/>
      <c r="L142" s="718">
        <v>50</v>
      </c>
      <c r="M142" s="626"/>
      <c r="N142" s="722"/>
      <c r="O142" s="722"/>
      <c r="P142" s="722"/>
      <c r="Q142" s="722"/>
      <c r="R142" s="98"/>
      <c r="S142" s="414"/>
      <c r="T142" s="415"/>
      <c r="U142" s="680"/>
      <c r="V142" s="416"/>
      <c r="W142" s="416"/>
      <c r="X142" s="682"/>
      <c r="Y142" s="417"/>
      <c r="Z142" s="412"/>
      <c r="AA142" s="413"/>
      <c r="AB142" s="412"/>
      <c r="AC142" s="418"/>
      <c r="AD142" s="410"/>
      <c r="AE142" s="412"/>
      <c r="AF142" s="419"/>
    </row>
    <row r="143" spans="1:32" ht="27" customHeight="1">
      <c r="A143" s="421" t="s">
        <v>1250</v>
      </c>
      <c r="B143" s="97">
        <v>5</v>
      </c>
      <c r="C143" s="422" t="s">
        <v>199</v>
      </c>
      <c r="D143" s="97">
        <v>56</v>
      </c>
      <c r="E143" s="420" t="s">
        <v>1159</v>
      </c>
      <c r="F143" s="409"/>
      <c r="G143" s="191"/>
      <c r="H143" s="411"/>
      <c r="I143" s="412"/>
      <c r="J143" s="448"/>
      <c r="K143" s="626"/>
      <c r="L143" s="718">
        <v>70</v>
      </c>
      <c r="M143" s="626"/>
      <c r="N143" s="722"/>
      <c r="O143" s="722"/>
      <c r="P143" s="722"/>
      <c r="Q143" s="722"/>
      <c r="R143" s="98"/>
      <c r="S143" s="414"/>
      <c r="T143" s="415"/>
      <c r="U143" s="680"/>
      <c r="V143" s="416"/>
      <c r="W143" s="416"/>
      <c r="X143" s="682"/>
      <c r="Y143" s="417"/>
      <c r="Z143" s="412"/>
      <c r="AA143" s="413"/>
      <c r="AB143" s="412"/>
      <c r="AC143" s="418"/>
      <c r="AD143" s="410"/>
      <c r="AE143" s="412"/>
      <c r="AF143" s="419"/>
    </row>
    <row r="144" spans="1:32" ht="27" customHeight="1">
      <c r="A144" s="183" t="s">
        <v>1250</v>
      </c>
      <c r="B144" s="94">
        <v>5</v>
      </c>
      <c r="C144" s="184" t="s">
        <v>199</v>
      </c>
      <c r="D144" s="94">
        <v>57</v>
      </c>
      <c r="E144" s="420" t="s">
        <v>1160</v>
      </c>
      <c r="F144" s="409"/>
      <c r="G144" s="191"/>
      <c r="H144" s="411"/>
      <c r="I144" s="412"/>
      <c r="J144" s="448"/>
      <c r="K144" s="626"/>
      <c r="L144" s="718">
        <v>70</v>
      </c>
      <c r="M144" s="626"/>
      <c r="N144" s="722"/>
      <c r="O144" s="722"/>
      <c r="P144" s="722"/>
      <c r="Q144" s="722"/>
      <c r="R144" s="98"/>
      <c r="S144" s="414"/>
      <c r="T144" s="415"/>
      <c r="U144" s="680"/>
      <c r="V144" s="416"/>
      <c r="W144" s="416"/>
      <c r="X144" s="682"/>
      <c r="Y144" s="417"/>
      <c r="Z144" s="412"/>
      <c r="AA144" s="413"/>
      <c r="AB144" s="412"/>
      <c r="AC144" s="418"/>
      <c r="AD144" s="410"/>
      <c r="AE144" s="412"/>
      <c r="AF144" s="419"/>
    </row>
    <row r="145" spans="1:32" ht="27" customHeight="1">
      <c r="A145" s="421" t="s">
        <v>1250</v>
      </c>
      <c r="B145" s="97">
        <v>5</v>
      </c>
      <c r="C145" s="422" t="s">
        <v>199</v>
      </c>
      <c r="D145" s="97">
        <v>58</v>
      </c>
      <c r="E145" s="420" t="s">
        <v>1161</v>
      </c>
      <c r="F145" s="409"/>
      <c r="G145" s="191"/>
      <c r="H145" s="411"/>
      <c r="I145" s="412"/>
      <c r="J145" s="448"/>
      <c r="K145" s="626"/>
      <c r="L145" s="718">
        <v>80</v>
      </c>
      <c r="M145" s="626"/>
      <c r="N145" s="722"/>
      <c r="O145" s="722"/>
      <c r="P145" s="722"/>
      <c r="Q145" s="722"/>
      <c r="R145" s="98"/>
      <c r="S145" s="414"/>
      <c r="T145" s="415"/>
      <c r="U145" s="680"/>
      <c r="V145" s="416"/>
      <c r="W145" s="416"/>
      <c r="X145" s="682"/>
      <c r="Y145" s="417"/>
      <c r="Z145" s="412"/>
      <c r="AA145" s="413"/>
      <c r="AB145" s="412"/>
      <c r="AC145" s="418"/>
      <c r="AD145" s="410"/>
      <c r="AE145" s="412"/>
      <c r="AF145" s="419"/>
    </row>
    <row r="146" spans="1:32" ht="27" customHeight="1">
      <c r="A146" s="183" t="s">
        <v>1250</v>
      </c>
      <c r="B146" s="94">
        <v>5</v>
      </c>
      <c r="C146" s="184" t="s">
        <v>199</v>
      </c>
      <c r="D146" s="94">
        <v>59</v>
      </c>
      <c r="E146" s="420" t="s">
        <v>1162</v>
      </c>
      <c r="F146" s="409"/>
      <c r="G146" s="191"/>
      <c r="H146" s="411"/>
      <c r="I146" s="412"/>
      <c r="J146" s="448"/>
      <c r="K146" s="626"/>
      <c r="L146" s="718">
        <v>10</v>
      </c>
      <c r="M146" s="626"/>
      <c r="N146" s="722"/>
      <c r="O146" s="722"/>
      <c r="P146" s="722"/>
      <c r="Q146" s="722"/>
      <c r="R146" s="98"/>
      <c r="S146" s="414"/>
      <c r="T146" s="415"/>
      <c r="U146" s="680"/>
      <c r="V146" s="416"/>
      <c r="W146" s="416"/>
      <c r="X146" s="682"/>
      <c r="Y146" s="417"/>
      <c r="Z146" s="412"/>
      <c r="AA146" s="413"/>
      <c r="AB146" s="412"/>
      <c r="AC146" s="418"/>
      <c r="AD146" s="410"/>
      <c r="AE146" s="412"/>
      <c r="AF146" s="419"/>
    </row>
    <row r="147" spans="1:32" ht="27" customHeight="1">
      <c r="A147" s="183" t="s">
        <v>1250</v>
      </c>
      <c r="B147" s="94">
        <v>5</v>
      </c>
      <c r="C147" s="184" t="s">
        <v>199</v>
      </c>
      <c r="D147" s="94">
        <v>60</v>
      </c>
      <c r="E147" s="182" t="s">
        <v>1163</v>
      </c>
      <c r="F147" s="209"/>
      <c r="G147" s="191"/>
      <c r="H147" s="158"/>
      <c r="I147" s="248"/>
      <c r="J147" s="447"/>
      <c r="K147" s="626"/>
      <c r="L147" s="685">
        <v>80</v>
      </c>
      <c r="M147" s="626"/>
      <c r="N147" s="721"/>
      <c r="O147" s="721"/>
      <c r="P147" s="721"/>
      <c r="Q147" s="721"/>
      <c r="R147" s="95"/>
      <c r="S147" s="210"/>
      <c r="T147" s="369"/>
      <c r="U147" s="655"/>
      <c r="V147" s="67"/>
      <c r="W147" s="67"/>
      <c r="X147" s="671"/>
      <c r="Y147" s="232"/>
      <c r="Z147" s="248"/>
      <c r="AA147" s="230"/>
      <c r="AB147" s="248"/>
      <c r="AC147" s="236"/>
      <c r="AD147" s="191"/>
      <c r="AE147" s="248"/>
      <c r="AF147" s="254"/>
    </row>
    <row r="148" spans="1:32" ht="27" customHeight="1" thickBot="1">
      <c r="A148" s="350" t="s">
        <v>1250</v>
      </c>
      <c r="B148" s="102">
        <v>5</v>
      </c>
      <c r="C148" s="351" t="s">
        <v>199</v>
      </c>
      <c r="D148" s="352">
        <v>61</v>
      </c>
      <c r="E148" s="353" t="s">
        <v>1604</v>
      </c>
      <c r="F148" s="294">
        <v>45187</v>
      </c>
      <c r="G148" s="360" t="s">
        <v>1634</v>
      </c>
      <c r="H148" s="313" t="s">
        <v>1635</v>
      </c>
      <c r="I148" s="296">
        <v>15</v>
      </c>
      <c r="J148" s="719">
        <v>50</v>
      </c>
      <c r="K148" s="720">
        <v>50</v>
      </c>
      <c r="L148" s="628"/>
      <c r="M148" s="629"/>
      <c r="N148" s="723">
        <v>0</v>
      </c>
      <c r="O148" s="723">
        <v>0</v>
      </c>
      <c r="P148" s="723">
        <v>0</v>
      </c>
      <c r="Q148" s="723">
        <v>0</v>
      </c>
      <c r="R148" s="103" t="s">
        <v>1165</v>
      </c>
      <c r="S148" s="370">
        <v>11.3</v>
      </c>
      <c r="T148" s="371">
        <v>119</v>
      </c>
      <c r="U148" s="656">
        <v>0</v>
      </c>
      <c r="V148" s="375" t="s">
        <v>714</v>
      </c>
      <c r="W148" s="375" t="s">
        <v>714</v>
      </c>
      <c r="X148" s="672">
        <v>0</v>
      </c>
      <c r="Y148" s="317">
        <v>1</v>
      </c>
      <c r="Z148" s="296">
        <v>0</v>
      </c>
      <c r="AA148" s="295" t="s">
        <v>714</v>
      </c>
      <c r="AB148" s="296">
        <v>3</v>
      </c>
      <c r="AC148" s="304">
        <v>0</v>
      </c>
      <c r="AD148" s="360">
        <v>0</v>
      </c>
      <c r="AE148" s="296">
        <v>0</v>
      </c>
      <c r="AF148" s="297" t="s">
        <v>1036</v>
      </c>
    </row>
    <row r="149" spans="1:32" ht="27" customHeight="1" thickTop="1">
      <c r="A149" s="354" t="s">
        <v>1252</v>
      </c>
      <c r="B149" s="92">
        <v>6</v>
      </c>
      <c r="C149" s="355" t="s">
        <v>246</v>
      </c>
      <c r="D149" s="92">
        <v>1</v>
      </c>
      <c r="E149" s="268" t="s">
        <v>247</v>
      </c>
      <c r="F149" s="300">
        <v>45178</v>
      </c>
      <c r="G149" s="361" t="s">
        <v>1634</v>
      </c>
      <c r="H149" s="155" t="s">
        <v>1635</v>
      </c>
      <c r="I149" s="262">
        <v>15</v>
      </c>
      <c r="J149" s="714">
        <v>70</v>
      </c>
      <c r="K149" s="715">
        <v>70</v>
      </c>
      <c r="L149" s="717">
        <v>80</v>
      </c>
      <c r="M149" s="715">
        <f>K149-L149</f>
        <v>-10</v>
      </c>
      <c r="N149" s="724">
        <v>0</v>
      </c>
      <c r="O149" s="724">
        <v>0</v>
      </c>
      <c r="P149" s="724">
        <v>0</v>
      </c>
      <c r="Q149" s="724">
        <v>0</v>
      </c>
      <c r="R149" s="93" t="s">
        <v>945</v>
      </c>
      <c r="S149" s="367">
        <v>13.3</v>
      </c>
      <c r="T149" s="368">
        <v>140</v>
      </c>
      <c r="U149" s="654">
        <v>0</v>
      </c>
      <c r="V149" s="374" t="s">
        <v>714</v>
      </c>
      <c r="W149" s="374" t="s">
        <v>714</v>
      </c>
      <c r="X149" s="670">
        <v>0</v>
      </c>
      <c r="Y149" s="231">
        <v>1</v>
      </c>
      <c r="Z149" s="262">
        <v>0</v>
      </c>
      <c r="AA149" s="366" t="s">
        <v>714</v>
      </c>
      <c r="AB149" s="262">
        <v>1</v>
      </c>
      <c r="AC149" s="307">
        <v>0</v>
      </c>
      <c r="AD149" s="361">
        <v>0</v>
      </c>
      <c r="AE149" s="262">
        <v>3</v>
      </c>
      <c r="AF149" s="301" t="s">
        <v>1036</v>
      </c>
    </row>
    <row r="150" spans="1:32" s="147" customFormat="1" ht="27" customHeight="1">
      <c r="A150" s="183" t="s">
        <v>1252</v>
      </c>
      <c r="B150" s="94">
        <v>6</v>
      </c>
      <c r="C150" s="184" t="s">
        <v>246</v>
      </c>
      <c r="D150" s="94">
        <v>2</v>
      </c>
      <c r="E150" s="182" t="s">
        <v>249</v>
      </c>
      <c r="F150" s="209">
        <v>45178</v>
      </c>
      <c r="G150" s="191" t="s">
        <v>1634</v>
      </c>
      <c r="H150" s="158" t="s">
        <v>1635</v>
      </c>
      <c r="I150" s="248">
        <v>15</v>
      </c>
      <c r="J150" s="716">
        <v>70</v>
      </c>
      <c r="K150" s="715">
        <v>70</v>
      </c>
      <c r="L150" s="685">
        <v>70</v>
      </c>
      <c r="M150" s="715">
        <f>K150-L150</f>
        <v>0</v>
      </c>
      <c r="N150" s="721">
        <v>0</v>
      </c>
      <c r="O150" s="721">
        <v>0</v>
      </c>
      <c r="P150" s="721">
        <v>0</v>
      </c>
      <c r="Q150" s="721">
        <v>0</v>
      </c>
      <c r="R150" s="95" t="s">
        <v>945</v>
      </c>
      <c r="S150" s="210">
        <v>22.7</v>
      </c>
      <c r="T150" s="369">
        <v>116</v>
      </c>
      <c r="U150" s="655">
        <v>0</v>
      </c>
      <c r="V150" s="67" t="s">
        <v>714</v>
      </c>
      <c r="W150" s="67" t="s">
        <v>714</v>
      </c>
      <c r="X150" s="671">
        <v>0</v>
      </c>
      <c r="Y150" s="232">
        <v>1</v>
      </c>
      <c r="Z150" s="248">
        <v>0</v>
      </c>
      <c r="AA150" s="230" t="s">
        <v>714</v>
      </c>
      <c r="AB150" s="248">
        <v>1</v>
      </c>
      <c r="AC150" s="236">
        <v>0</v>
      </c>
      <c r="AD150" s="191">
        <v>0</v>
      </c>
      <c r="AE150" s="248">
        <v>1</v>
      </c>
      <c r="AF150" s="254" t="s">
        <v>1506</v>
      </c>
    </row>
    <row r="151" spans="1:32" ht="27" customHeight="1">
      <c r="A151" s="183" t="s">
        <v>1252</v>
      </c>
      <c r="B151" s="94">
        <v>6</v>
      </c>
      <c r="C151" s="184" t="s">
        <v>246</v>
      </c>
      <c r="D151" s="94">
        <v>3</v>
      </c>
      <c r="E151" s="182" t="s">
        <v>250</v>
      </c>
      <c r="F151" s="209">
        <v>45178</v>
      </c>
      <c r="G151" s="191" t="s">
        <v>1634</v>
      </c>
      <c r="H151" s="158" t="s">
        <v>1635</v>
      </c>
      <c r="I151" s="248">
        <v>15</v>
      </c>
      <c r="J151" s="716">
        <v>50</v>
      </c>
      <c r="K151" s="715">
        <v>50</v>
      </c>
      <c r="L151" s="685"/>
      <c r="M151" s="715"/>
      <c r="N151" s="721">
        <v>0</v>
      </c>
      <c r="O151" s="721">
        <v>0</v>
      </c>
      <c r="P151" s="721">
        <v>0</v>
      </c>
      <c r="Q151" s="721">
        <v>0</v>
      </c>
      <c r="R151" s="95" t="s">
        <v>1120</v>
      </c>
      <c r="S151" s="210">
        <v>36</v>
      </c>
      <c r="T151" s="369">
        <v>98.888888888888886</v>
      </c>
      <c r="U151" s="655">
        <v>0</v>
      </c>
      <c r="V151" s="67" t="s">
        <v>714</v>
      </c>
      <c r="W151" s="67" t="s">
        <v>714</v>
      </c>
      <c r="X151" s="671">
        <v>0</v>
      </c>
      <c r="Y151" s="232">
        <v>1</v>
      </c>
      <c r="Z151" s="248">
        <v>0</v>
      </c>
      <c r="AA151" s="230" t="s">
        <v>714</v>
      </c>
      <c r="AB151" s="248">
        <v>2</v>
      </c>
      <c r="AC151" s="236">
        <v>1</v>
      </c>
      <c r="AD151" s="191">
        <v>0</v>
      </c>
      <c r="AE151" s="248">
        <v>12</v>
      </c>
      <c r="AF151" s="254" t="s">
        <v>1036</v>
      </c>
    </row>
    <row r="152" spans="1:32" ht="27" customHeight="1">
      <c r="A152" s="183" t="s">
        <v>1252</v>
      </c>
      <c r="B152" s="94">
        <v>6</v>
      </c>
      <c r="C152" s="184" t="s">
        <v>246</v>
      </c>
      <c r="D152" s="94">
        <v>4</v>
      </c>
      <c r="E152" s="182" t="s">
        <v>251</v>
      </c>
      <c r="F152" s="209">
        <v>45178</v>
      </c>
      <c r="G152" s="191" t="s">
        <v>1634</v>
      </c>
      <c r="H152" s="158" t="s">
        <v>1635</v>
      </c>
      <c r="I152" s="248">
        <v>15</v>
      </c>
      <c r="J152" s="716">
        <v>70</v>
      </c>
      <c r="K152" s="715">
        <v>70</v>
      </c>
      <c r="L152" s="685">
        <v>70</v>
      </c>
      <c r="M152" s="715">
        <f>K152-L152</f>
        <v>0</v>
      </c>
      <c r="N152" s="721">
        <v>0</v>
      </c>
      <c r="O152" s="721">
        <v>0</v>
      </c>
      <c r="P152" s="721">
        <v>0</v>
      </c>
      <c r="Q152" s="721">
        <v>0</v>
      </c>
      <c r="R152" s="95" t="s">
        <v>1638</v>
      </c>
      <c r="S152" s="210">
        <v>15.3</v>
      </c>
      <c r="T152" s="369">
        <v>52</v>
      </c>
      <c r="U152" s="655">
        <v>0</v>
      </c>
      <c r="V152" s="67" t="s">
        <v>714</v>
      </c>
      <c r="W152" s="67" t="s">
        <v>714</v>
      </c>
      <c r="X152" s="671">
        <v>0</v>
      </c>
      <c r="Y152" s="233">
        <v>1</v>
      </c>
      <c r="Z152" s="248">
        <v>0</v>
      </c>
      <c r="AA152" s="230" t="s">
        <v>714</v>
      </c>
      <c r="AB152" s="248">
        <v>2</v>
      </c>
      <c r="AC152" s="236">
        <v>0</v>
      </c>
      <c r="AD152" s="191">
        <v>0</v>
      </c>
      <c r="AE152" s="248">
        <v>2</v>
      </c>
      <c r="AF152" s="254" t="s">
        <v>1036</v>
      </c>
    </row>
    <row r="153" spans="1:32" ht="27" customHeight="1">
      <c r="A153" s="183" t="s">
        <v>1252</v>
      </c>
      <c r="B153" s="94">
        <v>6</v>
      </c>
      <c r="C153" s="184" t="s">
        <v>246</v>
      </c>
      <c r="D153" s="94">
        <v>5</v>
      </c>
      <c r="E153" s="182" t="s">
        <v>252</v>
      </c>
      <c r="F153" s="209">
        <v>45178</v>
      </c>
      <c r="G153" s="191" t="s">
        <v>1634</v>
      </c>
      <c r="H153" s="65" t="s">
        <v>1498</v>
      </c>
      <c r="I153" s="248">
        <v>20</v>
      </c>
      <c r="J153" s="716">
        <v>70</v>
      </c>
      <c r="K153" s="715">
        <v>70</v>
      </c>
      <c r="L153" s="685">
        <v>70</v>
      </c>
      <c r="M153" s="715">
        <f>K153-L153</f>
        <v>0</v>
      </c>
      <c r="N153" s="721">
        <v>0</v>
      </c>
      <c r="O153" s="721">
        <v>0</v>
      </c>
      <c r="P153" s="721">
        <v>0</v>
      </c>
      <c r="Q153" s="721">
        <v>0</v>
      </c>
      <c r="R153" s="95" t="s">
        <v>944</v>
      </c>
      <c r="S153" s="210">
        <v>18</v>
      </c>
      <c r="T153" s="369">
        <v>78</v>
      </c>
      <c r="U153" s="655">
        <v>0</v>
      </c>
      <c r="V153" s="67" t="s">
        <v>714</v>
      </c>
      <c r="W153" s="67" t="s">
        <v>714</v>
      </c>
      <c r="X153" s="671">
        <v>0</v>
      </c>
      <c r="Y153" s="233">
        <v>1</v>
      </c>
      <c r="Z153" s="248">
        <v>0</v>
      </c>
      <c r="AA153" s="230" t="s">
        <v>714</v>
      </c>
      <c r="AB153" s="248">
        <v>2</v>
      </c>
      <c r="AC153" s="236">
        <v>3</v>
      </c>
      <c r="AD153" s="191">
        <v>0</v>
      </c>
      <c r="AE153" s="248">
        <v>10</v>
      </c>
      <c r="AF153" s="254" t="s">
        <v>1036</v>
      </c>
    </row>
    <row r="154" spans="1:32" s="147" customFormat="1" ht="27" customHeight="1">
      <c r="A154" s="183" t="s">
        <v>1252</v>
      </c>
      <c r="B154" s="94">
        <v>6</v>
      </c>
      <c r="C154" s="184" t="s">
        <v>246</v>
      </c>
      <c r="D154" s="94">
        <v>6</v>
      </c>
      <c r="E154" s="182" t="s">
        <v>253</v>
      </c>
      <c r="F154" s="65"/>
      <c r="G154" s="65"/>
      <c r="H154" s="65"/>
      <c r="I154" s="66"/>
      <c r="J154" s="444"/>
      <c r="K154" s="626"/>
      <c r="L154" s="621"/>
      <c r="M154" s="626"/>
      <c r="N154" s="179"/>
      <c r="O154" s="179"/>
      <c r="P154" s="179"/>
      <c r="Q154" s="179"/>
      <c r="R154" s="65"/>
      <c r="S154" s="65"/>
      <c r="T154" s="66"/>
      <c r="U154" s="643"/>
      <c r="V154" s="204"/>
      <c r="W154" s="204"/>
      <c r="X154" s="645"/>
      <c r="Y154" s="228"/>
      <c r="Z154" s="66"/>
      <c r="AA154" s="221"/>
      <c r="AB154" s="66"/>
      <c r="AC154" s="228"/>
      <c r="AD154" s="65"/>
      <c r="AE154" s="66"/>
      <c r="AF154" s="151"/>
    </row>
    <row r="155" spans="1:32" s="147" customFormat="1" ht="27" customHeight="1">
      <c r="A155" s="183" t="s">
        <v>1252</v>
      </c>
      <c r="B155" s="94">
        <v>6</v>
      </c>
      <c r="C155" s="184" t="s">
        <v>246</v>
      </c>
      <c r="D155" s="94">
        <v>7</v>
      </c>
      <c r="E155" s="182" t="s">
        <v>254</v>
      </c>
      <c r="F155" s="209"/>
      <c r="G155" s="191"/>
      <c r="H155" s="158"/>
      <c r="I155" s="248"/>
      <c r="J155" s="447"/>
      <c r="K155" s="626"/>
      <c r="L155" s="621"/>
      <c r="M155" s="626"/>
      <c r="N155" s="210"/>
      <c r="O155" s="210"/>
      <c r="P155" s="210"/>
      <c r="Q155" s="210"/>
      <c r="R155" s="95"/>
      <c r="S155" s="210"/>
      <c r="T155" s="369"/>
      <c r="U155" s="655"/>
      <c r="V155" s="67"/>
      <c r="W155" s="67"/>
      <c r="X155" s="671"/>
      <c r="Y155" s="233"/>
      <c r="Z155" s="248"/>
      <c r="AA155" s="230"/>
      <c r="AB155" s="248"/>
      <c r="AC155" s="236"/>
      <c r="AD155" s="191"/>
      <c r="AE155" s="248"/>
      <c r="AF155" s="254"/>
    </row>
    <row r="156" spans="1:32" s="147" customFormat="1" ht="27" customHeight="1">
      <c r="A156" s="183" t="s">
        <v>1252</v>
      </c>
      <c r="B156" s="94">
        <v>6</v>
      </c>
      <c r="C156" s="184" t="s">
        <v>246</v>
      </c>
      <c r="D156" s="94">
        <v>8</v>
      </c>
      <c r="E156" s="182" t="s">
        <v>256</v>
      </c>
      <c r="F156" s="209"/>
      <c r="G156" s="191"/>
      <c r="H156" s="158"/>
      <c r="I156" s="248"/>
      <c r="J156" s="447"/>
      <c r="K156" s="626"/>
      <c r="L156" s="621"/>
      <c r="M156" s="626"/>
      <c r="N156" s="210"/>
      <c r="O156" s="210"/>
      <c r="P156" s="210"/>
      <c r="Q156" s="210"/>
      <c r="R156" s="158"/>
      <c r="S156" s="210"/>
      <c r="T156" s="369"/>
      <c r="U156" s="655"/>
      <c r="V156" s="67"/>
      <c r="W156" s="67"/>
      <c r="X156" s="671"/>
      <c r="Y156" s="233"/>
      <c r="Z156" s="248"/>
      <c r="AA156" s="230"/>
      <c r="AB156" s="248"/>
      <c r="AC156" s="236"/>
      <c r="AD156" s="191"/>
      <c r="AE156" s="248"/>
      <c r="AF156" s="254"/>
    </row>
    <row r="157" spans="1:32" s="147" customFormat="1" ht="27" customHeight="1">
      <c r="A157" s="183" t="s">
        <v>1252</v>
      </c>
      <c r="B157" s="94">
        <v>6</v>
      </c>
      <c r="C157" s="184" t="s">
        <v>246</v>
      </c>
      <c r="D157" s="94">
        <v>9</v>
      </c>
      <c r="E157" s="182" t="s">
        <v>1033</v>
      </c>
      <c r="F157" s="65"/>
      <c r="G157" s="65"/>
      <c r="H157" s="65"/>
      <c r="I157" s="66"/>
      <c r="J157" s="444"/>
      <c r="K157" s="626"/>
      <c r="L157" s="621"/>
      <c r="M157" s="626"/>
      <c r="N157" s="179"/>
      <c r="O157" s="179"/>
      <c r="P157" s="179"/>
      <c r="Q157" s="179"/>
      <c r="R157" s="65"/>
      <c r="S157" s="65"/>
      <c r="T157" s="66"/>
      <c r="U157" s="643"/>
      <c r="V157" s="204"/>
      <c r="W157" s="204"/>
      <c r="X157" s="645"/>
      <c r="Y157" s="228"/>
      <c r="Z157" s="66"/>
      <c r="AA157" s="221"/>
      <c r="AB157" s="66"/>
      <c r="AC157" s="228"/>
      <c r="AD157" s="65"/>
      <c r="AE157" s="66"/>
      <c r="AF157" s="151"/>
    </row>
    <row r="158" spans="1:32" s="147" customFormat="1" ht="27" customHeight="1">
      <c r="A158" s="183" t="s">
        <v>1252</v>
      </c>
      <c r="B158" s="94">
        <v>6</v>
      </c>
      <c r="C158" s="184" t="s">
        <v>246</v>
      </c>
      <c r="D158" s="94">
        <v>10</v>
      </c>
      <c r="E158" s="182" t="s">
        <v>1073</v>
      </c>
      <c r="F158" s="209">
        <v>45178</v>
      </c>
      <c r="G158" s="191" t="s">
        <v>1634</v>
      </c>
      <c r="H158" s="65" t="s">
        <v>1635</v>
      </c>
      <c r="I158" s="248">
        <v>15</v>
      </c>
      <c r="J158" s="716">
        <v>60</v>
      </c>
      <c r="K158" s="715">
        <v>60</v>
      </c>
      <c r="L158" s="685">
        <v>80</v>
      </c>
      <c r="M158" s="715">
        <f>K158-L158</f>
        <v>-20</v>
      </c>
      <c r="N158" s="721">
        <v>0</v>
      </c>
      <c r="O158" s="721">
        <v>0</v>
      </c>
      <c r="P158" s="721">
        <v>0</v>
      </c>
      <c r="Q158" s="721">
        <v>0</v>
      </c>
      <c r="R158" s="158" t="s">
        <v>1165</v>
      </c>
      <c r="S158" s="210">
        <v>24</v>
      </c>
      <c r="T158" s="369">
        <v>106</v>
      </c>
      <c r="U158" s="655">
        <v>0</v>
      </c>
      <c r="V158" s="67" t="s">
        <v>714</v>
      </c>
      <c r="W158" s="67" t="s">
        <v>714</v>
      </c>
      <c r="X158" s="671">
        <v>0</v>
      </c>
      <c r="Y158" s="232">
        <v>1</v>
      </c>
      <c r="Z158" s="248">
        <v>0</v>
      </c>
      <c r="AA158" s="230" t="s">
        <v>714</v>
      </c>
      <c r="AB158" s="248">
        <v>3</v>
      </c>
      <c r="AC158" s="236">
        <v>0</v>
      </c>
      <c r="AD158" s="191">
        <v>0</v>
      </c>
      <c r="AE158" s="248">
        <v>4</v>
      </c>
      <c r="AF158" s="254" t="s">
        <v>1036</v>
      </c>
    </row>
    <row r="159" spans="1:32" s="147" customFormat="1" ht="27" customHeight="1">
      <c r="A159" s="421" t="s">
        <v>1252</v>
      </c>
      <c r="B159" s="97">
        <v>6</v>
      </c>
      <c r="C159" s="422" t="s">
        <v>246</v>
      </c>
      <c r="D159" s="97">
        <v>11</v>
      </c>
      <c r="E159" s="420" t="s">
        <v>1074</v>
      </c>
      <c r="F159" s="409"/>
      <c r="G159" s="410"/>
      <c r="H159" s="411"/>
      <c r="I159" s="412"/>
      <c r="J159" s="448"/>
      <c r="K159" s="626"/>
      <c r="L159" s="718"/>
      <c r="M159" s="626"/>
      <c r="N159" s="414"/>
      <c r="O159" s="414"/>
      <c r="P159" s="414"/>
      <c r="Q159" s="414"/>
      <c r="R159" s="411"/>
      <c r="S159" s="414"/>
      <c r="T159" s="415"/>
      <c r="U159" s="680"/>
      <c r="V159" s="416"/>
      <c r="W159" s="416"/>
      <c r="X159" s="682"/>
      <c r="Y159" s="423"/>
      <c r="Z159" s="412"/>
      <c r="AA159" s="413"/>
      <c r="AB159" s="412"/>
      <c r="AC159" s="418"/>
      <c r="AD159" s="410"/>
      <c r="AE159" s="412"/>
      <c r="AF159" s="419"/>
    </row>
    <row r="160" spans="1:32" s="147" customFormat="1" ht="27" customHeight="1" thickBot="1">
      <c r="A160" s="350" t="s">
        <v>1252</v>
      </c>
      <c r="B160" s="102">
        <v>6</v>
      </c>
      <c r="C160" s="351" t="s">
        <v>246</v>
      </c>
      <c r="D160" s="102">
        <v>12</v>
      </c>
      <c r="E160" s="308" t="s">
        <v>1164</v>
      </c>
      <c r="F160" s="294"/>
      <c r="G160" s="360"/>
      <c r="H160" s="313"/>
      <c r="I160" s="296"/>
      <c r="J160" s="449"/>
      <c r="K160" s="628"/>
      <c r="L160" s="720">
        <v>70</v>
      </c>
      <c r="M160" s="629"/>
      <c r="N160" s="370"/>
      <c r="O160" s="370"/>
      <c r="P160" s="370"/>
      <c r="Q160" s="370"/>
      <c r="R160" s="313"/>
      <c r="S160" s="370"/>
      <c r="T160" s="371"/>
      <c r="U160" s="656"/>
      <c r="V160" s="375"/>
      <c r="W160" s="375"/>
      <c r="X160" s="672"/>
      <c r="Y160" s="285"/>
      <c r="Z160" s="296"/>
      <c r="AA160" s="295"/>
      <c r="AB160" s="296"/>
      <c r="AC160" s="304"/>
      <c r="AD160" s="360"/>
      <c r="AE160" s="296"/>
      <c r="AF160" s="297"/>
    </row>
    <row r="161" spans="1:40" ht="35.1" customHeight="1" thickTop="1">
      <c r="A161" s="216" t="s">
        <v>1253</v>
      </c>
      <c r="B161" s="217">
        <v>7</v>
      </c>
      <c r="C161" s="216" t="s">
        <v>1254</v>
      </c>
      <c r="D161" s="257">
        <v>1</v>
      </c>
      <c r="E161" s="268" t="s">
        <v>959</v>
      </c>
      <c r="F161" s="258">
        <v>45249</v>
      </c>
      <c r="G161" s="152" t="s">
        <v>960</v>
      </c>
      <c r="H161" s="155" t="s">
        <v>1111</v>
      </c>
      <c r="I161" s="262">
        <v>15</v>
      </c>
      <c r="J161" s="691">
        <v>30</v>
      </c>
      <c r="K161" s="726">
        <v>30</v>
      </c>
      <c r="L161" s="683">
        <v>30</v>
      </c>
      <c r="M161" s="687">
        <f t="shared" ref="M161:M192" si="4">K161-L161</f>
        <v>0</v>
      </c>
      <c r="N161" s="727">
        <v>0</v>
      </c>
      <c r="O161" s="727">
        <v>0</v>
      </c>
      <c r="P161" s="727">
        <v>0</v>
      </c>
      <c r="Q161" s="727">
        <v>0</v>
      </c>
      <c r="R161" s="93" t="s">
        <v>944</v>
      </c>
      <c r="S161" s="349" t="s">
        <v>1119</v>
      </c>
      <c r="T161" s="725">
        <f>AVERAGE(70,60,50,50,40,60,60,40)</f>
        <v>53.75</v>
      </c>
      <c r="U161" s="657">
        <v>0</v>
      </c>
      <c r="V161" s="374" t="s">
        <v>714</v>
      </c>
      <c r="W161" s="361" t="s">
        <v>714</v>
      </c>
      <c r="X161" s="673">
        <v>0</v>
      </c>
      <c r="Y161" s="292">
        <v>2</v>
      </c>
      <c r="Z161" s="262" t="s">
        <v>948</v>
      </c>
      <c r="AA161" s="271"/>
      <c r="AB161" s="153"/>
      <c r="AC161" s="307">
        <v>1</v>
      </c>
      <c r="AD161" s="361">
        <v>0</v>
      </c>
      <c r="AE161" s="260">
        <v>5</v>
      </c>
      <c r="AF161" s="263"/>
    </row>
    <row r="162" spans="1:40" s="147" customFormat="1" ht="35.1" customHeight="1">
      <c r="A162" s="175" t="s">
        <v>1253</v>
      </c>
      <c r="B162" s="176">
        <v>7</v>
      </c>
      <c r="C162" s="175" t="s">
        <v>1254</v>
      </c>
      <c r="D162" s="181">
        <v>2</v>
      </c>
      <c r="E162" s="182" t="s">
        <v>961</v>
      </c>
      <c r="F162" s="189">
        <v>45210</v>
      </c>
      <c r="G162" s="65" t="s">
        <v>960</v>
      </c>
      <c r="H162" s="158" t="s">
        <v>1111</v>
      </c>
      <c r="I162" s="248">
        <v>15</v>
      </c>
      <c r="J162" s="443">
        <v>10</v>
      </c>
      <c r="K162" s="685">
        <v>10</v>
      </c>
      <c r="L162" s="684">
        <v>10</v>
      </c>
      <c r="M162" s="687">
        <f t="shared" si="4"/>
        <v>0</v>
      </c>
      <c r="N162" s="697">
        <v>0</v>
      </c>
      <c r="O162" s="697">
        <v>0</v>
      </c>
      <c r="P162" s="697">
        <v>0</v>
      </c>
      <c r="Q162" s="697">
        <v>0</v>
      </c>
      <c r="R162" s="95" t="s">
        <v>1085</v>
      </c>
      <c r="S162" s="190" t="s">
        <v>1086</v>
      </c>
      <c r="T162" s="769" t="s">
        <v>855</v>
      </c>
      <c r="U162" s="658">
        <v>0</v>
      </c>
      <c r="V162" s="67" t="s">
        <v>714</v>
      </c>
      <c r="W162" s="191" t="s">
        <v>714</v>
      </c>
      <c r="X162" s="245">
        <v>0</v>
      </c>
      <c r="Y162" s="228">
        <v>1</v>
      </c>
      <c r="Z162" s="248">
        <v>0</v>
      </c>
      <c r="AA162" s="221"/>
      <c r="AB162" s="66"/>
      <c r="AC162" s="236">
        <v>0</v>
      </c>
      <c r="AD162" s="191">
        <v>0</v>
      </c>
      <c r="AE162" s="248">
        <v>0</v>
      </c>
      <c r="AF162" s="151"/>
    </row>
    <row r="163" spans="1:40" s="147" customFormat="1" ht="35.1" customHeight="1">
      <c r="A163" s="175" t="s">
        <v>1253</v>
      </c>
      <c r="B163" s="176">
        <v>7</v>
      </c>
      <c r="C163" s="175" t="s">
        <v>1254</v>
      </c>
      <c r="D163" s="181">
        <v>3</v>
      </c>
      <c r="E163" s="182" t="s">
        <v>962</v>
      </c>
      <c r="F163" s="189">
        <v>45193</v>
      </c>
      <c r="G163" s="65" t="s">
        <v>960</v>
      </c>
      <c r="H163" s="158" t="s">
        <v>1111</v>
      </c>
      <c r="I163" s="248">
        <v>15</v>
      </c>
      <c r="J163" s="443">
        <v>30</v>
      </c>
      <c r="K163" s="685">
        <v>30</v>
      </c>
      <c r="L163" s="684">
        <v>40</v>
      </c>
      <c r="M163" s="687">
        <f t="shared" si="4"/>
        <v>-10</v>
      </c>
      <c r="N163" s="179" t="s">
        <v>948</v>
      </c>
      <c r="O163" s="697">
        <v>0</v>
      </c>
      <c r="P163" s="697">
        <v>0</v>
      </c>
      <c r="Q163" s="697">
        <v>0</v>
      </c>
      <c r="R163" s="95" t="s">
        <v>944</v>
      </c>
      <c r="S163" s="190" t="s">
        <v>1417</v>
      </c>
      <c r="T163" s="769">
        <f>AVERAGE(100,40,50,60,50,150,100,60,50)</f>
        <v>73.333333333333329</v>
      </c>
      <c r="U163" s="658">
        <v>0</v>
      </c>
      <c r="V163" s="67" t="s">
        <v>714</v>
      </c>
      <c r="W163" s="191" t="s">
        <v>714</v>
      </c>
      <c r="X163" s="245">
        <v>0</v>
      </c>
      <c r="Y163" s="228">
        <v>2</v>
      </c>
      <c r="Z163" s="248" t="s">
        <v>948</v>
      </c>
      <c r="AA163" s="221"/>
      <c r="AB163" s="66"/>
      <c r="AC163" s="236">
        <v>1</v>
      </c>
      <c r="AD163" s="191">
        <v>0</v>
      </c>
      <c r="AE163" s="225">
        <v>4</v>
      </c>
      <c r="AF163" s="151"/>
      <c r="AH163" s="731"/>
    </row>
    <row r="164" spans="1:40" ht="35.1" customHeight="1">
      <c r="A164" s="175" t="s">
        <v>1253</v>
      </c>
      <c r="B164" s="176">
        <v>7</v>
      </c>
      <c r="C164" s="175" t="s">
        <v>1254</v>
      </c>
      <c r="D164" s="181">
        <v>4</v>
      </c>
      <c r="E164" s="182" t="s">
        <v>963</v>
      </c>
      <c r="F164" s="189">
        <v>45193</v>
      </c>
      <c r="G164" s="65" t="s">
        <v>960</v>
      </c>
      <c r="H164" s="158" t="s">
        <v>1111</v>
      </c>
      <c r="I164" s="248">
        <v>15</v>
      </c>
      <c r="J164" s="443">
        <v>40</v>
      </c>
      <c r="K164" s="685">
        <v>40</v>
      </c>
      <c r="L164" s="684">
        <v>40</v>
      </c>
      <c r="M164" s="687">
        <f t="shared" si="4"/>
        <v>0</v>
      </c>
      <c r="N164" s="697">
        <v>0</v>
      </c>
      <c r="O164" s="697">
        <v>0</v>
      </c>
      <c r="P164" s="697">
        <v>0</v>
      </c>
      <c r="Q164" s="697">
        <v>0</v>
      </c>
      <c r="R164" s="95" t="s">
        <v>944</v>
      </c>
      <c r="S164" s="190" t="s">
        <v>1418</v>
      </c>
      <c r="T164" s="769">
        <f>AVERAGE(60,80,60,80,60,120,120,100,100,100)</f>
        <v>88</v>
      </c>
      <c r="U164" s="658">
        <v>0</v>
      </c>
      <c r="V164" s="67" t="s">
        <v>714</v>
      </c>
      <c r="W164" s="191" t="s">
        <v>714</v>
      </c>
      <c r="X164" s="245">
        <v>0</v>
      </c>
      <c r="Y164" s="228">
        <v>2</v>
      </c>
      <c r="Z164" s="248" t="s">
        <v>948</v>
      </c>
      <c r="AA164" s="221"/>
      <c r="AB164" s="66"/>
      <c r="AC164" s="236">
        <v>1</v>
      </c>
      <c r="AD164" s="191">
        <v>0</v>
      </c>
      <c r="AE164" s="225">
        <v>3</v>
      </c>
      <c r="AF164" s="151"/>
      <c r="AH164" s="730"/>
    </row>
    <row r="165" spans="1:40" s="147" customFormat="1" ht="35.1" customHeight="1">
      <c r="A165" s="175" t="s">
        <v>1253</v>
      </c>
      <c r="B165" s="176">
        <v>7</v>
      </c>
      <c r="C165" s="175" t="s">
        <v>1254</v>
      </c>
      <c r="D165" s="181">
        <v>5</v>
      </c>
      <c r="E165" s="182" t="s">
        <v>964</v>
      </c>
      <c r="F165" s="189">
        <v>45249</v>
      </c>
      <c r="G165" s="65" t="s">
        <v>960</v>
      </c>
      <c r="H165" s="158" t="s">
        <v>1111</v>
      </c>
      <c r="I165" s="248">
        <v>15</v>
      </c>
      <c r="J165" s="443">
        <v>20</v>
      </c>
      <c r="K165" s="685">
        <v>20</v>
      </c>
      <c r="L165" s="684">
        <v>20</v>
      </c>
      <c r="M165" s="687">
        <f t="shared" si="4"/>
        <v>0</v>
      </c>
      <c r="N165" s="697">
        <v>0</v>
      </c>
      <c r="O165" s="697">
        <v>0</v>
      </c>
      <c r="P165" s="697">
        <v>0</v>
      </c>
      <c r="Q165" s="697">
        <v>0</v>
      </c>
      <c r="R165" s="95" t="s">
        <v>944</v>
      </c>
      <c r="S165" s="190" t="s">
        <v>1419</v>
      </c>
      <c r="T165" s="769">
        <f>AVERAGE(60,80,100,150,180,180,150,150,120,100)</f>
        <v>127</v>
      </c>
      <c r="U165" s="658">
        <v>0</v>
      </c>
      <c r="V165" s="67" t="s">
        <v>714</v>
      </c>
      <c r="W165" s="191" t="s">
        <v>714</v>
      </c>
      <c r="X165" s="245">
        <v>0</v>
      </c>
      <c r="Y165" s="228">
        <v>2</v>
      </c>
      <c r="Z165" s="248" t="s">
        <v>948</v>
      </c>
      <c r="AA165" s="221"/>
      <c r="AB165" s="66"/>
      <c r="AC165" s="236">
        <v>3</v>
      </c>
      <c r="AD165" s="191">
        <v>0</v>
      </c>
      <c r="AE165" s="225">
        <v>4</v>
      </c>
      <c r="AF165" s="151"/>
    </row>
    <row r="166" spans="1:40" ht="35.1" customHeight="1">
      <c r="A166" s="175" t="s">
        <v>1253</v>
      </c>
      <c r="B166" s="176">
        <v>7</v>
      </c>
      <c r="C166" s="175" t="s">
        <v>1254</v>
      </c>
      <c r="D166" s="181">
        <v>6</v>
      </c>
      <c r="E166" s="182" t="s">
        <v>965</v>
      </c>
      <c r="F166" s="189">
        <v>45250</v>
      </c>
      <c r="G166" s="65" t="s">
        <v>960</v>
      </c>
      <c r="H166" s="158" t="s">
        <v>1111</v>
      </c>
      <c r="I166" s="248">
        <v>15</v>
      </c>
      <c r="J166" s="443">
        <v>50</v>
      </c>
      <c r="K166" s="685">
        <v>50</v>
      </c>
      <c r="L166" s="684">
        <v>50</v>
      </c>
      <c r="M166" s="687">
        <f t="shared" si="4"/>
        <v>0</v>
      </c>
      <c r="N166" s="697">
        <v>0</v>
      </c>
      <c r="O166" s="697">
        <v>0</v>
      </c>
      <c r="P166" s="697">
        <v>0</v>
      </c>
      <c r="Q166" s="697">
        <v>0</v>
      </c>
      <c r="R166" s="95" t="s">
        <v>944</v>
      </c>
      <c r="S166" s="190" t="s">
        <v>1118</v>
      </c>
      <c r="T166" s="769">
        <f>AVERAGE(80,80,80,85,100,100,100,80,80,80)</f>
        <v>86.5</v>
      </c>
      <c r="U166" s="658">
        <v>0</v>
      </c>
      <c r="V166" s="67" t="s">
        <v>714</v>
      </c>
      <c r="W166" s="191" t="s">
        <v>714</v>
      </c>
      <c r="X166" s="245">
        <v>0</v>
      </c>
      <c r="Y166" s="228">
        <v>2</v>
      </c>
      <c r="Z166" s="248" t="s">
        <v>948</v>
      </c>
      <c r="AA166" s="221"/>
      <c r="AB166" s="66"/>
      <c r="AC166" s="236">
        <v>3</v>
      </c>
      <c r="AD166" s="191">
        <v>9</v>
      </c>
      <c r="AE166" s="225">
        <v>0</v>
      </c>
      <c r="AF166" s="151"/>
    </row>
    <row r="167" spans="1:40" s="147" customFormat="1" ht="35.1" customHeight="1">
      <c r="A167" s="175" t="s">
        <v>1253</v>
      </c>
      <c r="B167" s="176">
        <v>7</v>
      </c>
      <c r="C167" s="175" t="s">
        <v>1254</v>
      </c>
      <c r="D167" s="181">
        <v>7</v>
      </c>
      <c r="E167" s="182" t="s">
        <v>966</v>
      </c>
      <c r="F167" s="189">
        <v>45249</v>
      </c>
      <c r="G167" s="65" t="s">
        <v>960</v>
      </c>
      <c r="H167" s="158" t="s">
        <v>1111</v>
      </c>
      <c r="I167" s="248">
        <v>15</v>
      </c>
      <c r="J167" s="443">
        <v>30</v>
      </c>
      <c r="K167" s="685">
        <v>30</v>
      </c>
      <c r="L167" s="684">
        <v>30</v>
      </c>
      <c r="M167" s="687">
        <f t="shared" si="4"/>
        <v>0</v>
      </c>
      <c r="N167" s="697">
        <v>0</v>
      </c>
      <c r="O167" s="697">
        <v>0</v>
      </c>
      <c r="P167" s="697">
        <v>0</v>
      </c>
      <c r="Q167" s="697">
        <v>0</v>
      </c>
      <c r="R167" s="95" t="s">
        <v>944</v>
      </c>
      <c r="S167" s="190" t="s">
        <v>1420</v>
      </c>
      <c r="T167" s="769">
        <f>AVERAGE(60,80,80,100,110,120,120,80,60,100)</f>
        <v>91</v>
      </c>
      <c r="U167" s="658">
        <v>0</v>
      </c>
      <c r="V167" s="67" t="s">
        <v>714</v>
      </c>
      <c r="W167" s="191" t="s">
        <v>714</v>
      </c>
      <c r="X167" s="245">
        <v>0</v>
      </c>
      <c r="Y167" s="228">
        <v>2</v>
      </c>
      <c r="Z167" s="248" t="s">
        <v>948</v>
      </c>
      <c r="AA167" s="221"/>
      <c r="AB167" s="66"/>
      <c r="AC167" s="236">
        <v>0</v>
      </c>
      <c r="AD167" s="191">
        <v>0</v>
      </c>
      <c r="AE167" s="225">
        <v>3</v>
      </c>
      <c r="AF167" s="151"/>
    </row>
    <row r="168" spans="1:40" s="147" customFormat="1" ht="35.1" customHeight="1">
      <c r="A168" s="175" t="s">
        <v>1253</v>
      </c>
      <c r="B168" s="176">
        <v>7</v>
      </c>
      <c r="C168" s="175" t="s">
        <v>1254</v>
      </c>
      <c r="D168" s="181">
        <v>8</v>
      </c>
      <c r="E168" s="182" t="s">
        <v>967</v>
      </c>
      <c r="F168" s="189">
        <v>45250</v>
      </c>
      <c r="G168" s="65" t="s">
        <v>960</v>
      </c>
      <c r="H168" s="158" t="s">
        <v>1111</v>
      </c>
      <c r="I168" s="248">
        <v>15</v>
      </c>
      <c r="J168" s="443">
        <v>30</v>
      </c>
      <c r="K168" s="685">
        <v>30</v>
      </c>
      <c r="L168" s="684">
        <v>20</v>
      </c>
      <c r="M168" s="687">
        <f t="shared" si="4"/>
        <v>10</v>
      </c>
      <c r="N168" s="697">
        <v>0</v>
      </c>
      <c r="O168" s="697">
        <v>0</v>
      </c>
      <c r="P168" s="697">
        <v>0</v>
      </c>
      <c r="Q168" s="697">
        <v>0</v>
      </c>
      <c r="R168" s="95" t="s">
        <v>944</v>
      </c>
      <c r="S168" s="190" t="s">
        <v>1421</v>
      </c>
      <c r="T168" s="769">
        <f>AVERAGE(60,80,80,100,150,100,100,80,80,60)</f>
        <v>89</v>
      </c>
      <c r="U168" s="658">
        <v>0</v>
      </c>
      <c r="V168" s="67" t="s">
        <v>714</v>
      </c>
      <c r="W168" s="191" t="s">
        <v>714</v>
      </c>
      <c r="X168" s="245">
        <v>0</v>
      </c>
      <c r="Y168" s="228">
        <v>2</v>
      </c>
      <c r="Z168" s="248" t="s">
        <v>948</v>
      </c>
      <c r="AA168" s="221"/>
      <c r="AB168" s="66"/>
      <c r="AC168" s="236">
        <v>1</v>
      </c>
      <c r="AD168" s="191">
        <v>0</v>
      </c>
      <c r="AE168" s="225">
        <v>2</v>
      </c>
      <c r="AF168" s="254"/>
    </row>
    <row r="169" spans="1:40" s="147" customFormat="1" ht="35.1" customHeight="1">
      <c r="A169" s="175" t="s">
        <v>1253</v>
      </c>
      <c r="B169" s="176">
        <v>7</v>
      </c>
      <c r="C169" s="175" t="s">
        <v>1254</v>
      </c>
      <c r="D169" s="181">
        <v>9</v>
      </c>
      <c r="E169" s="182" t="s">
        <v>968</v>
      </c>
      <c r="F169" s="189">
        <v>45193</v>
      </c>
      <c r="G169" s="65" t="s">
        <v>960</v>
      </c>
      <c r="H169" s="158" t="s">
        <v>1111</v>
      </c>
      <c r="I169" s="248">
        <v>15</v>
      </c>
      <c r="J169" s="443">
        <v>30</v>
      </c>
      <c r="K169" s="685">
        <v>30</v>
      </c>
      <c r="L169" s="684">
        <v>20</v>
      </c>
      <c r="M169" s="687">
        <f t="shared" si="4"/>
        <v>10</v>
      </c>
      <c r="N169" s="697">
        <v>0</v>
      </c>
      <c r="O169" s="697">
        <v>0</v>
      </c>
      <c r="P169" s="697">
        <v>0</v>
      </c>
      <c r="Q169" s="697">
        <v>0</v>
      </c>
      <c r="R169" s="95" t="s">
        <v>944</v>
      </c>
      <c r="S169" s="190" t="s">
        <v>1422</v>
      </c>
      <c r="T169" s="769">
        <f>AVERAGE(100,80,80,60,60,60,80,80,60)</f>
        <v>73.333333333333329</v>
      </c>
      <c r="U169" s="658">
        <v>0</v>
      </c>
      <c r="V169" s="67" t="s">
        <v>714</v>
      </c>
      <c r="W169" s="191" t="s">
        <v>714</v>
      </c>
      <c r="X169" s="245">
        <v>0</v>
      </c>
      <c r="Y169" s="228">
        <v>2</v>
      </c>
      <c r="Z169" s="248" t="s">
        <v>948</v>
      </c>
      <c r="AA169" s="221"/>
      <c r="AB169" s="66"/>
      <c r="AC169" s="236">
        <v>0</v>
      </c>
      <c r="AD169" s="191">
        <v>0</v>
      </c>
      <c r="AE169" s="225">
        <v>3</v>
      </c>
      <c r="AF169" s="151"/>
    </row>
    <row r="170" spans="1:40" s="147" customFormat="1" ht="35.1" customHeight="1">
      <c r="A170" s="175" t="s">
        <v>1253</v>
      </c>
      <c r="B170" s="176">
        <v>7</v>
      </c>
      <c r="C170" s="175" t="s">
        <v>1254</v>
      </c>
      <c r="D170" s="181">
        <v>10</v>
      </c>
      <c r="E170" s="182" t="s">
        <v>1255</v>
      </c>
      <c r="F170" s="189">
        <v>45250</v>
      </c>
      <c r="G170" s="65" t="s">
        <v>960</v>
      </c>
      <c r="H170" s="158" t="s">
        <v>1111</v>
      </c>
      <c r="I170" s="248">
        <v>15</v>
      </c>
      <c r="J170" s="443">
        <v>20</v>
      </c>
      <c r="K170" s="685">
        <v>20</v>
      </c>
      <c r="L170" s="684">
        <v>30</v>
      </c>
      <c r="M170" s="687">
        <f t="shared" si="4"/>
        <v>-10</v>
      </c>
      <c r="N170" s="697">
        <v>0</v>
      </c>
      <c r="O170" s="697">
        <v>0</v>
      </c>
      <c r="P170" s="697">
        <v>0</v>
      </c>
      <c r="Q170" s="697">
        <v>0</v>
      </c>
      <c r="R170" s="95" t="s">
        <v>944</v>
      </c>
      <c r="S170" s="190" t="s">
        <v>1423</v>
      </c>
      <c r="T170" s="769">
        <f>AVERAGE(20,20,20,25,30,30,30,20)</f>
        <v>24.375</v>
      </c>
      <c r="U170" s="658">
        <v>0</v>
      </c>
      <c r="V170" s="67" t="s">
        <v>714</v>
      </c>
      <c r="W170" s="191" t="s">
        <v>714</v>
      </c>
      <c r="X170" s="245">
        <v>0</v>
      </c>
      <c r="Y170" s="228">
        <v>2</v>
      </c>
      <c r="Z170" s="66" t="s">
        <v>1656</v>
      </c>
      <c r="AA170" s="221"/>
      <c r="AB170" s="66"/>
      <c r="AC170" s="236">
        <v>0</v>
      </c>
      <c r="AD170" s="191">
        <v>1</v>
      </c>
      <c r="AE170" s="225">
        <v>3</v>
      </c>
      <c r="AF170" s="151"/>
    </row>
    <row r="171" spans="1:40" s="147" customFormat="1" ht="35.1" customHeight="1">
      <c r="A171" s="175" t="s">
        <v>1253</v>
      </c>
      <c r="B171" s="176">
        <v>7</v>
      </c>
      <c r="C171" s="175" t="s">
        <v>1254</v>
      </c>
      <c r="D171" s="181">
        <v>11</v>
      </c>
      <c r="E171" s="182" t="s">
        <v>1256</v>
      </c>
      <c r="F171" s="189">
        <v>45210</v>
      </c>
      <c r="G171" s="65" t="s">
        <v>960</v>
      </c>
      <c r="H171" s="158" t="s">
        <v>1111</v>
      </c>
      <c r="I171" s="248">
        <v>15</v>
      </c>
      <c r="J171" s="443">
        <v>40</v>
      </c>
      <c r="K171" s="685">
        <v>40</v>
      </c>
      <c r="L171" s="684">
        <v>30</v>
      </c>
      <c r="M171" s="687">
        <f t="shared" si="4"/>
        <v>10</v>
      </c>
      <c r="N171" s="697">
        <v>0</v>
      </c>
      <c r="O171" s="697">
        <v>0</v>
      </c>
      <c r="P171" s="697">
        <v>0</v>
      </c>
      <c r="Q171" s="697">
        <v>0</v>
      </c>
      <c r="R171" s="95" t="s">
        <v>944</v>
      </c>
      <c r="S171" s="190" t="s">
        <v>1424</v>
      </c>
      <c r="T171" s="769">
        <f>AVERAGE(60,80,100,150,180,150,120,120,100,100)</f>
        <v>116</v>
      </c>
      <c r="U171" s="658">
        <v>0</v>
      </c>
      <c r="V171" s="67" t="s">
        <v>714</v>
      </c>
      <c r="W171" s="191" t="s">
        <v>714</v>
      </c>
      <c r="X171" s="245">
        <v>0</v>
      </c>
      <c r="Y171" s="228">
        <v>2</v>
      </c>
      <c r="Z171" s="248" t="s">
        <v>948</v>
      </c>
      <c r="AA171" s="221"/>
      <c r="AB171" s="66"/>
      <c r="AC171" s="236">
        <v>0</v>
      </c>
      <c r="AD171" s="191">
        <v>0</v>
      </c>
      <c r="AE171" s="225">
        <v>3</v>
      </c>
      <c r="AF171" s="151"/>
    </row>
    <row r="172" spans="1:40" s="147" customFormat="1" ht="35.1" customHeight="1" thickBot="1">
      <c r="A172" s="274" t="s">
        <v>1253</v>
      </c>
      <c r="B172" s="275">
        <v>7</v>
      </c>
      <c r="C172" s="274" t="s">
        <v>1254</v>
      </c>
      <c r="D172" s="265">
        <v>12</v>
      </c>
      <c r="E172" s="308" t="s">
        <v>1257</v>
      </c>
      <c r="F172" s="278">
        <v>45210</v>
      </c>
      <c r="G172" s="279" t="s">
        <v>960</v>
      </c>
      <c r="H172" s="313" t="s">
        <v>1111</v>
      </c>
      <c r="I172" s="296">
        <v>15</v>
      </c>
      <c r="J172" s="693">
        <v>30</v>
      </c>
      <c r="K172" s="720">
        <v>30</v>
      </c>
      <c r="L172" s="686">
        <v>30</v>
      </c>
      <c r="M172" s="686">
        <f t="shared" si="4"/>
        <v>0</v>
      </c>
      <c r="N172" s="728">
        <v>0</v>
      </c>
      <c r="O172" s="728">
        <v>0</v>
      </c>
      <c r="P172" s="728">
        <v>0</v>
      </c>
      <c r="Q172" s="728">
        <v>0</v>
      </c>
      <c r="R172" s="103" t="s">
        <v>944</v>
      </c>
      <c r="S172" s="310" t="s">
        <v>1119</v>
      </c>
      <c r="T172" s="770">
        <f>AVERAGE(50,60,60,60,80,100,60,60,50)</f>
        <v>64.444444444444443</v>
      </c>
      <c r="U172" s="659">
        <v>0</v>
      </c>
      <c r="V172" s="375" t="s">
        <v>714</v>
      </c>
      <c r="W172" s="360" t="s">
        <v>714</v>
      </c>
      <c r="X172" s="674">
        <v>0</v>
      </c>
      <c r="Y172" s="287">
        <v>2</v>
      </c>
      <c r="Z172" s="296" t="s">
        <v>948</v>
      </c>
      <c r="AA172" s="283"/>
      <c r="AB172" s="288"/>
      <c r="AC172" s="304">
        <v>0</v>
      </c>
      <c r="AD172" s="360">
        <v>0</v>
      </c>
      <c r="AE172" s="296">
        <v>4</v>
      </c>
      <c r="AF172" s="297"/>
    </row>
    <row r="173" spans="1:40" s="147" customFormat="1" ht="27" customHeight="1" thickTop="1">
      <c r="A173" s="305" t="s">
        <v>1259</v>
      </c>
      <c r="B173" s="306">
        <v>9</v>
      </c>
      <c r="C173" s="305" t="s">
        <v>1259</v>
      </c>
      <c r="D173" s="343">
        <v>1</v>
      </c>
      <c r="E173" s="268" t="s">
        <v>969</v>
      </c>
      <c r="F173" s="344">
        <v>45235</v>
      </c>
      <c r="G173" s="345" t="s">
        <v>1260</v>
      </c>
      <c r="H173" s="155" t="s">
        <v>1111</v>
      </c>
      <c r="I173" s="262">
        <v>15</v>
      </c>
      <c r="J173" s="691">
        <v>40</v>
      </c>
      <c r="K173" s="726">
        <v>40</v>
      </c>
      <c r="L173" s="683">
        <v>50</v>
      </c>
      <c r="M173" s="709">
        <f t="shared" si="4"/>
        <v>-10</v>
      </c>
      <c r="N173" s="735">
        <v>0</v>
      </c>
      <c r="O173" s="735">
        <v>0</v>
      </c>
      <c r="P173" s="735">
        <v>0</v>
      </c>
      <c r="Q173" s="735">
        <v>0</v>
      </c>
      <c r="R173" s="93" t="s">
        <v>943</v>
      </c>
      <c r="S173" s="724">
        <v>10</v>
      </c>
      <c r="T173" s="368">
        <v>76</v>
      </c>
      <c r="U173" s="660">
        <v>0</v>
      </c>
      <c r="V173" s="374" t="s">
        <v>714</v>
      </c>
      <c r="W173" s="361" t="s">
        <v>714</v>
      </c>
      <c r="X173" s="676">
        <v>0</v>
      </c>
      <c r="Y173" s="261">
        <v>1</v>
      </c>
      <c r="Z173" s="346">
        <v>0</v>
      </c>
      <c r="AA173" s="431">
        <v>15.7</v>
      </c>
      <c r="AB173" s="347" t="s">
        <v>973</v>
      </c>
      <c r="AC173" s="307"/>
      <c r="AD173" s="361"/>
      <c r="AE173" s="262"/>
      <c r="AF173" s="363"/>
      <c r="AI173" s="739"/>
      <c r="AJ173" s="738"/>
      <c r="AK173" s="738"/>
      <c r="AL173" s="738"/>
      <c r="AM173" s="738"/>
      <c r="AN173" s="738"/>
    </row>
    <row r="174" spans="1:40" ht="27" customHeight="1">
      <c r="A174" s="175" t="s">
        <v>1259</v>
      </c>
      <c r="B174" s="176">
        <v>9</v>
      </c>
      <c r="C174" s="175" t="s">
        <v>1259</v>
      </c>
      <c r="D174" s="194">
        <v>2</v>
      </c>
      <c r="E174" s="182" t="s">
        <v>970</v>
      </c>
      <c r="F174" s="195">
        <v>45235</v>
      </c>
      <c r="G174" s="196" t="s">
        <v>1260</v>
      </c>
      <c r="H174" s="158" t="s">
        <v>1111</v>
      </c>
      <c r="I174" s="248">
        <v>15</v>
      </c>
      <c r="J174" s="443">
        <v>60</v>
      </c>
      <c r="K174" s="685">
        <v>60</v>
      </c>
      <c r="L174" s="684">
        <v>60</v>
      </c>
      <c r="M174" s="683">
        <f t="shared" si="4"/>
        <v>0</v>
      </c>
      <c r="N174" s="736">
        <v>0</v>
      </c>
      <c r="O174" s="736">
        <v>0</v>
      </c>
      <c r="P174" s="736">
        <v>0</v>
      </c>
      <c r="Q174" s="736">
        <v>0</v>
      </c>
      <c r="R174" s="95" t="s">
        <v>1208</v>
      </c>
      <c r="S174" s="721">
        <v>6</v>
      </c>
      <c r="T174" s="369">
        <v>138</v>
      </c>
      <c r="U174" s="661">
        <v>0</v>
      </c>
      <c r="V174" s="67" t="s">
        <v>714</v>
      </c>
      <c r="W174" s="191" t="s">
        <v>714</v>
      </c>
      <c r="X174" s="245">
        <v>0</v>
      </c>
      <c r="Y174" s="233">
        <v>1</v>
      </c>
      <c r="Z174" s="251">
        <v>0</v>
      </c>
      <c r="AA174" s="432">
        <v>3.9</v>
      </c>
      <c r="AB174" s="154">
        <v>3</v>
      </c>
      <c r="AC174" s="236"/>
      <c r="AD174" s="191"/>
      <c r="AE174" s="248"/>
      <c r="AF174" s="254"/>
      <c r="AH174" s="729"/>
      <c r="AI174" s="740"/>
      <c r="AJ174" s="738"/>
      <c r="AK174" s="738"/>
      <c r="AL174" s="738"/>
      <c r="AM174" s="738"/>
      <c r="AN174" s="738"/>
    </row>
    <row r="175" spans="1:40" ht="27" customHeight="1">
      <c r="A175" s="175" t="s">
        <v>1259</v>
      </c>
      <c r="B175" s="176">
        <v>9</v>
      </c>
      <c r="C175" s="175" t="s">
        <v>1259</v>
      </c>
      <c r="D175" s="194">
        <v>3</v>
      </c>
      <c r="E175" s="182" t="s">
        <v>971</v>
      </c>
      <c r="F175" s="195">
        <v>45253</v>
      </c>
      <c r="G175" s="196" t="s">
        <v>1260</v>
      </c>
      <c r="H175" s="158" t="s">
        <v>1111</v>
      </c>
      <c r="I175" s="248">
        <v>15</v>
      </c>
      <c r="J175" s="443" t="s">
        <v>948</v>
      </c>
      <c r="K175" s="621">
        <v>2.5</v>
      </c>
      <c r="L175" s="620">
        <v>2.5</v>
      </c>
      <c r="M175" s="683">
        <f t="shared" si="4"/>
        <v>0</v>
      </c>
      <c r="N175" s="736">
        <v>0</v>
      </c>
      <c r="O175" s="736">
        <v>0</v>
      </c>
      <c r="P175" s="736">
        <v>0</v>
      </c>
      <c r="Q175" s="736">
        <v>0</v>
      </c>
      <c r="R175" s="95" t="s">
        <v>944</v>
      </c>
      <c r="S175" s="721">
        <v>8</v>
      </c>
      <c r="T175" s="369" t="s">
        <v>1640</v>
      </c>
      <c r="U175" s="661">
        <v>0</v>
      </c>
      <c r="V175" s="67" t="s">
        <v>714</v>
      </c>
      <c r="W175" s="191" t="s">
        <v>714</v>
      </c>
      <c r="X175" s="245">
        <v>0</v>
      </c>
      <c r="Y175" s="233">
        <v>1</v>
      </c>
      <c r="Z175" s="248">
        <v>0</v>
      </c>
      <c r="AA175" s="432">
        <v>0.7</v>
      </c>
      <c r="AB175" s="154">
        <v>2</v>
      </c>
      <c r="AC175" s="236"/>
      <c r="AD175" s="191"/>
      <c r="AE175" s="248"/>
      <c r="AF175" s="254"/>
      <c r="AI175" s="739"/>
      <c r="AJ175" s="738"/>
      <c r="AK175" s="738"/>
      <c r="AL175" s="738"/>
      <c r="AM175" s="738"/>
      <c r="AN175" s="738"/>
    </row>
    <row r="176" spans="1:40" s="147" customFormat="1" ht="27" customHeight="1">
      <c r="A176" s="192" t="s">
        <v>1259</v>
      </c>
      <c r="B176" s="193">
        <v>9</v>
      </c>
      <c r="C176" s="192" t="s">
        <v>1259</v>
      </c>
      <c r="D176" s="194">
        <v>4</v>
      </c>
      <c r="E176" s="182" t="s">
        <v>972</v>
      </c>
      <c r="F176" s="195">
        <v>45249</v>
      </c>
      <c r="G176" s="196" t="s">
        <v>1260</v>
      </c>
      <c r="H176" s="158" t="s">
        <v>1111</v>
      </c>
      <c r="I176" s="248">
        <v>15</v>
      </c>
      <c r="J176" s="443">
        <v>40</v>
      </c>
      <c r="K176" s="685">
        <v>40</v>
      </c>
      <c r="L176" s="684">
        <v>50</v>
      </c>
      <c r="M176" s="683">
        <f t="shared" si="4"/>
        <v>-10</v>
      </c>
      <c r="N176" s="736">
        <v>0</v>
      </c>
      <c r="O176" s="736">
        <v>0</v>
      </c>
      <c r="P176" s="736">
        <v>0</v>
      </c>
      <c r="Q176" s="736">
        <v>0</v>
      </c>
      <c r="R176" s="95" t="s">
        <v>1087</v>
      </c>
      <c r="S176" s="721">
        <v>1</v>
      </c>
      <c r="T176" s="369">
        <v>54</v>
      </c>
      <c r="U176" s="661">
        <v>0</v>
      </c>
      <c r="V176" s="67" t="s">
        <v>714</v>
      </c>
      <c r="W176" s="191" t="s">
        <v>714</v>
      </c>
      <c r="X176" s="245">
        <v>0</v>
      </c>
      <c r="Y176" s="233">
        <v>1</v>
      </c>
      <c r="Z176" s="251">
        <v>0</v>
      </c>
      <c r="AA176" s="432">
        <v>6.2</v>
      </c>
      <c r="AB176" s="154">
        <v>4</v>
      </c>
      <c r="AC176" s="236"/>
      <c r="AD176" s="191"/>
      <c r="AE176" s="248"/>
      <c r="AF176" s="254"/>
      <c r="AI176" s="739"/>
      <c r="AJ176" s="738"/>
      <c r="AK176" s="738"/>
      <c r="AL176" s="738"/>
      <c r="AM176" s="738"/>
      <c r="AN176" s="738"/>
    </row>
    <row r="177" spans="1:40" s="147" customFormat="1" ht="27" customHeight="1">
      <c r="A177" s="192" t="s">
        <v>1259</v>
      </c>
      <c r="B177" s="193">
        <v>9</v>
      </c>
      <c r="C177" s="192" t="s">
        <v>1259</v>
      </c>
      <c r="D177" s="194">
        <v>5</v>
      </c>
      <c r="E177" s="182" t="s">
        <v>974</v>
      </c>
      <c r="F177" s="195">
        <v>45297</v>
      </c>
      <c r="G177" s="196" t="s">
        <v>1260</v>
      </c>
      <c r="H177" s="158" t="s">
        <v>1111</v>
      </c>
      <c r="I177" s="248">
        <v>15</v>
      </c>
      <c r="J177" s="443">
        <v>20</v>
      </c>
      <c r="K177" s="685">
        <v>20</v>
      </c>
      <c r="L177" s="620">
        <v>2.5</v>
      </c>
      <c r="M177" s="618">
        <f t="shared" si="4"/>
        <v>17.5</v>
      </c>
      <c r="N177" s="736">
        <v>0</v>
      </c>
      <c r="O177" s="736">
        <v>0</v>
      </c>
      <c r="P177" s="736">
        <v>0</v>
      </c>
      <c r="Q177" s="736">
        <v>0</v>
      </c>
      <c r="R177" s="95" t="s">
        <v>944</v>
      </c>
      <c r="S177" s="721">
        <v>13</v>
      </c>
      <c r="T177" s="369">
        <v>20</v>
      </c>
      <c r="U177" s="661">
        <v>0</v>
      </c>
      <c r="V177" s="67" t="s">
        <v>714</v>
      </c>
      <c r="W177" s="191" t="s">
        <v>714</v>
      </c>
      <c r="X177" s="245">
        <v>0</v>
      </c>
      <c r="Y177" s="233">
        <v>1</v>
      </c>
      <c r="Z177" s="251">
        <v>0</v>
      </c>
      <c r="AA177" s="432">
        <v>2</v>
      </c>
      <c r="AB177" s="154">
        <v>3</v>
      </c>
      <c r="AC177" s="236"/>
      <c r="AD177" s="191"/>
      <c r="AE177" s="248"/>
      <c r="AF177" s="364"/>
      <c r="AI177" s="739"/>
      <c r="AJ177" s="738"/>
      <c r="AK177" s="738"/>
      <c r="AL177" s="738"/>
      <c r="AM177" s="738"/>
      <c r="AN177" s="738"/>
    </row>
    <row r="178" spans="1:40" ht="27" customHeight="1">
      <c r="A178" s="175" t="s">
        <v>1259</v>
      </c>
      <c r="B178" s="176">
        <v>9</v>
      </c>
      <c r="C178" s="175" t="s">
        <v>1259</v>
      </c>
      <c r="D178" s="194">
        <v>6</v>
      </c>
      <c r="E178" s="182" t="s">
        <v>976</v>
      </c>
      <c r="F178" s="195">
        <v>45297</v>
      </c>
      <c r="G178" s="196" t="s">
        <v>1260</v>
      </c>
      <c r="H178" s="158" t="s">
        <v>1111</v>
      </c>
      <c r="I178" s="248">
        <v>15</v>
      </c>
      <c r="J178" s="443">
        <v>30</v>
      </c>
      <c r="K178" s="685">
        <v>30</v>
      </c>
      <c r="L178" s="684">
        <v>20</v>
      </c>
      <c r="M178" s="683">
        <f t="shared" si="4"/>
        <v>10</v>
      </c>
      <c r="N178" s="736">
        <v>0</v>
      </c>
      <c r="O178" s="736">
        <v>0</v>
      </c>
      <c r="P178" s="736">
        <v>0</v>
      </c>
      <c r="Q178" s="736">
        <v>0</v>
      </c>
      <c r="R178" s="95" t="s">
        <v>944</v>
      </c>
      <c r="S178" s="721">
        <v>8</v>
      </c>
      <c r="T178" s="369">
        <v>22</v>
      </c>
      <c r="U178" s="661">
        <v>0</v>
      </c>
      <c r="V178" s="67" t="s">
        <v>714</v>
      </c>
      <c r="W178" s="191" t="s">
        <v>714</v>
      </c>
      <c r="X178" s="245">
        <v>0</v>
      </c>
      <c r="Y178" s="233">
        <v>1</v>
      </c>
      <c r="Z178" s="251">
        <v>0</v>
      </c>
      <c r="AA178" s="432"/>
      <c r="AB178" s="154"/>
      <c r="AC178" s="236"/>
      <c r="AD178" s="191"/>
      <c r="AE178" s="248"/>
      <c r="AF178" s="364"/>
      <c r="AI178" s="739"/>
      <c r="AJ178" s="738"/>
      <c r="AK178" s="738"/>
      <c r="AL178" s="738"/>
      <c r="AM178" s="738"/>
      <c r="AN178" s="738"/>
    </row>
    <row r="179" spans="1:40" ht="27" customHeight="1">
      <c r="A179" s="175" t="s">
        <v>1259</v>
      </c>
      <c r="B179" s="176">
        <v>9</v>
      </c>
      <c r="C179" s="175" t="s">
        <v>1259</v>
      </c>
      <c r="D179" s="194">
        <v>7</v>
      </c>
      <c r="E179" s="182" t="s">
        <v>977</v>
      </c>
      <c r="F179" s="195">
        <v>45297</v>
      </c>
      <c r="G179" s="196" t="s">
        <v>1260</v>
      </c>
      <c r="H179" s="158" t="s">
        <v>1111</v>
      </c>
      <c r="I179" s="248">
        <v>15</v>
      </c>
      <c r="J179" s="443">
        <v>20</v>
      </c>
      <c r="K179" s="685">
        <v>20</v>
      </c>
      <c r="L179" s="684">
        <v>10</v>
      </c>
      <c r="M179" s="683">
        <f t="shared" si="4"/>
        <v>10</v>
      </c>
      <c r="N179" s="736">
        <v>0</v>
      </c>
      <c r="O179" s="736">
        <v>0</v>
      </c>
      <c r="P179" s="736">
        <v>0</v>
      </c>
      <c r="Q179" s="736">
        <v>0</v>
      </c>
      <c r="R179" s="95" t="s">
        <v>944</v>
      </c>
      <c r="S179" s="721">
        <v>1</v>
      </c>
      <c r="T179" s="369">
        <v>50</v>
      </c>
      <c r="U179" s="661">
        <v>0</v>
      </c>
      <c r="V179" s="67" t="s">
        <v>714</v>
      </c>
      <c r="W179" s="191" t="s">
        <v>714</v>
      </c>
      <c r="X179" s="245">
        <v>0</v>
      </c>
      <c r="Y179" s="233">
        <v>1</v>
      </c>
      <c r="Z179" s="251">
        <v>0</v>
      </c>
      <c r="AA179" s="432">
        <v>7.8</v>
      </c>
      <c r="AB179" s="154">
        <v>4</v>
      </c>
      <c r="AC179" s="236"/>
      <c r="AD179" s="191"/>
      <c r="AE179" s="248"/>
      <c r="AF179" s="364"/>
      <c r="AI179" s="739"/>
      <c r="AJ179" s="738"/>
      <c r="AK179" s="738"/>
      <c r="AL179" s="738"/>
      <c r="AM179" s="738"/>
      <c r="AN179" s="738"/>
    </row>
    <row r="180" spans="1:40" ht="27" customHeight="1">
      <c r="A180" s="175" t="s">
        <v>1259</v>
      </c>
      <c r="B180" s="176">
        <v>9</v>
      </c>
      <c r="C180" s="175" t="s">
        <v>1259</v>
      </c>
      <c r="D180" s="194">
        <v>8</v>
      </c>
      <c r="E180" s="182" t="s">
        <v>978</v>
      </c>
      <c r="F180" s="195">
        <v>45249</v>
      </c>
      <c r="G180" s="196" t="s">
        <v>1260</v>
      </c>
      <c r="H180" s="158" t="s">
        <v>1111</v>
      </c>
      <c r="I180" s="248">
        <v>15</v>
      </c>
      <c r="J180" s="443">
        <v>30</v>
      </c>
      <c r="K180" s="685">
        <v>30</v>
      </c>
      <c r="L180" s="684">
        <v>20</v>
      </c>
      <c r="M180" s="683">
        <f t="shared" si="4"/>
        <v>10</v>
      </c>
      <c r="N180" s="736">
        <v>0</v>
      </c>
      <c r="O180" s="736">
        <v>0</v>
      </c>
      <c r="P180" s="736">
        <v>0</v>
      </c>
      <c r="Q180" s="736">
        <v>0</v>
      </c>
      <c r="R180" s="95" t="s">
        <v>944</v>
      </c>
      <c r="S180" s="721">
        <v>3</v>
      </c>
      <c r="T180" s="369">
        <v>9.3333333333333339</v>
      </c>
      <c r="U180" s="661">
        <v>0</v>
      </c>
      <c r="V180" s="67" t="s">
        <v>714</v>
      </c>
      <c r="W180" s="191" t="s">
        <v>714</v>
      </c>
      <c r="X180" s="245">
        <v>0</v>
      </c>
      <c r="Y180" s="233">
        <v>1</v>
      </c>
      <c r="Z180" s="251">
        <v>0</v>
      </c>
      <c r="AA180" s="432">
        <v>1.1000000000000001</v>
      </c>
      <c r="AB180" s="154">
        <v>3</v>
      </c>
      <c r="AC180" s="236"/>
      <c r="AD180" s="191"/>
      <c r="AE180" s="248"/>
      <c r="AF180" s="364"/>
      <c r="AI180" s="739"/>
      <c r="AJ180" s="738"/>
      <c r="AK180" s="738"/>
      <c r="AL180" s="738"/>
      <c r="AM180" s="738"/>
      <c r="AN180" s="738"/>
    </row>
    <row r="181" spans="1:40" ht="27" customHeight="1">
      <c r="A181" s="175" t="s">
        <v>1259</v>
      </c>
      <c r="B181" s="176">
        <v>9</v>
      </c>
      <c r="C181" s="175" t="s">
        <v>1259</v>
      </c>
      <c r="D181" s="194">
        <v>9</v>
      </c>
      <c r="E181" s="182" t="s">
        <v>979</v>
      </c>
      <c r="F181" s="195">
        <v>45235</v>
      </c>
      <c r="G181" s="65" t="s">
        <v>1260</v>
      </c>
      <c r="H181" s="65" t="s">
        <v>1111</v>
      </c>
      <c r="I181" s="66">
        <v>15</v>
      </c>
      <c r="J181" s="692">
        <v>40</v>
      </c>
      <c r="K181" s="685">
        <v>40</v>
      </c>
      <c r="L181" s="685">
        <v>30</v>
      </c>
      <c r="M181" s="683">
        <f t="shared" si="4"/>
        <v>10</v>
      </c>
      <c r="N181" s="697">
        <v>0</v>
      </c>
      <c r="O181" s="697">
        <v>0</v>
      </c>
      <c r="P181" s="697">
        <v>0</v>
      </c>
      <c r="Q181" s="697">
        <v>0</v>
      </c>
      <c r="R181" s="65" t="s">
        <v>1208</v>
      </c>
      <c r="S181" s="697">
        <v>20</v>
      </c>
      <c r="T181" s="241">
        <v>74</v>
      </c>
      <c r="U181" s="658">
        <v>0</v>
      </c>
      <c r="V181" s="204" t="s">
        <v>714</v>
      </c>
      <c r="W181" s="65" t="s">
        <v>714</v>
      </c>
      <c r="X181" s="225">
        <v>0</v>
      </c>
      <c r="Y181" s="233">
        <v>1</v>
      </c>
      <c r="Z181" s="225">
        <v>0</v>
      </c>
      <c r="AA181" s="221"/>
      <c r="AB181" s="66"/>
      <c r="AC181" s="228"/>
      <c r="AD181" s="65"/>
      <c r="AE181" s="66"/>
      <c r="AF181" s="151"/>
      <c r="AI181" s="739"/>
      <c r="AJ181" s="738"/>
      <c r="AK181" s="738"/>
      <c r="AL181" s="738"/>
      <c r="AM181" s="738"/>
      <c r="AN181" s="738"/>
    </row>
    <row r="182" spans="1:40" ht="27" customHeight="1" thickBot="1">
      <c r="A182" s="274" t="s">
        <v>1259</v>
      </c>
      <c r="B182" s="275">
        <v>9</v>
      </c>
      <c r="C182" s="274" t="s">
        <v>1259</v>
      </c>
      <c r="D182" s="338">
        <v>10</v>
      </c>
      <c r="E182" s="308" t="s">
        <v>980</v>
      </c>
      <c r="F182" s="339">
        <v>45235</v>
      </c>
      <c r="G182" s="279" t="s">
        <v>1260</v>
      </c>
      <c r="H182" s="279" t="s">
        <v>1111</v>
      </c>
      <c r="I182" s="288">
        <v>15</v>
      </c>
      <c r="J182" s="734">
        <v>60</v>
      </c>
      <c r="K182" s="720">
        <v>60</v>
      </c>
      <c r="L182" s="720">
        <v>40</v>
      </c>
      <c r="M182" s="733">
        <f t="shared" si="4"/>
        <v>20</v>
      </c>
      <c r="N182" s="728">
        <v>0</v>
      </c>
      <c r="O182" s="728">
        <v>0</v>
      </c>
      <c r="P182" s="728">
        <v>0</v>
      </c>
      <c r="Q182" s="728">
        <v>0</v>
      </c>
      <c r="R182" s="279" t="s">
        <v>1208</v>
      </c>
      <c r="S182" s="728">
        <v>20</v>
      </c>
      <c r="T182" s="282">
        <v>84</v>
      </c>
      <c r="U182" s="659">
        <v>0</v>
      </c>
      <c r="V182" s="326" t="s">
        <v>714</v>
      </c>
      <c r="W182" s="279" t="s">
        <v>714</v>
      </c>
      <c r="X182" s="286">
        <v>0</v>
      </c>
      <c r="Y182" s="285">
        <v>1</v>
      </c>
      <c r="Z182" s="286">
        <v>0</v>
      </c>
      <c r="AA182" s="283"/>
      <c r="AB182" s="288"/>
      <c r="AC182" s="287"/>
      <c r="AD182" s="279"/>
      <c r="AE182" s="288"/>
      <c r="AF182" s="348"/>
      <c r="AI182" s="739"/>
      <c r="AJ182" s="738"/>
      <c r="AK182" s="738"/>
      <c r="AL182" s="738"/>
      <c r="AM182" s="738"/>
      <c r="AN182" s="738"/>
    </row>
    <row r="183" spans="1:40" ht="27" customHeight="1" thickTop="1">
      <c r="A183" s="216" t="s">
        <v>1262</v>
      </c>
      <c r="B183" s="217">
        <v>10</v>
      </c>
      <c r="C183" s="216" t="s">
        <v>1263</v>
      </c>
      <c r="D183" s="343">
        <v>1</v>
      </c>
      <c r="E183" s="268" t="s">
        <v>981</v>
      </c>
      <c r="F183" s="344">
        <v>45253</v>
      </c>
      <c r="G183" s="345" t="s">
        <v>1260</v>
      </c>
      <c r="H183" s="155" t="s">
        <v>1111</v>
      </c>
      <c r="I183" s="262">
        <v>15</v>
      </c>
      <c r="J183" s="691">
        <v>20</v>
      </c>
      <c r="K183" s="726">
        <v>20</v>
      </c>
      <c r="L183" s="683">
        <v>10</v>
      </c>
      <c r="M183" s="709">
        <f t="shared" si="4"/>
        <v>10</v>
      </c>
      <c r="N183" s="735">
        <v>0</v>
      </c>
      <c r="O183" s="735">
        <v>0</v>
      </c>
      <c r="P183" s="735">
        <v>0</v>
      </c>
      <c r="Q183" s="735">
        <v>0</v>
      </c>
      <c r="R183" s="93" t="s">
        <v>1208</v>
      </c>
      <c r="S183" s="724">
        <v>5</v>
      </c>
      <c r="T183" s="368">
        <v>38</v>
      </c>
      <c r="U183" s="660">
        <v>0</v>
      </c>
      <c r="V183" s="374" t="s">
        <v>714</v>
      </c>
      <c r="W183" s="361" t="s">
        <v>714</v>
      </c>
      <c r="X183" s="673">
        <v>0</v>
      </c>
      <c r="Y183" s="261">
        <v>1</v>
      </c>
      <c r="Z183" s="346">
        <v>0</v>
      </c>
      <c r="AA183" s="431">
        <v>13.1</v>
      </c>
      <c r="AB183" s="347" t="s">
        <v>973</v>
      </c>
      <c r="AC183" s="307"/>
      <c r="AD183" s="361"/>
      <c r="AE183" s="262"/>
      <c r="AF183" s="363"/>
      <c r="AI183" s="739"/>
      <c r="AJ183" s="738"/>
      <c r="AK183" s="738"/>
      <c r="AL183" s="738"/>
      <c r="AM183" s="738"/>
      <c r="AN183" s="738"/>
    </row>
    <row r="184" spans="1:40" ht="27" customHeight="1">
      <c r="A184" s="175" t="s">
        <v>1262</v>
      </c>
      <c r="B184" s="176">
        <v>10</v>
      </c>
      <c r="C184" s="175" t="s">
        <v>1263</v>
      </c>
      <c r="D184" s="194">
        <v>2</v>
      </c>
      <c r="E184" s="182" t="s">
        <v>982</v>
      </c>
      <c r="F184" s="195">
        <v>45253</v>
      </c>
      <c r="G184" s="196" t="s">
        <v>1260</v>
      </c>
      <c r="H184" s="158" t="s">
        <v>1111</v>
      </c>
      <c r="I184" s="248">
        <v>15</v>
      </c>
      <c r="J184" s="443">
        <v>50</v>
      </c>
      <c r="K184" s="685">
        <v>50</v>
      </c>
      <c r="L184" s="684">
        <v>40</v>
      </c>
      <c r="M184" s="683">
        <f t="shared" si="4"/>
        <v>10</v>
      </c>
      <c r="N184" s="736">
        <v>0</v>
      </c>
      <c r="O184" s="736">
        <v>0</v>
      </c>
      <c r="P184" s="736">
        <v>0</v>
      </c>
      <c r="Q184" s="736">
        <v>0</v>
      </c>
      <c r="R184" s="95" t="s">
        <v>1208</v>
      </c>
      <c r="S184" s="721">
        <v>11</v>
      </c>
      <c r="T184" s="369">
        <v>92</v>
      </c>
      <c r="U184" s="661">
        <v>0</v>
      </c>
      <c r="V184" s="67" t="s">
        <v>714</v>
      </c>
      <c r="W184" s="191" t="s">
        <v>714</v>
      </c>
      <c r="X184" s="245">
        <v>0</v>
      </c>
      <c r="Y184" s="233">
        <v>1</v>
      </c>
      <c r="Z184" s="251">
        <v>0</v>
      </c>
      <c r="AA184" s="432">
        <v>0.5</v>
      </c>
      <c r="AB184" s="154">
        <v>2</v>
      </c>
      <c r="AC184" s="236"/>
      <c r="AD184" s="191"/>
      <c r="AE184" s="248"/>
      <c r="AF184" s="254"/>
      <c r="AI184" s="739"/>
      <c r="AJ184" s="738"/>
      <c r="AK184" s="738"/>
      <c r="AL184" s="738"/>
      <c r="AM184" s="738"/>
      <c r="AN184" s="738"/>
    </row>
    <row r="185" spans="1:40" s="147" customFormat="1" ht="27" customHeight="1">
      <c r="A185" s="192" t="s">
        <v>1262</v>
      </c>
      <c r="B185" s="193">
        <v>10</v>
      </c>
      <c r="C185" s="192" t="s">
        <v>1263</v>
      </c>
      <c r="D185" s="194">
        <v>3</v>
      </c>
      <c r="E185" s="182" t="s">
        <v>983</v>
      </c>
      <c r="F185" s="195">
        <v>45253</v>
      </c>
      <c r="G185" s="196" t="s">
        <v>1260</v>
      </c>
      <c r="H185" s="158" t="s">
        <v>1111</v>
      </c>
      <c r="I185" s="248">
        <v>15</v>
      </c>
      <c r="J185" s="443">
        <v>10</v>
      </c>
      <c r="K185" s="685">
        <v>10</v>
      </c>
      <c r="L185" s="684">
        <v>20</v>
      </c>
      <c r="M185" s="683">
        <f t="shared" si="4"/>
        <v>-10</v>
      </c>
      <c r="N185" s="736">
        <v>0</v>
      </c>
      <c r="O185" s="736">
        <v>0</v>
      </c>
      <c r="P185" s="736">
        <v>0</v>
      </c>
      <c r="Q185" s="736">
        <v>0</v>
      </c>
      <c r="R185" s="95" t="s">
        <v>944</v>
      </c>
      <c r="S185" s="721">
        <v>18</v>
      </c>
      <c r="T185" s="369">
        <v>28</v>
      </c>
      <c r="U185" s="661">
        <v>0</v>
      </c>
      <c r="V185" s="67" t="s">
        <v>714</v>
      </c>
      <c r="W185" s="191" t="s">
        <v>714</v>
      </c>
      <c r="X185" s="677">
        <v>0</v>
      </c>
      <c r="Y185" s="233">
        <v>1</v>
      </c>
      <c r="Z185" s="251">
        <v>0</v>
      </c>
      <c r="AA185" s="432"/>
      <c r="AB185" s="154"/>
      <c r="AC185" s="236"/>
      <c r="AD185" s="191"/>
      <c r="AE185" s="248"/>
      <c r="AF185" s="364"/>
      <c r="AI185" s="739"/>
      <c r="AJ185" s="738"/>
      <c r="AK185" s="738"/>
      <c r="AL185" s="738"/>
      <c r="AM185" s="738"/>
      <c r="AN185" s="738"/>
    </row>
    <row r="186" spans="1:40" ht="27" customHeight="1" thickBot="1">
      <c r="A186" s="274" t="s">
        <v>1262</v>
      </c>
      <c r="B186" s="275">
        <v>10</v>
      </c>
      <c r="C186" s="274" t="s">
        <v>1263</v>
      </c>
      <c r="D186" s="338">
        <v>4</v>
      </c>
      <c r="E186" s="308" t="s">
        <v>984</v>
      </c>
      <c r="F186" s="339">
        <v>45253</v>
      </c>
      <c r="G186" s="340" t="s">
        <v>1260</v>
      </c>
      <c r="H186" s="313" t="s">
        <v>1111</v>
      </c>
      <c r="I186" s="296">
        <v>15</v>
      </c>
      <c r="J186" s="693">
        <v>30</v>
      </c>
      <c r="K186" s="720">
        <v>30</v>
      </c>
      <c r="L186" s="686">
        <v>30</v>
      </c>
      <c r="M186" s="733">
        <f t="shared" si="4"/>
        <v>0</v>
      </c>
      <c r="N186" s="737">
        <v>0</v>
      </c>
      <c r="O186" s="737">
        <v>0</v>
      </c>
      <c r="P186" s="737">
        <v>0</v>
      </c>
      <c r="Q186" s="737">
        <v>0</v>
      </c>
      <c r="R186" s="103" t="s">
        <v>1208</v>
      </c>
      <c r="S186" s="723">
        <v>2</v>
      </c>
      <c r="T186" s="371">
        <v>112</v>
      </c>
      <c r="U186" s="662">
        <v>0</v>
      </c>
      <c r="V186" s="375" t="s">
        <v>714</v>
      </c>
      <c r="W186" s="360" t="s">
        <v>714</v>
      </c>
      <c r="X186" s="674">
        <v>0</v>
      </c>
      <c r="Y186" s="285">
        <v>1</v>
      </c>
      <c r="Z186" s="341">
        <v>0</v>
      </c>
      <c r="AA186" s="433">
        <v>4.0999999999999996</v>
      </c>
      <c r="AB186" s="342">
        <v>3</v>
      </c>
      <c r="AC186" s="304"/>
      <c r="AD186" s="360"/>
      <c r="AE186" s="296"/>
      <c r="AF186" s="365"/>
      <c r="AI186" s="739"/>
      <c r="AJ186" s="738"/>
      <c r="AK186" s="738"/>
      <c r="AL186" s="738"/>
      <c r="AM186" s="738"/>
      <c r="AN186" s="738"/>
    </row>
    <row r="187" spans="1:40" ht="27" customHeight="1" thickTop="1">
      <c r="A187" s="216" t="s">
        <v>1264</v>
      </c>
      <c r="B187" s="217">
        <v>11</v>
      </c>
      <c r="C187" s="216" t="s">
        <v>1265</v>
      </c>
      <c r="D187" s="257">
        <v>1</v>
      </c>
      <c r="E187" s="257" t="s">
        <v>319</v>
      </c>
      <c r="F187" s="320">
        <v>45175</v>
      </c>
      <c r="G187" s="155" t="s">
        <v>1266</v>
      </c>
      <c r="H187" s="155" t="s">
        <v>1111</v>
      </c>
      <c r="I187" s="223">
        <v>15</v>
      </c>
      <c r="J187" s="691" t="s">
        <v>1653</v>
      </c>
      <c r="K187" s="726">
        <v>10</v>
      </c>
      <c r="L187" s="683">
        <v>10</v>
      </c>
      <c r="M187" s="687">
        <f t="shared" si="4"/>
        <v>0</v>
      </c>
      <c r="N187" s="711">
        <v>0</v>
      </c>
      <c r="O187" s="711">
        <v>0</v>
      </c>
      <c r="P187" s="711">
        <v>0</v>
      </c>
      <c r="Q187" s="711">
        <v>0</v>
      </c>
      <c r="R187" s="93" t="s">
        <v>944</v>
      </c>
      <c r="S187" s="322" t="s">
        <v>985</v>
      </c>
      <c r="T187" s="335">
        <v>30</v>
      </c>
      <c r="U187" s="651">
        <v>0</v>
      </c>
      <c r="V187" s="374" t="s">
        <v>714</v>
      </c>
      <c r="W187" s="361" t="s">
        <v>714</v>
      </c>
      <c r="X187" s="337">
        <v>0</v>
      </c>
      <c r="Y187" s="336">
        <v>1</v>
      </c>
      <c r="Z187" s="156">
        <v>0</v>
      </c>
      <c r="AA187" s="333">
        <v>3.75</v>
      </c>
      <c r="AB187" s="337">
        <v>3</v>
      </c>
      <c r="AC187" s="307">
        <v>0</v>
      </c>
      <c r="AD187" s="361">
        <v>0</v>
      </c>
      <c r="AE187" s="262">
        <v>0</v>
      </c>
      <c r="AF187" s="301" t="s">
        <v>1036</v>
      </c>
    </row>
    <row r="188" spans="1:40" ht="27" customHeight="1">
      <c r="A188" s="175" t="s">
        <v>1264</v>
      </c>
      <c r="B188" s="176">
        <v>11</v>
      </c>
      <c r="C188" s="175" t="s">
        <v>1265</v>
      </c>
      <c r="D188" s="181">
        <v>2</v>
      </c>
      <c r="E188" s="181" t="s">
        <v>322</v>
      </c>
      <c r="F188" s="185">
        <v>45175</v>
      </c>
      <c r="G188" s="158" t="s">
        <v>1266</v>
      </c>
      <c r="H188" s="158" t="s">
        <v>1111</v>
      </c>
      <c r="I188" s="224">
        <v>15</v>
      </c>
      <c r="J188" s="443">
        <v>30</v>
      </c>
      <c r="K188" s="685">
        <v>30</v>
      </c>
      <c r="L188" s="684">
        <v>30</v>
      </c>
      <c r="M188" s="687">
        <f t="shared" si="4"/>
        <v>0</v>
      </c>
      <c r="N188" s="713">
        <v>0</v>
      </c>
      <c r="O188" s="713">
        <v>0</v>
      </c>
      <c r="P188" s="713">
        <v>0</v>
      </c>
      <c r="Q188" s="713">
        <v>0</v>
      </c>
      <c r="R188" s="95" t="s">
        <v>944</v>
      </c>
      <c r="S188" s="198">
        <v>11</v>
      </c>
      <c r="T188" s="239">
        <v>41.5</v>
      </c>
      <c r="U188" s="652">
        <v>0</v>
      </c>
      <c r="V188" s="67" t="s">
        <v>714</v>
      </c>
      <c r="W188" s="191" t="s">
        <v>714</v>
      </c>
      <c r="X188" s="253">
        <v>0</v>
      </c>
      <c r="Y188" s="234">
        <v>1</v>
      </c>
      <c r="Z188" s="157">
        <v>0</v>
      </c>
      <c r="AA188" s="222"/>
      <c r="AB188" s="253" t="s">
        <v>714</v>
      </c>
      <c r="AC188" s="236">
        <v>0</v>
      </c>
      <c r="AD188" s="191">
        <v>0</v>
      </c>
      <c r="AE188" s="248">
        <v>5</v>
      </c>
      <c r="AF188" s="254" t="s">
        <v>1036</v>
      </c>
    </row>
    <row r="189" spans="1:40" ht="27" customHeight="1">
      <c r="A189" s="175" t="s">
        <v>1264</v>
      </c>
      <c r="B189" s="176">
        <v>11</v>
      </c>
      <c r="C189" s="175" t="s">
        <v>1265</v>
      </c>
      <c r="D189" s="181">
        <v>3</v>
      </c>
      <c r="E189" s="181" t="s">
        <v>325</v>
      </c>
      <c r="F189" s="185">
        <v>45175</v>
      </c>
      <c r="G189" s="158" t="s">
        <v>1266</v>
      </c>
      <c r="H189" s="158" t="s">
        <v>1111</v>
      </c>
      <c r="I189" s="224">
        <v>15</v>
      </c>
      <c r="J189" s="710" t="s">
        <v>948</v>
      </c>
      <c r="K189" s="621">
        <v>2.5</v>
      </c>
      <c r="L189" s="625">
        <v>2.5</v>
      </c>
      <c r="M189" s="683">
        <f t="shared" si="4"/>
        <v>0</v>
      </c>
      <c r="N189" s="713">
        <v>0</v>
      </c>
      <c r="O189" s="713">
        <v>0</v>
      </c>
      <c r="P189" s="713">
        <v>0</v>
      </c>
      <c r="Q189" s="713">
        <v>0</v>
      </c>
      <c r="R189" s="95" t="s">
        <v>944</v>
      </c>
      <c r="S189" s="198">
        <v>0</v>
      </c>
      <c r="T189" s="239"/>
      <c r="U189" s="652">
        <v>0</v>
      </c>
      <c r="V189" s="67" t="s">
        <v>714</v>
      </c>
      <c r="W189" s="191" t="s">
        <v>714</v>
      </c>
      <c r="X189" s="253">
        <v>0</v>
      </c>
      <c r="Y189" s="234">
        <v>1</v>
      </c>
      <c r="Z189" s="157">
        <v>0</v>
      </c>
      <c r="AA189" s="222">
        <v>1.0900000000000001</v>
      </c>
      <c r="AB189" s="253">
        <v>3</v>
      </c>
      <c r="AC189" s="236">
        <v>0</v>
      </c>
      <c r="AD189" s="191">
        <v>0</v>
      </c>
      <c r="AE189" s="248">
        <v>0</v>
      </c>
      <c r="AF189" s="254" t="s">
        <v>1036</v>
      </c>
    </row>
    <row r="190" spans="1:40" ht="27" customHeight="1">
      <c r="A190" s="175" t="s">
        <v>1264</v>
      </c>
      <c r="B190" s="176">
        <v>11</v>
      </c>
      <c r="C190" s="175" t="s">
        <v>1265</v>
      </c>
      <c r="D190" s="181">
        <v>4</v>
      </c>
      <c r="E190" s="181" t="s">
        <v>328</v>
      </c>
      <c r="F190" s="185">
        <v>45175</v>
      </c>
      <c r="G190" s="158" t="s">
        <v>1266</v>
      </c>
      <c r="H190" s="158" t="s">
        <v>1111</v>
      </c>
      <c r="I190" s="224">
        <v>15</v>
      </c>
      <c r="J190" s="710" t="s">
        <v>948</v>
      </c>
      <c r="K190" s="621">
        <v>2.5</v>
      </c>
      <c r="L190" s="625">
        <v>2.5</v>
      </c>
      <c r="M190" s="683">
        <f t="shared" si="4"/>
        <v>0</v>
      </c>
      <c r="N190" s="713">
        <v>0</v>
      </c>
      <c r="O190" s="713">
        <v>0</v>
      </c>
      <c r="P190" s="713">
        <v>0</v>
      </c>
      <c r="Q190" s="713">
        <v>0</v>
      </c>
      <c r="R190" s="95" t="s">
        <v>944</v>
      </c>
      <c r="S190" s="198">
        <v>0</v>
      </c>
      <c r="T190" s="239"/>
      <c r="U190" s="652">
        <v>0</v>
      </c>
      <c r="V190" s="67" t="s">
        <v>714</v>
      </c>
      <c r="W190" s="191" t="s">
        <v>714</v>
      </c>
      <c r="X190" s="253">
        <v>0</v>
      </c>
      <c r="Y190" s="234">
        <v>1</v>
      </c>
      <c r="Z190" s="157">
        <v>0</v>
      </c>
      <c r="AA190" s="222">
        <v>2.74</v>
      </c>
      <c r="AB190" s="253">
        <v>3</v>
      </c>
      <c r="AC190" s="236">
        <v>0</v>
      </c>
      <c r="AD190" s="191">
        <v>0</v>
      </c>
      <c r="AE190" s="248">
        <v>0</v>
      </c>
      <c r="AF190" s="254" t="s">
        <v>1036</v>
      </c>
    </row>
    <row r="191" spans="1:40" ht="27" customHeight="1">
      <c r="A191" s="175" t="s">
        <v>1264</v>
      </c>
      <c r="B191" s="176">
        <v>11</v>
      </c>
      <c r="C191" s="175" t="s">
        <v>1265</v>
      </c>
      <c r="D191" s="181">
        <v>5</v>
      </c>
      <c r="E191" s="181" t="s">
        <v>330</v>
      </c>
      <c r="F191" s="185">
        <v>45175</v>
      </c>
      <c r="G191" s="158" t="s">
        <v>1266</v>
      </c>
      <c r="H191" s="158" t="s">
        <v>1111</v>
      </c>
      <c r="I191" s="224">
        <v>15</v>
      </c>
      <c r="J191" s="443">
        <v>60</v>
      </c>
      <c r="K191" s="685">
        <v>60</v>
      </c>
      <c r="L191" s="684">
        <v>60</v>
      </c>
      <c r="M191" s="687">
        <f t="shared" si="4"/>
        <v>0</v>
      </c>
      <c r="N191" s="713">
        <v>0</v>
      </c>
      <c r="O191" s="713">
        <v>0</v>
      </c>
      <c r="P191" s="713">
        <v>0</v>
      </c>
      <c r="Q191" s="713">
        <v>0</v>
      </c>
      <c r="R191" s="95" t="s">
        <v>1088</v>
      </c>
      <c r="S191" s="198" t="s">
        <v>985</v>
      </c>
      <c r="T191" s="239">
        <v>58.3</v>
      </c>
      <c r="U191" s="652">
        <v>0</v>
      </c>
      <c r="V191" s="67" t="s">
        <v>714</v>
      </c>
      <c r="W191" s="191" t="s">
        <v>714</v>
      </c>
      <c r="X191" s="253">
        <v>0</v>
      </c>
      <c r="Y191" s="234">
        <v>2</v>
      </c>
      <c r="Z191" s="157" t="s">
        <v>985</v>
      </c>
      <c r="AA191" s="222">
        <v>14.43</v>
      </c>
      <c r="AB191" s="253" t="s">
        <v>973</v>
      </c>
      <c r="AC191" s="236">
        <v>0</v>
      </c>
      <c r="AD191" s="191">
        <v>0</v>
      </c>
      <c r="AE191" s="248">
        <v>0</v>
      </c>
      <c r="AF191" s="254" t="s">
        <v>1036</v>
      </c>
    </row>
    <row r="192" spans="1:40" ht="27" customHeight="1">
      <c r="A192" s="175" t="s">
        <v>1264</v>
      </c>
      <c r="B192" s="176">
        <v>11</v>
      </c>
      <c r="C192" s="175" t="s">
        <v>1265</v>
      </c>
      <c r="D192" s="181">
        <v>6</v>
      </c>
      <c r="E192" s="181" t="s">
        <v>331</v>
      </c>
      <c r="F192" s="185">
        <v>45175</v>
      </c>
      <c r="G192" s="158" t="s">
        <v>1266</v>
      </c>
      <c r="H192" s="158" t="s">
        <v>1111</v>
      </c>
      <c r="I192" s="224">
        <v>15</v>
      </c>
      <c r="J192" s="443">
        <v>60</v>
      </c>
      <c r="K192" s="685">
        <v>60</v>
      </c>
      <c r="L192" s="684">
        <v>60</v>
      </c>
      <c r="M192" s="687">
        <f t="shared" si="4"/>
        <v>0</v>
      </c>
      <c r="N192" s="713">
        <v>0</v>
      </c>
      <c r="O192" s="713">
        <v>0</v>
      </c>
      <c r="P192" s="713">
        <v>0</v>
      </c>
      <c r="Q192" s="713">
        <v>0</v>
      </c>
      <c r="R192" s="95" t="s">
        <v>1089</v>
      </c>
      <c r="S192" s="199" t="s">
        <v>985</v>
      </c>
      <c r="T192" s="239"/>
      <c r="U192" s="652">
        <v>0</v>
      </c>
      <c r="V192" s="67" t="s">
        <v>714</v>
      </c>
      <c r="W192" s="191" t="s">
        <v>714</v>
      </c>
      <c r="X192" s="253">
        <v>0</v>
      </c>
      <c r="Y192" s="235">
        <v>1</v>
      </c>
      <c r="Z192" s="224">
        <v>0</v>
      </c>
      <c r="AA192" s="222">
        <v>2.14</v>
      </c>
      <c r="AB192" s="253">
        <v>3</v>
      </c>
      <c r="AC192" s="236">
        <v>0</v>
      </c>
      <c r="AD192" s="191">
        <v>0</v>
      </c>
      <c r="AE192" s="248">
        <v>0</v>
      </c>
      <c r="AF192" s="254" t="s">
        <v>1036</v>
      </c>
    </row>
    <row r="193" spans="1:32" s="147" customFormat="1" ht="27" customHeight="1">
      <c r="A193" s="192" t="s">
        <v>1264</v>
      </c>
      <c r="B193" s="193">
        <v>11</v>
      </c>
      <c r="C193" s="192" t="s">
        <v>1265</v>
      </c>
      <c r="D193" s="181">
        <v>7</v>
      </c>
      <c r="E193" s="181" t="s">
        <v>333</v>
      </c>
      <c r="F193" s="185">
        <v>45175</v>
      </c>
      <c r="G193" s="158" t="s">
        <v>1266</v>
      </c>
      <c r="H193" s="158" t="s">
        <v>1111</v>
      </c>
      <c r="I193" s="224">
        <v>15</v>
      </c>
      <c r="J193" s="443">
        <v>40</v>
      </c>
      <c r="K193" s="685">
        <v>40</v>
      </c>
      <c r="L193" s="684">
        <v>40</v>
      </c>
      <c r="M193" s="687">
        <f t="shared" ref="M193:M222" si="5">K193-L193</f>
        <v>0</v>
      </c>
      <c r="N193" s="713">
        <v>0</v>
      </c>
      <c r="O193" s="713">
        <v>0</v>
      </c>
      <c r="P193" s="713">
        <v>0</v>
      </c>
      <c r="Q193" s="713">
        <v>0</v>
      </c>
      <c r="R193" s="95" t="s">
        <v>944</v>
      </c>
      <c r="S193" s="198" t="s">
        <v>985</v>
      </c>
      <c r="T193" s="239"/>
      <c r="U193" s="652">
        <v>0</v>
      </c>
      <c r="V193" s="67" t="s">
        <v>714</v>
      </c>
      <c r="W193" s="191" t="s">
        <v>714</v>
      </c>
      <c r="X193" s="253">
        <v>0</v>
      </c>
      <c r="Y193" s="234">
        <v>2</v>
      </c>
      <c r="Z193" s="157" t="s">
        <v>985</v>
      </c>
      <c r="AA193" s="222">
        <v>5.36</v>
      </c>
      <c r="AB193" s="253">
        <v>4</v>
      </c>
      <c r="AC193" s="236">
        <v>0</v>
      </c>
      <c r="AD193" s="191">
        <v>0</v>
      </c>
      <c r="AE193" s="248">
        <v>0</v>
      </c>
      <c r="AF193" s="254" t="s">
        <v>1036</v>
      </c>
    </row>
    <row r="194" spans="1:32" ht="27" customHeight="1">
      <c r="A194" s="175" t="s">
        <v>1264</v>
      </c>
      <c r="B194" s="176">
        <v>11</v>
      </c>
      <c r="C194" s="175" t="s">
        <v>1265</v>
      </c>
      <c r="D194" s="181">
        <v>8</v>
      </c>
      <c r="E194" s="181" t="s">
        <v>334</v>
      </c>
      <c r="F194" s="185">
        <v>45175</v>
      </c>
      <c r="G194" s="158" t="s">
        <v>1266</v>
      </c>
      <c r="H194" s="158" t="s">
        <v>1111</v>
      </c>
      <c r="I194" s="224">
        <v>15</v>
      </c>
      <c r="J194" s="443">
        <v>40</v>
      </c>
      <c r="K194" s="685">
        <v>40</v>
      </c>
      <c r="L194" s="684">
        <v>40</v>
      </c>
      <c r="M194" s="687">
        <f t="shared" si="5"/>
        <v>0</v>
      </c>
      <c r="N194" s="713">
        <v>0</v>
      </c>
      <c r="O194" s="713">
        <v>0</v>
      </c>
      <c r="P194" s="713">
        <v>0</v>
      </c>
      <c r="Q194" s="713">
        <v>0</v>
      </c>
      <c r="R194" s="95" t="s">
        <v>1090</v>
      </c>
      <c r="S194" s="198">
        <v>3</v>
      </c>
      <c r="T194" s="239">
        <v>10</v>
      </c>
      <c r="U194" s="652">
        <v>0</v>
      </c>
      <c r="V194" s="67" t="s">
        <v>714</v>
      </c>
      <c r="W194" s="191" t="s">
        <v>714</v>
      </c>
      <c r="X194" s="253">
        <v>0</v>
      </c>
      <c r="Y194" s="234">
        <v>1</v>
      </c>
      <c r="Z194" s="157">
        <v>0</v>
      </c>
      <c r="AA194" s="222">
        <v>4.83</v>
      </c>
      <c r="AB194" s="253">
        <v>3</v>
      </c>
      <c r="AC194" s="236">
        <v>0</v>
      </c>
      <c r="AD194" s="191">
        <v>0</v>
      </c>
      <c r="AE194" s="248">
        <v>0</v>
      </c>
      <c r="AF194" s="254" t="s">
        <v>1036</v>
      </c>
    </row>
    <row r="195" spans="1:32" ht="27" customHeight="1">
      <c r="A195" s="175" t="s">
        <v>1264</v>
      </c>
      <c r="B195" s="176">
        <v>11</v>
      </c>
      <c r="C195" s="175" t="s">
        <v>1265</v>
      </c>
      <c r="D195" s="181">
        <v>9</v>
      </c>
      <c r="E195" s="181" t="s">
        <v>335</v>
      </c>
      <c r="F195" s="185">
        <v>45177</v>
      </c>
      <c r="G195" s="158" t="s">
        <v>1266</v>
      </c>
      <c r="H195" s="158" t="s">
        <v>1111</v>
      </c>
      <c r="I195" s="224">
        <v>15</v>
      </c>
      <c r="J195" s="443">
        <v>20</v>
      </c>
      <c r="K195" s="685">
        <v>20</v>
      </c>
      <c r="L195" s="684">
        <v>20</v>
      </c>
      <c r="M195" s="687">
        <f t="shared" si="5"/>
        <v>0</v>
      </c>
      <c r="N195" s="713">
        <v>0</v>
      </c>
      <c r="O195" s="713">
        <v>0</v>
      </c>
      <c r="P195" s="713">
        <v>0</v>
      </c>
      <c r="Q195" s="713">
        <v>0</v>
      </c>
      <c r="R195" s="95" t="s">
        <v>944</v>
      </c>
      <c r="S195" s="198">
        <v>4</v>
      </c>
      <c r="T195" s="239"/>
      <c r="U195" s="652">
        <v>0</v>
      </c>
      <c r="V195" s="67" t="s">
        <v>714</v>
      </c>
      <c r="W195" s="191" t="s">
        <v>714</v>
      </c>
      <c r="X195" s="253">
        <v>0</v>
      </c>
      <c r="Y195" s="234">
        <v>1</v>
      </c>
      <c r="Z195" s="157">
        <v>0</v>
      </c>
      <c r="AA195" s="222">
        <v>0.67</v>
      </c>
      <c r="AB195" s="253">
        <v>2</v>
      </c>
      <c r="AC195" s="236">
        <v>0</v>
      </c>
      <c r="AD195" s="191">
        <v>0</v>
      </c>
      <c r="AE195" s="248">
        <v>0</v>
      </c>
      <c r="AF195" s="254" t="s">
        <v>1036</v>
      </c>
    </row>
    <row r="196" spans="1:32" s="147" customFormat="1" ht="27" customHeight="1">
      <c r="A196" s="192" t="s">
        <v>1264</v>
      </c>
      <c r="B196" s="193">
        <v>11</v>
      </c>
      <c r="C196" s="192" t="s">
        <v>1265</v>
      </c>
      <c r="D196" s="181">
        <v>10</v>
      </c>
      <c r="E196" s="181" t="s">
        <v>337</v>
      </c>
      <c r="F196" s="185">
        <v>45177</v>
      </c>
      <c r="G196" s="158" t="s">
        <v>1266</v>
      </c>
      <c r="H196" s="158" t="s">
        <v>1111</v>
      </c>
      <c r="I196" s="224">
        <v>15</v>
      </c>
      <c r="J196" s="443">
        <v>10</v>
      </c>
      <c r="K196" s="685">
        <v>10</v>
      </c>
      <c r="L196" s="684">
        <v>10</v>
      </c>
      <c r="M196" s="687">
        <f t="shared" si="5"/>
        <v>0</v>
      </c>
      <c r="N196" s="713">
        <v>0</v>
      </c>
      <c r="O196" s="713">
        <v>0</v>
      </c>
      <c r="P196" s="713">
        <v>0</v>
      </c>
      <c r="Q196" s="713">
        <v>0</v>
      </c>
      <c r="R196" s="95" t="s">
        <v>944</v>
      </c>
      <c r="S196" s="198">
        <v>2</v>
      </c>
      <c r="T196" s="239">
        <v>10</v>
      </c>
      <c r="U196" s="652">
        <v>0</v>
      </c>
      <c r="V196" s="67" t="s">
        <v>714</v>
      </c>
      <c r="W196" s="191" t="s">
        <v>714</v>
      </c>
      <c r="X196" s="253">
        <v>0</v>
      </c>
      <c r="Y196" s="234">
        <v>1</v>
      </c>
      <c r="Z196" s="157">
        <v>0</v>
      </c>
      <c r="AA196" s="222">
        <v>2.63</v>
      </c>
      <c r="AB196" s="253">
        <v>3</v>
      </c>
      <c r="AC196" s="236">
        <v>0</v>
      </c>
      <c r="AD196" s="191">
        <v>0</v>
      </c>
      <c r="AE196" s="248">
        <v>0</v>
      </c>
      <c r="AF196" s="254" t="s">
        <v>1036</v>
      </c>
    </row>
    <row r="197" spans="1:32" ht="27" customHeight="1">
      <c r="A197" s="175" t="s">
        <v>1264</v>
      </c>
      <c r="B197" s="176">
        <v>11</v>
      </c>
      <c r="C197" s="175" t="s">
        <v>1265</v>
      </c>
      <c r="D197" s="181">
        <v>11</v>
      </c>
      <c r="E197" s="181" t="s">
        <v>339</v>
      </c>
      <c r="F197" s="185">
        <v>45177</v>
      </c>
      <c r="G197" s="158" t="s">
        <v>1266</v>
      </c>
      <c r="H197" s="158" t="s">
        <v>1111</v>
      </c>
      <c r="I197" s="224">
        <v>15</v>
      </c>
      <c r="J197" s="446" t="s">
        <v>985</v>
      </c>
      <c r="K197" s="621">
        <v>0.5</v>
      </c>
      <c r="L197" s="625">
        <v>0.5</v>
      </c>
      <c r="M197" s="683">
        <f t="shared" si="5"/>
        <v>0</v>
      </c>
      <c r="N197" s="713">
        <v>0</v>
      </c>
      <c r="O197" s="713">
        <v>0</v>
      </c>
      <c r="P197" s="713">
        <v>0</v>
      </c>
      <c r="Q197" s="713">
        <v>0</v>
      </c>
      <c r="R197" s="95" t="s">
        <v>944</v>
      </c>
      <c r="S197" s="198">
        <v>0</v>
      </c>
      <c r="T197" s="239"/>
      <c r="U197" s="652">
        <v>0</v>
      </c>
      <c r="V197" s="67" t="s">
        <v>714</v>
      </c>
      <c r="W197" s="191" t="s">
        <v>714</v>
      </c>
      <c r="X197" s="253">
        <v>0</v>
      </c>
      <c r="Y197" s="234">
        <v>1</v>
      </c>
      <c r="Z197" s="157">
        <v>0</v>
      </c>
      <c r="AA197" s="222">
        <v>4.6900000000000004</v>
      </c>
      <c r="AB197" s="253">
        <v>3</v>
      </c>
      <c r="AC197" s="236">
        <v>0</v>
      </c>
      <c r="AD197" s="191">
        <v>0</v>
      </c>
      <c r="AE197" s="248">
        <v>0</v>
      </c>
      <c r="AF197" s="254" t="s">
        <v>1036</v>
      </c>
    </row>
    <row r="198" spans="1:32" ht="27" customHeight="1">
      <c r="A198" s="175" t="s">
        <v>1264</v>
      </c>
      <c r="B198" s="176">
        <v>11</v>
      </c>
      <c r="C198" s="175" t="s">
        <v>1265</v>
      </c>
      <c r="D198" s="181">
        <v>12</v>
      </c>
      <c r="E198" s="181" t="s">
        <v>340</v>
      </c>
      <c r="F198" s="185">
        <v>45177</v>
      </c>
      <c r="G198" s="158" t="s">
        <v>1266</v>
      </c>
      <c r="H198" s="158" t="s">
        <v>1111</v>
      </c>
      <c r="I198" s="224">
        <v>15</v>
      </c>
      <c r="J198" s="443">
        <v>30</v>
      </c>
      <c r="K198" s="685">
        <v>30</v>
      </c>
      <c r="L198" s="684">
        <v>30</v>
      </c>
      <c r="M198" s="687">
        <f t="shared" si="5"/>
        <v>0</v>
      </c>
      <c r="N198" s="713">
        <v>0</v>
      </c>
      <c r="O198" s="713">
        <v>0</v>
      </c>
      <c r="P198" s="713">
        <v>0</v>
      </c>
      <c r="Q198" s="713">
        <v>0</v>
      </c>
      <c r="R198" s="158" t="s">
        <v>975</v>
      </c>
      <c r="S198" s="201">
        <v>1</v>
      </c>
      <c r="T198" s="239"/>
      <c r="U198" s="652">
        <v>0</v>
      </c>
      <c r="V198" s="67" t="s">
        <v>714</v>
      </c>
      <c r="W198" s="191" t="s">
        <v>714</v>
      </c>
      <c r="X198" s="253">
        <v>0</v>
      </c>
      <c r="Y198" s="234">
        <v>2</v>
      </c>
      <c r="Z198" s="157" t="s">
        <v>985</v>
      </c>
      <c r="AA198" s="222">
        <v>3.43</v>
      </c>
      <c r="AB198" s="253">
        <v>3</v>
      </c>
      <c r="AC198" s="236">
        <v>0</v>
      </c>
      <c r="AD198" s="191">
        <v>0</v>
      </c>
      <c r="AE198" s="248">
        <v>0</v>
      </c>
      <c r="AF198" s="254" t="s">
        <v>1036</v>
      </c>
    </row>
    <row r="199" spans="1:32" ht="27" customHeight="1">
      <c r="A199" s="175" t="s">
        <v>1264</v>
      </c>
      <c r="B199" s="176">
        <v>11</v>
      </c>
      <c r="C199" s="175" t="s">
        <v>1265</v>
      </c>
      <c r="D199" s="181">
        <v>13</v>
      </c>
      <c r="E199" s="181" t="s">
        <v>342</v>
      </c>
      <c r="F199" s="185">
        <v>45177</v>
      </c>
      <c r="G199" s="158" t="s">
        <v>1266</v>
      </c>
      <c r="H199" s="158" t="s">
        <v>1111</v>
      </c>
      <c r="I199" s="224">
        <v>15</v>
      </c>
      <c r="J199" s="443">
        <v>10</v>
      </c>
      <c r="K199" s="685">
        <v>10</v>
      </c>
      <c r="L199" s="684">
        <v>50</v>
      </c>
      <c r="M199" s="687">
        <f t="shared" si="5"/>
        <v>-40</v>
      </c>
      <c r="N199" s="713">
        <v>0</v>
      </c>
      <c r="O199" s="713">
        <v>0</v>
      </c>
      <c r="P199" s="713">
        <v>0</v>
      </c>
      <c r="Q199" s="713">
        <v>0</v>
      </c>
      <c r="R199" s="95" t="s">
        <v>944</v>
      </c>
      <c r="S199" s="198">
        <v>2</v>
      </c>
      <c r="T199" s="239">
        <v>20</v>
      </c>
      <c r="U199" s="652">
        <v>0</v>
      </c>
      <c r="V199" s="67" t="s">
        <v>714</v>
      </c>
      <c r="W199" s="191" t="s">
        <v>714</v>
      </c>
      <c r="X199" s="253">
        <v>0</v>
      </c>
      <c r="Y199" s="234">
        <v>1</v>
      </c>
      <c r="Z199" s="157">
        <v>0</v>
      </c>
      <c r="AA199" s="222">
        <v>59.26</v>
      </c>
      <c r="AB199" s="253">
        <v>6</v>
      </c>
      <c r="AC199" s="236">
        <v>0</v>
      </c>
      <c r="AD199" s="191">
        <v>0</v>
      </c>
      <c r="AE199" s="248">
        <v>0</v>
      </c>
      <c r="AF199" s="254" t="s">
        <v>1036</v>
      </c>
    </row>
    <row r="200" spans="1:32" ht="27" customHeight="1">
      <c r="A200" s="175" t="s">
        <v>1264</v>
      </c>
      <c r="B200" s="176">
        <v>11</v>
      </c>
      <c r="C200" s="175" t="s">
        <v>1265</v>
      </c>
      <c r="D200" s="181">
        <v>14</v>
      </c>
      <c r="E200" s="181" t="s">
        <v>344</v>
      </c>
      <c r="F200" s="185">
        <v>45177</v>
      </c>
      <c r="G200" s="158" t="s">
        <v>1266</v>
      </c>
      <c r="H200" s="158" t="s">
        <v>1111</v>
      </c>
      <c r="I200" s="224">
        <v>15</v>
      </c>
      <c r="J200" s="443" t="s">
        <v>1654</v>
      </c>
      <c r="K200" s="685">
        <v>10</v>
      </c>
      <c r="L200" s="684">
        <v>10</v>
      </c>
      <c r="M200" s="687">
        <f t="shared" si="5"/>
        <v>0</v>
      </c>
      <c r="N200" s="713">
        <v>0</v>
      </c>
      <c r="O200" s="713">
        <v>0</v>
      </c>
      <c r="P200" s="713">
        <v>0</v>
      </c>
      <c r="Q200" s="713">
        <v>0</v>
      </c>
      <c r="R200" s="95" t="s">
        <v>944</v>
      </c>
      <c r="S200" s="201">
        <v>0</v>
      </c>
      <c r="T200" s="239"/>
      <c r="U200" s="652">
        <v>0</v>
      </c>
      <c r="V200" s="67" t="s">
        <v>714</v>
      </c>
      <c r="W200" s="191" t="s">
        <v>714</v>
      </c>
      <c r="X200" s="253">
        <v>0</v>
      </c>
      <c r="Y200" s="234">
        <v>1</v>
      </c>
      <c r="Z200" s="157">
        <v>0</v>
      </c>
      <c r="AA200" s="222">
        <v>4.66</v>
      </c>
      <c r="AB200" s="253">
        <v>3</v>
      </c>
      <c r="AC200" s="236">
        <v>0</v>
      </c>
      <c r="AD200" s="191">
        <v>0</v>
      </c>
      <c r="AE200" s="248">
        <v>0</v>
      </c>
      <c r="AF200" s="254" t="s">
        <v>1036</v>
      </c>
    </row>
    <row r="201" spans="1:32" ht="27" customHeight="1">
      <c r="A201" s="175" t="s">
        <v>1264</v>
      </c>
      <c r="B201" s="176">
        <v>11</v>
      </c>
      <c r="C201" s="175" t="s">
        <v>1265</v>
      </c>
      <c r="D201" s="181">
        <v>15</v>
      </c>
      <c r="E201" s="181" t="s">
        <v>347</v>
      </c>
      <c r="F201" s="185">
        <v>45177</v>
      </c>
      <c r="G201" s="158" t="s">
        <v>1266</v>
      </c>
      <c r="H201" s="158" t="s">
        <v>1111</v>
      </c>
      <c r="I201" s="224">
        <v>15</v>
      </c>
      <c r="J201" s="446" t="s">
        <v>985</v>
      </c>
      <c r="K201" s="621">
        <v>0.5</v>
      </c>
      <c r="L201" s="625">
        <v>0.5</v>
      </c>
      <c r="M201" s="683">
        <f t="shared" si="5"/>
        <v>0</v>
      </c>
      <c r="N201" s="713">
        <v>0</v>
      </c>
      <c r="O201" s="713">
        <v>0</v>
      </c>
      <c r="P201" s="713">
        <v>0</v>
      </c>
      <c r="Q201" s="713">
        <v>0</v>
      </c>
      <c r="R201" s="95" t="s">
        <v>944</v>
      </c>
      <c r="S201" s="198">
        <v>0</v>
      </c>
      <c r="T201" s="239"/>
      <c r="U201" s="652">
        <v>0</v>
      </c>
      <c r="V201" s="67" t="s">
        <v>714</v>
      </c>
      <c r="W201" s="191" t="s">
        <v>714</v>
      </c>
      <c r="X201" s="253">
        <v>0</v>
      </c>
      <c r="Y201" s="234">
        <v>1</v>
      </c>
      <c r="Z201" s="157">
        <v>0</v>
      </c>
      <c r="AA201" s="222">
        <v>4.54</v>
      </c>
      <c r="AB201" s="253">
        <v>3</v>
      </c>
      <c r="AC201" s="236">
        <v>0</v>
      </c>
      <c r="AD201" s="191">
        <v>0</v>
      </c>
      <c r="AE201" s="248">
        <v>0</v>
      </c>
      <c r="AF201" s="254" t="s">
        <v>1036</v>
      </c>
    </row>
    <row r="202" spans="1:32" ht="27" customHeight="1">
      <c r="A202" s="175" t="s">
        <v>1264</v>
      </c>
      <c r="B202" s="176">
        <v>11</v>
      </c>
      <c r="C202" s="175" t="s">
        <v>1265</v>
      </c>
      <c r="D202" s="181">
        <v>16</v>
      </c>
      <c r="E202" s="181" t="s">
        <v>349</v>
      </c>
      <c r="F202" s="185">
        <v>45177</v>
      </c>
      <c r="G202" s="158" t="s">
        <v>1266</v>
      </c>
      <c r="H202" s="158" t="s">
        <v>1111</v>
      </c>
      <c r="I202" s="224">
        <v>15</v>
      </c>
      <c r="J202" s="443">
        <v>10</v>
      </c>
      <c r="K202" s="685">
        <v>10</v>
      </c>
      <c r="L202" s="684">
        <v>20</v>
      </c>
      <c r="M202" s="687">
        <f t="shared" si="5"/>
        <v>-10</v>
      </c>
      <c r="N202" s="713">
        <v>0</v>
      </c>
      <c r="O202" s="713">
        <v>0</v>
      </c>
      <c r="P202" s="713">
        <v>0</v>
      </c>
      <c r="Q202" s="713">
        <v>0</v>
      </c>
      <c r="R202" s="95" t="s">
        <v>944</v>
      </c>
      <c r="S202" s="198">
        <v>2</v>
      </c>
      <c r="T202" s="239"/>
      <c r="U202" s="652">
        <v>0</v>
      </c>
      <c r="V202" s="67" t="s">
        <v>714</v>
      </c>
      <c r="W202" s="191" t="s">
        <v>714</v>
      </c>
      <c r="X202" s="253">
        <v>0</v>
      </c>
      <c r="Y202" s="234">
        <v>1</v>
      </c>
      <c r="Z202" s="157">
        <v>0</v>
      </c>
      <c r="AA202" s="222">
        <v>6.17</v>
      </c>
      <c r="AB202" s="253">
        <v>4</v>
      </c>
      <c r="AC202" s="236">
        <v>0</v>
      </c>
      <c r="AD202" s="191">
        <v>0</v>
      </c>
      <c r="AE202" s="248">
        <v>0</v>
      </c>
      <c r="AF202" s="254" t="s">
        <v>1036</v>
      </c>
    </row>
    <row r="203" spans="1:32" ht="27" customHeight="1">
      <c r="A203" s="175" t="s">
        <v>1264</v>
      </c>
      <c r="B203" s="176">
        <v>11</v>
      </c>
      <c r="C203" s="175" t="s">
        <v>1265</v>
      </c>
      <c r="D203" s="181">
        <v>17</v>
      </c>
      <c r="E203" s="181" t="s">
        <v>350</v>
      </c>
      <c r="F203" s="185">
        <v>45177</v>
      </c>
      <c r="G203" s="158" t="s">
        <v>1266</v>
      </c>
      <c r="H203" s="158" t="s">
        <v>1111</v>
      </c>
      <c r="I203" s="224">
        <v>15</v>
      </c>
      <c r="J203" s="443">
        <v>70</v>
      </c>
      <c r="K203" s="685">
        <v>70</v>
      </c>
      <c r="L203" s="684">
        <v>70</v>
      </c>
      <c r="M203" s="687">
        <f t="shared" si="5"/>
        <v>0</v>
      </c>
      <c r="N203" s="713">
        <v>0</v>
      </c>
      <c r="O203" s="713">
        <v>0</v>
      </c>
      <c r="P203" s="713">
        <v>0</v>
      </c>
      <c r="Q203" s="713">
        <v>0</v>
      </c>
      <c r="R203" s="95" t="s">
        <v>1089</v>
      </c>
      <c r="S203" s="201" t="s">
        <v>985</v>
      </c>
      <c r="T203" s="239">
        <v>35</v>
      </c>
      <c r="U203" s="652">
        <v>0</v>
      </c>
      <c r="V203" s="67" t="s">
        <v>714</v>
      </c>
      <c r="W203" s="191" t="s">
        <v>714</v>
      </c>
      <c r="X203" s="253">
        <v>0</v>
      </c>
      <c r="Y203" s="234">
        <v>1</v>
      </c>
      <c r="Z203" s="157">
        <v>0</v>
      </c>
      <c r="AA203" s="222">
        <v>22.47</v>
      </c>
      <c r="AB203" s="253" t="s">
        <v>973</v>
      </c>
      <c r="AC203" s="236">
        <v>0</v>
      </c>
      <c r="AD203" s="191">
        <v>0</v>
      </c>
      <c r="AE203" s="248">
        <v>0</v>
      </c>
      <c r="AF203" s="254" t="s">
        <v>1036</v>
      </c>
    </row>
    <row r="204" spans="1:32" ht="27" customHeight="1">
      <c r="A204" s="175" t="s">
        <v>1264</v>
      </c>
      <c r="B204" s="176">
        <v>11</v>
      </c>
      <c r="C204" s="175" t="s">
        <v>1265</v>
      </c>
      <c r="D204" s="181">
        <v>18</v>
      </c>
      <c r="E204" s="181" t="s">
        <v>351</v>
      </c>
      <c r="F204" s="185">
        <v>45177</v>
      </c>
      <c r="G204" s="158" t="s">
        <v>1266</v>
      </c>
      <c r="H204" s="158" t="s">
        <v>1111</v>
      </c>
      <c r="I204" s="224">
        <v>15</v>
      </c>
      <c r="J204" s="443">
        <v>10</v>
      </c>
      <c r="K204" s="685">
        <v>10</v>
      </c>
      <c r="L204" s="684">
        <v>10</v>
      </c>
      <c r="M204" s="687">
        <f t="shared" si="5"/>
        <v>0</v>
      </c>
      <c r="N204" s="713">
        <v>0</v>
      </c>
      <c r="O204" s="713">
        <v>0</v>
      </c>
      <c r="P204" s="713">
        <v>0</v>
      </c>
      <c r="Q204" s="713">
        <v>0</v>
      </c>
      <c r="R204" s="95" t="s">
        <v>944</v>
      </c>
      <c r="S204" s="198">
        <v>2</v>
      </c>
      <c r="T204" s="239"/>
      <c r="U204" s="652">
        <v>0</v>
      </c>
      <c r="V204" s="67" t="s">
        <v>714</v>
      </c>
      <c r="W204" s="191" t="s">
        <v>714</v>
      </c>
      <c r="X204" s="253">
        <v>0</v>
      </c>
      <c r="Y204" s="234">
        <v>1</v>
      </c>
      <c r="Z204" s="157">
        <v>0</v>
      </c>
      <c r="AA204" s="222">
        <v>1.08</v>
      </c>
      <c r="AB204" s="253">
        <v>3</v>
      </c>
      <c r="AC204" s="236">
        <v>0</v>
      </c>
      <c r="AD204" s="191">
        <v>0</v>
      </c>
      <c r="AE204" s="248">
        <v>0</v>
      </c>
      <c r="AF204" s="254" t="s">
        <v>1036</v>
      </c>
    </row>
    <row r="205" spans="1:32" s="147" customFormat="1" ht="27" customHeight="1">
      <c r="A205" s="192" t="s">
        <v>1264</v>
      </c>
      <c r="B205" s="193">
        <v>11</v>
      </c>
      <c r="C205" s="192" t="s">
        <v>1265</v>
      </c>
      <c r="D205" s="181">
        <v>19</v>
      </c>
      <c r="E205" s="181" t="s">
        <v>352</v>
      </c>
      <c r="F205" s="185">
        <v>45176</v>
      </c>
      <c r="G205" s="158" t="s">
        <v>1266</v>
      </c>
      <c r="H205" s="158" t="s">
        <v>1111</v>
      </c>
      <c r="I205" s="224">
        <v>15</v>
      </c>
      <c r="J205" s="443">
        <v>70</v>
      </c>
      <c r="K205" s="685">
        <v>70</v>
      </c>
      <c r="L205" s="684">
        <v>70</v>
      </c>
      <c r="M205" s="687">
        <f t="shared" si="5"/>
        <v>0</v>
      </c>
      <c r="N205" s="713">
        <v>0</v>
      </c>
      <c r="O205" s="713">
        <v>0</v>
      </c>
      <c r="P205" s="713">
        <v>0</v>
      </c>
      <c r="Q205" s="713">
        <v>0</v>
      </c>
      <c r="R205" s="95" t="s">
        <v>1091</v>
      </c>
      <c r="S205" s="197" t="s">
        <v>985</v>
      </c>
      <c r="T205" s="239">
        <v>10</v>
      </c>
      <c r="U205" s="652">
        <v>0</v>
      </c>
      <c r="V205" s="67" t="s">
        <v>714</v>
      </c>
      <c r="W205" s="191" t="s">
        <v>714</v>
      </c>
      <c r="X205" s="253">
        <v>0</v>
      </c>
      <c r="Y205" s="234">
        <v>2</v>
      </c>
      <c r="Z205" s="157" t="s">
        <v>985</v>
      </c>
      <c r="AA205" s="222">
        <v>17.39</v>
      </c>
      <c r="AB205" s="253" t="s">
        <v>973</v>
      </c>
      <c r="AC205" s="236">
        <v>0</v>
      </c>
      <c r="AD205" s="191">
        <v>0</v>
      </c>
      <c r="AE205" s="248">
        <v>0</v>
      </c>
      <c r="AF205" s="254" t="s">
        <v>1036</v>
      </c>
    </row>
    <row r="206" spans="1:32" s="147" customFormat="1" ht="27" customHeight="1">
      <c r="A206" s="192" t="s">
        <v>1264</v>
      </c>
      <c r="B206" s="193">
        <v>11</v>
      </c>
      <c r="C206" s="192" t="s">
        <v>1265</v>
      </c>
      <c r="D206" s="181">
        <v>20</v>
      </c>
      <c r="E206" s="181" t="s">
        <v>353</v>
      </c>
      <c r="F206" s="185">
        <v>45176</v>
      </c>
      <c r="G206" s="158" t="s">
        <v>1266</v>
      </c>
      <c r="H206" s="158" t="s">
        <v>1111</v>
      </c>
      <c r="I206" s="224">
        <v>15</v>
      </c>
      <c r="J206" s="443">
        <v>20</v>
      </c>
      <c r="K206" s="685">
        <v>20</v>
      </c>
      <c r="L206" s="684">
        <v>20</v>
      </c>
      <c r="M206" s="687">
        <f t="shared" si="5"/>
        <v>0</v>
      </c>
      <c r="N206" s="713">
        <v>0</v>
      </c>
      <c r="O206" s="713">
        <v>0</v>
      </c>
      <c r="P206" s="713">
        <v>0</v>
      </c>
      <c r="Q206" s="713">
        <v>0</v>
      </c>
      <c r="R206" s="95" t="s">
        <v>944</v>
      </c>
      <c r="S206" s="202" t="s">
        <v>985</v>
      </c>
      <c r="T206" s="239"/>
      <c r="U206" s="652">
        <v>0</v>
      </c>
      <c r="V206" s="67" t="s">
        <v>714</v>
      </c>
      <c r="W206" s="191" t="s">
        <v>714</v>
      </c>
      <c r="X206" s="253">
        <v>0</v>
      </c>
      <c r="Y206" s="235">
        <v>2</v>
      </c>
      <c r="Z206" s="224" t="s">
        <v>985</v>
      </c>
      <c r="AA206" s="222">
        <v>13.62</v>
      </c>
      <c r="AB206" s="253" t="s">
        <v>973</v>
      </c>
      <c r="AC206" s="236">
        <v>0</v>
      </c>
      <c r="AD206" s="191">
        <v>0</v>
      </c>
      <c r="AE206" s="248">
        <v>0</v>
      </c>
      <c r="AF206" s="254" t="s">
        <v>1036</v>
      </c>
    </row>
    <row r="207" spans="1:32" s="147" customFormat="1" ht="27" customHeight="1">
      <c r="A207" s="192" t="s">
        <v>1264</v>
      </c>
      <c r="B207" s="193">
        <v>11</v>
      </c>
      <c r="C207" s="192" t="s">
        <v>1265</v>
      </c>
      <c r="D207" s="181">
        <v>21</v>
      </c>
      <c r="E207" s="181" t="s">
        <v>354</v>
      </c>
      <c r="F207" s="185">
        <v>45176</v>
      </c>
      <c r="G207" s="158" t="s">
        <v>1266</v>
      </c>
      <c r="H207" s="158" t="s">
        <v>1111</v>
      </c>
      <c r="I207" s="224">
        <v>15</v>
      </c>
      <c r="J207" s="443">
        <v>30</v>
      </c>
      <c r="K207" s="685">
        <v>30</v>
      </c>
      <c r="L207" s="684">
        <v>20</v>
      </c>
      <c r="M207" s="687">
        <f t="shared" si="5"/>
        <v>10</v>
      </c>
      <c r="N207" s="713">
        <v>0</v>
      </c>
      <c r="O207" s="713">
        <v>0</v>
      </c>
      <c r="P207" s="713">
        <v>0</v>
      </c>
      <c r="Q207" s="713">
        <v>0</v>
      </c>
      <c r="R207" s="95" t="s">
        <v>1092</v>
      </c>
      <c r="S207" s="200" t="s">
        <v>985</v>
      </c>
      <c r="T207" s="239">
        <v>30</v>
      </c>
      <c r="U207" s="652">
        <v>0</v>
      </c>
      <c r="V207" s="67" t="s">
        <v>714</v>
      </c>
      <c r="W207" s="191" t="s">
        <v>714</v>
      </c>
      <c r="X207" s="253">
        <v>0</v>
      </c>
      <c r="Y207" s="235">
        <v>1</v>
      </c>
      <c r="Z207" s="224">
        <v>0</v>
      </c>
      <c r="AA207" s="222">
        <v>5.53</v>
      </c>
      <c r="AB207" s="253">
        <v>4</v>
      </c>
      <c r="AC207" s="236">
        <v>0</v>
      </c>
      <c r="AD207" s="191">
        <v>0</v>
      </c>
      <c r="AE207" s="248">
        <v>0</v>
      </c>
      <c r="AF207" s="254" t="s">
        <v>1036</v>
      </c>
    </row>
    <row r="208" spans="1:32" ht="27" customHeight="1">
      <c r="A208" s="175" t="s">
        <v>1264</v>
      </c>
      <c r="B208" s="176">
        <v>11</v>
      </c>
      <c r="C208" s="175" t="s">
        <v>1265</v>
      </c>
      <c r="D208" s="181">
        <v>22</v>
      </c>
      <c r="E208" s="181" t="s">
        <v>355</v>
      </c>
      <c r="F208" s="185">
        <v>45176</v>
      </c>
      <c r="G208" s="158" t="s">
        <v>1266</v>
      </c>
      <c r="H208" s="158" t="s">
        <v>1111</v>
      </c>
      <c r="I208" s="224">
        <v>15</v>
      </c>
      <c r="J208" s="446" t="s">
        <v>948</v>
      </c>
      <c r="K208" s="621">
        <v>2.5</v>
      </c>
      <c r="L208" s="625">
        <v>2.5</v>
      </c>
      <c r="M208" s="683">
        <f t="shared" si="5"/>
        <v>0</v>
      </c>
      <c r="N208" s="713">
        <v>0</v>
      </c>
      <c r="O208" s="713">
        <v>0</v>
      </c>
      <c r="P208" s="713">
        <v>0</v>
      </c>
      <c r="Q208" s="713">
        <v>0</v>
      </c>
      <c r="R208" s="95" t="s">
        <v>944</v>
      </c>
      <c r="S208" s="197">
        <v>0</v>
      </c>
      <c r="T208" s="239"/>
      <c r="U208" s="652">
        <v>0</v>
      </c>
      <c r="V208" s="67" t="s">
        <v>714</v>
      </c>
      <c r="W208" s="191" t="s">
        <v>714</v>
      </c>
      <c r="X208" s="253">
        <v>0</v>
      </c>
      <c r="Y208" s="234">
        <v>1</v>
      </c>
      <c r="Z208" s="157">
        <v>0</v>
      </c>
      <c r="AA208" s="222">
        <v>13.79</v>
      </c>
      <c r="AB208" s="253" t="s">
        <v>973</v>
      </c>
      <c r="AC208" s="236">
        <v>0</v>
      </c>
      <c r="AD208" s="191">
        <v>0</v>
      </c>
      <c r="AE208" s="248">
        <v>0</v>
      </c>
      <c r="AF208" s="254" t="s">
        <v>1036</v>
      </c>
    </row>
    <row r="209" spans="1:32" s="147" customFormat="1" ht="27" customHeight="1">
      <c r="A209" s="192" t="s">
        <v>1264</v>
      </c>
      <c r="B209" s="193">
        <v>11</v>
      </c>
      <c r="C209" s="192" t="s">
        <v>1265</v>
      </c>
      <c r="D209" s="181">
        <v>23</v>
      </c>
      <c r="E209" s="181" t="s">
        <v>357</v>
      </c>
      <c r="F209" s="185">
        <v>45176</v>
      </c>
      <c r="G209" s="158" t="s">
        <v>1266</v>
      </c>
      <c r="H209" s="158" t="s">
        <v>1111</v>
      </c>
      <c r="I209" s="224">
        <v>15</v>
      </c>
      <c r="J209" s="443" t="s">
        <v>1654</v>
      </c>
      <c r="K209" s="685">
        <v>10</v>
      </c>
      <c r="L209" s="684">
        <v>10</v>
      </c>
      <c r="M209" s="687">
        <f t="shared" si="5"/>
        <v>0</v>
      </c>
      <c r="N209" s="713">
        <v>0</v>
      </c>
      <c r="O209" s="713">
        <v>0</v>
      </c>
      <c r="P209" s="713">
        <v>0</v>
      </c>
      <c r="Q209" s="713">
        <v>0</v>
      </c>
      <c r="R209" s="95" t="s">
        <v>944</v>
      </c>
      <c r="S209" s="197">
        <v>2</v>
      </c>
      <c r="T209" s="239">
        <v>30</v>
      </c>
      <c r="U209" s="652">
        <v>0</v>
      </c>
      <c r="V209" s="67" t="s">
        <v>714</v>
      </c>
      <c r="W209" s="191" t="s">
        <v>714</v>
      </c>
      <c r="X209" s="253">
        <v>0</v>
      </c>
      <c r="Y209" s="234">
        <v>1</v>
      </c>
      <c r="Z209" s="157">
        <v>0</v>
      </c>
      <c r="AA209" s="222">
        <v>4.4800000000000004</v>
      </c>
      <c r="AB209" s="253">
        <v>3</v>
      </c>
      <c r="AC209" s="236">
        <v>0</v>
      </c>
      <c r="AD209" s="191">
        <v>0</v>
      </c>
      <c r="AE209" s="248">
        <v>2</v>
      </c>
      <c r="AF209" s="254" t="s">
        <v>1036</v>
      </c>
    </row>
    <row r="210" spans="1:32" ht="27" customHeight="1">
      <c r="A210" s="175" t="s">
        <v>1264</v>
      </c>
      <c r="B210" s="176">
        <v>11</v>
      </c>
      <c r="C210" s="175" t="s">
        <v>1265</v>
      </c>
      <c r="D210" s="181">
        <v>24</v>
      </c>
      <c r="E210" s="181" t="s">
        <v>358</v>
      </c>
      <c r="F210" s="185">
        <v>45176</v>
      </c>
      <c r="G210" s="158" t="s">
        <v>1266</v>
      </c>
      <c r="H210" s="158" t="s">
        <v>1111</v>
      </c>
      <c r="I210" s="224">
        <v>15</v>
      </c>
      <c r="J210" s="443">
        <v>30</v>
      </c>
      <c r="K210" s="685">
        <v>30</v>
      </c>
      <c r="L210" s="684">
        <v>30</v>
      </c>
      <c r="M210" s="687">
        <f t="shared" si="5"/>
        <v>0</v>
      </c>
      <c r="N210" s="713">
        <v>0</v>
      </c>
      <c r="O210" s="713">
        <v>0</v>
      </c>
      <c r="P210" s="713">
        <v>0</v>
      </c>
      <c r="Q210" s="713">
        <v>0</v>
      </c>
      <c r="R210" s="158" t="s">
        <v>975</v>
      </c>
      <c r="S210" s="197" t="s">
        <v>985</v>
      </c>
      <c r="T210" s="239"/>
      <c r="U210" s="652">
        <v>0</v>
      </c>
      <c r="V210" s="67" t="s">
        <v>714</v>
      </c>
      <c r="W210" s="191" t="s">
        <v>714</v>
      </c>
      <c r="X210" s="253">
        <v>0</v>
      </c>
      <c r="Y210" s="234">
        <v>1</v>
      </c>
      <c r="Z210" s="157">
        <v>0</v>
      </c>
      <c r="AA210" s="222">
        <v>2.67</v>
      </c>
      <c r="AB210" s="253">
        <v>3</v>
      </c>
      <c r="AC210" s="236">
        <v>0</v>
      </c>
      <c r="AD210" s="191">
        <v>0</v>
      </c>
      <c r="AE210" s="248">
        <v>0</v>
      </c>
      <c r="AF210" s="254" t="s">
        <v>1036</v>
      </c>
    </row>
    <row r="211" spans="1:32" ht="27" customHeight="1">
      <c r="A211" s="175" t="s">
        <v>1264</v>
      </c>
      <c r="B211" s="176">
        <v>11</v>
      </c>
      <c r="C211" s="175" t="s">
        <v>1265</v>
      </c>
      <c r="D211" s="181">
        <v>25</v>
      </c>
      <c r="E211" s="181" t="s">
        <v>359</v>
      </c>
      <c r="F211" s="185">
        <v>45176</v>
      </c>
      <c r="G211" s="158" t="s">
        <v>1266</v>
      </c>
      <c r="H211" s="158" t="s">
        <v>1111</v>
      </c>
      <c r="I211" s="224">
        <v>15</v>
      </c>
      <c r="J211" s="443">
        <v>20</v>
      </c>
      <c r="K211" s="685">
        <v>20</v>
      </c>
      <c r="L211" s="684">
        <v>20</v>
      </c>
      <c r="M211" s="687">
        <f t="shared" si="5"/>
        <v>0</v>
      </c>
      <c r="N211" s="713">
        <v>0</v>
      </c>
      <c r="O211" s="713">
        <v>0</v>
      </c>
      <c r="P211" s="713">
        <v>0</v>
      </c>
      <c r="Q211" s="713">
        <v>0</v>
      </c>
      <c r="R211" s="95" t="s">
        <v>944</v>
      </c>
      <c r="S211" s="202" t="s">
        <v>985</v>
      </c>
      <c r="T211" s="239"/>
      <c r="U211" s="652">
        <v>0</v>
      </c>
      <c r="V211" s="67" t="s">
        <v>714</v>
      </c>
      <c r="W211" s="191" t="s">
        <v>714</v>
      </c>
      <c r="X211" s="253">
        <v>0</v>
      </c>
      <c r="Y211" s="234">
        <v>1</v>
      </c>
      <c r="Z211" s="157">
        <v>0</v>
      </c>
      <c r="AA211" s="222">
        <v>2.8</v>
      </c>
      <c r="AB211" s="253">
        <v>3</v>
      </c>
      <c r="AC211" s="236">
        <v>0</v>
      </c>
      <c r="AD211" s="191">
        <v>0</v>
      </c>
      <c r="AE211" s="248">
        <v>0</v>
      </c>
      <c r="AF211" s="254" t="s">
        <v>1036</v>
      </c>
    </row>
    <row r="212" spans="1:32" ht="27" customHeight="1">
      <c r="A212" s="175" t="s">
        <v>1264</v>
      </c>
      <c r="B212" s="176">
        <v>11</v>
      </c>
      <c r="C212" s="175" t="s">
        <v>1265</v>
      </c>
      <c r="D212" s="181">
        <v>26</v>
      </c>
      <c r="E212" s="181" t="s">
        <v>360</v>
      </c>
      <c r="F212" s="185">
        <v>45176</v>
      </c>
      <c r="G212" s="158" t="s">
        <v>1266</v>
      </c>
      <c r="H212" s="158" t="s">
        <v>1111</v>
      </c>
      <c r="I212" s="224">
        <v>15</v>
      </c>
      <c r="J212" s="405" t="s">
        <v>948</v>
      </c>
      <c r="K212" s="621">
        <v>2.5</v>
      </c>
      <c r="L212" s="620">
        <v>2.5</v>
      </c>
      <c r="M212" s="683">
        <f t="shared" si="5"/>
        <v>0</v>
      </c>
      <c r="N212" s="713">
        <v>0</v>
      </c>
      <c r="O212" s="713">
        <v>0</v>
      </c>
      <c r="P212" s="713">
        <v>0</v>
      </c>
      <c r="Q212" s="713">
        <v>0</v>
      </c>
      <c r="R212" s="95" t="s">
        <v>944</v>
      </c>
      <c r="S212" s="197">
        <v>6</v>
      </c>
      <c r="T212" s="239"/>
      <c r="U212" s="652">
        <v>0</v>
      </c>
      <c r="V212" s="67" t="s">
        <v>714</v>
      </c>
      <c r="W212" s="191" t="s">
        <v>714</v>
      </c>
      <c r="X212" s="253">
        <v>0</v>
      </c>
      <c r="Y212" s="234">
        <v>1</v>
      </c>
      <c r="Z212" s="157">
        <v>0</v>
      </c>
      <c r="AA212" s="222">
        <v>0.94</v>
      </c>
      <c r="AB212" s="253">
        <v>2</v>
      </c>
      <c r="AC212" s="236">
        <v>0</v>
      </c>
      <c r="AD212" s="191">
        <v>0</v>
      </c>
      <c r="AE212" s="248">
        <v>4</v>
      </c>
      <c r="AF212" s="254" t="s">
        <v>1036</v>
      </c>
    </row>
    <row r="213" spans="1:32" s="147" customFormat="1" ht="27" customHeight="1">
      <c r="A213" s="192" t="s">
        <v>1264</v>
      </c>
      <c r="B213" s="193">
        <v>11</v>
      </c>
      <c r="C213" s="192" t="s">
        <v>1265</v>
      </c>
      <c r="D213" s="181">
        <v>27</v>
      </c>
      <c r="E213" s="181" t="s">
        <v>361</v>
      </c>
      <c r="F213" s="185">
        <v>45176</v>
      </c>
      <c r="G213" s="158" t="s">
        <v>1266</v>
      </c>
      <c r="H213" s="158" t="s">
        <v>1111</v>
      </c>
      <c r="I213" s="224">
        <v>15</v>
      </c>
      <c r="J213" s="443">
        <v>80</v>
      </c>
      <c r="K213" s="685">
        <v>80</v>
      </c>
      <c r="L213" s="684">
        <v>80</v>
      </c>
      <c r="M213" s="687">
        <f t="shared" si="5"/>
        <v>0</v>
      </c>
      <c r="N213" s="713">
        <v>0</v>
      </c>
      <c r="O213" s="713">
        <v>0</v>
      </c>
      <c r="P213" s="713">
        <v>0</v>
      </c>
      <c r="Q213" s="713">
        <v>0</v>
      </c>
      <c r="R213" s="95" t="s">
        <v>1092</v>
      </c>
      <c r="S213" s="197">
        <v>0</v>
      </c>
      <c r="T213" s="239"/>
      <c r="U213" s="652">
        <v>0</v>
      </c>
      <c r="V213" s="67" t="s">
        <v>714</v>
      </c>
      <c r="W213" s="191" t="s">
        <v>714</v>
      </c>
      <c r="X213" s="253">
        <v>0</v>
      </c>
      <c r="Y213" s="234">
        <v>2</v>
      </c>
      <c r="Z213" s="157" t="s">
        <v>985</v>
      </c>
      <c r="AA213" s="222">
        <v>2.2799999999999998</v>
      </c>
      <c r="AB213" s="253">
        <v>3</v>
      </c>
      <c r="AC213" s="236">
        <v>0</v>
      </c>
      <c r="AD213" s="191">
        <v>0</v>
      </c>
      <c r="AE213" s="248">
        <v>0</v>
      </c>
      <c r="AF213" s="254" t="s">
        <v>1036</v>
      </c>
    </row>
    <row r="214" spans="1:32" s="147" customFormat="1" ht="27" customHeight="1">
      <c r="A214" s="192" t="s">
        <v>1264</v>
      </c>
      <c r="B214" s="193">
        <v>11</v>
      </c>
      <c r="C214" s="192" t="s">
        <v>1265</v>
      </c>
      <c r="D214" s="181">
        <v>28</v>
      </c>
      <c r="E214" s="181" t="s">
        <v>362</v>
      </c>
      <c r="F214" s="185">
        <v>45176</v>
      </c>
      <c r="G214" s="158" t="s">
        <v>1266</v>
      </c>
      <c r="H214" s="158" t="s">
        <v>1111</v>
      </c>
      <c r="I214" s="224">
        <v>15</v>
      </c>
      <c r="J214" s="443">
        <v>50</v>
      </c>
      <c r="K214" s="685">
        <v>50</v>
      </c>
      <c r="L214" s="684">
        <v>50</v>
      </c>
      <c r="M214" s="687">
        <f t="shared" si="5"/>
        <v>0</v>
      </c>
      <c r="N214" s="713">
        <v>0</v>
      </c>
      <c r="O214" s="713">
        <v>0</v>
      </c>
      <c r="P214" s="713">
        <v>0</v>
      </c>
      <c r="Q214" s="713">
        <v>0</v>
      </c>
      <c r="R214" s="95" t="s">
        <v>944</v>
      </c>
      <c r="S214" s="202" t="s">
        <v>985</v>
      </c>
      <c r="T214" s="239"/>
      <c r="U214" s="652">
        <v>0</v>
      </c>
      <c r="V214" s="67" t="s">
        <v>714</v>
      </c>
      <c r="W214" s="191" t="s">
        <v>714</v>
      </c>
      <c r="X214" s="253">
        <v>0</v>
      </c>
      <c r="Y214" s="234">
        <v>2</v>
      </c>
      <c r="Z214" s="157" t="s">
        <v>985</v>
      </c>
      <c r="AA214" s="222">
        <v>6.36</v>
      </c>
      <c r="AB214" s="253">
        <v>4</v>
      </c>
      <c r="AC214" s="236">
        <v>0</v>
      </c>
      <c r="AD214" s="191">
        <v>0</v>
      </c>
      <c r="AE214" s="248">
        <v>2</v>
      </c>
      <c r="AF214" s="254" t="s">
        <v>1036</v>
      </c>
    </row>
    <row r="215" spans="1:32" ht="27" customHeight="1">
      <c r="A215" s="175" t="s">
        <v>1264</v>
      </c>
      <c r="B215" s="176">
        <v>11</v>
      </c>
      <c r="C215" s="175" t="s">
        <v>1265</v>
      </c>
      <c r="D215" s="181">
        <v>29</v>
      </c>
      <c r="E215" s="181" t="s">
        <v>363</v>
      </c>
      <c r="F215" s="185">
        <v>45176</v>
      </c>
      <c r="G215" s="158" t="s">
        <v>1266</v>
      </c>
      <c r="H215" s="158" t="s">
        <v>1111</v>
      </c>
      <c r="I215" s="224">
        <v>15</v>
      </c>
      <c r="J215" s="443">
        <v>40</v>
      </c>
      <c r="K215" s="685">
        <v>40</v>
      </c>
      <c r="L215" s="684">
        <v>40</v>
      </c>
      <c r="M215" s="687">
        <f t="shared" si="5"/>
        <v>0</v>
      </c>
      <c r="N215" s="713">
        <v>0</v>
      </c>
      <c r="O215" s="713">
        <v>0</v>
      </c>
      <c r="P215" s="713">
        <v>0</v>
      </c>
      <c r="Q215" s="713">
        <v>0</v>
      </c>
      <c r="R215" s="95" t="s">
        <v>1089</v>
      </c>
      <c r="S215" s="202" t="s">
        <v>985</v>
      </c>
      <c r="T215" s="239"/>
      <c r="U215" s="652">
        <v>0</v>
      </c>
      <c r="V215" s="67" t="s">
        <v>714</v>
      </c>
      <c r="W215" s="191" t="s">
        <v>714</v>
      </c>
      <c r="X215" s="253">
        <v>0</v>
      </c>
      <c r="Y215" s="234">
        <v>1</v>
      </c>
      <c r="Z215" s="157">
        <v>0</v>
      </c>
      <c r="AA215" s="222">
        <v>11.19</v>
      </c>
      <c r="AB215" s="253" t="s">
        <v>973</v>
      </c>
      <c r="AC215" s="236">
        <v>0</v>
      </c>
      <c r="AD215" s="191">
        <v>0</v>
      </c>
      <c r="AE215" s="248">
        <v>0</v>
      </c>
      <c r="AF215" s="254" t="s">
        <v>1036</v>
      </c>
    </row>
    <row r="216" spans="1:32" s="147" customFormat="1" ht="27" customHeight="1">
      <c r="A216" s="192" t="s">
        <v>1264</v>
      </c>
      <c r="B216" s="193">
        <v>11</v>
      </c>
      <c r="C216" s="192" t="s">
        <v>1265</v>
      </c>
      <c r="D216" s="181">
        <v>30</v>
      </c>
      <c r="E216" s="181" t="s">
        <v>365</v>
      </c>
      <c r="F216" s="185">
        <v>45199</v>
      </c>
      <c r="G216" s="158" t="s">
        <v>1266</v>
      </c>
      <c r="H216" s="158" t="s">
        <v>1111</v>
      </c>
      <c r="I216" s="224">
        <v>15</v>
      </c>
      <c r="J216" s="443">
        <v>20</v>
      </c>
      <c r="K216" s="685">
        <v>20</v>
      </c>
      <c r="L216" s="684">
        <v>20</v>
      </c>
      <c r="M216" s="687">
        <f t="shared" si="5"/>
        <v>0</v>
      </c>
      <c r="N216" s="713">
        <v>0</v>
      </c>
      <c r="O216" s="713">
        <v>0</v>
      </c>
      <c r="P216" s="713">
        <v>0</v>
      </c>
      <c r="Q216" s="713">
        <v>0</v>
      </c>
      <c r="R216" s="95" t="s">
        <v>944</v>
      </c>
      <c r="S216" s="197">
        <v>1</v>
      </c>
      <c r="T216" s="239">
        <v>48.8</v>
      </c>
      <c r="U216" s="652">
        <v>0</v>
      </c>
      <c r="V216" s="67" t="s">
        <v>714</v>
      </c>
      <c r="W216" s="191" t="s">
        <v>714</v>
      </c>
      <c r="X216" s="253">
        <v>0</v>
      </c>
      <c r="Y216" s="234">
        <v>1</v>
      </c>
      <c r="Z216" s="157">
        <v>0</v>
      </c>
      <c r="AA216" s="222">
        <v>10.88</v>
      </c>
      <c r="AB216" s="253" t="s">
        <v>973</v>
      </c>
      <c r="AC216" s="236">
        <v>0</v>
      </c>
      <c r="AD216" s="191">
        <v>0</v>
      </c>
      <c r="AE216" s="248">
        <v>0</v>
      </c>
      <c r="AF216" s="254" t="s">
        <v>1036</v>
      </c>
    </row>
    <row r="217" spans="1:32" s="147" customFormat="1" ht="27" customHeight="1">
      <c r="A217" s="192" t="s">
        <v>1264</v>
      </c>
      <c r="B217" s="193">
        <v>11</v>
      </c>
      <c r="C217" s="192" t="s">
        <v>1265</v>
      </c>
      <c r="D217" s="181">
        <v>31</v>
      </c>
      <c r="E217" s="181" t="s">
        <v>366</v>
      </c>
      <c r="F217" s="185">
        <v>45199</v>
      </c>
      <c r="G217" s="158" t="s">
        <v>1266</v>
      </c>
      <c r="H217" s="158" t="s">
        <v>1111</v>
      </c>
      <c r="I217" s="224">
        <v>15</v>
      </c>
      <c r="J217" s="443">
        <v>30</v>
      </c>
      <c r="K217" s="685">
        <v>30</v>
      </c>
      <c r="L217" s="684">
        <v>50</v>
      </c>
      <c r="M217" s="687">
        <f t="shared" si="5"/>
        <v>-20</v>
      </c>
      <c r="N217" s="713">
        <v>0</v>
      </c>
      <c r="O217" s="713">
        <v>0</v>
      </c>
      <c r="P217" s="713">
        <v>0</v>
      </c>
      <c r="Q217" s="713">
        <v>0</v>
      </c>
      <c r="R217" s="95" t="s">
        <v>1092</v>
      </c>
      <c r="S217" s="197" t="s">
        <v>985</v>
      </c>
      <c r="T217" s="239"/>
      <c r="U217" s="652">
        <v>0</v>
      </c>
      <c r="V217" s="67" t="s">
        <v>714</v>
      </c>
      <c r="W217" s="191" t="s">
        <v>714</v>
      </c>
      <c r="X217" s="253">
        <v>0</v>
      </c>
      <c r="Y217" s="235">
        <v>2</v>
      </c>
      <c r="Z217" s="224" t="s">
        <v>985</v>
      </c>
      <c r="AA217" s="222"/>
      <c r="AB217" s="253" t="s">
        <v>714</v>
      </c>
      <c r="AC217" s="236">
        <v>0</v>
      </c>
      <c r="AD217" s="191">
        <v>0</v>
      </c>
      <c r="AE217" s="248">
        <v>0</v>
      </c>
      <c r="AF217" s="254" t="s">
        <v>1036</v>
      </c>
    </row>
    <row r="218" spans="1:32" s="147" customFormat="1" ht="27" customHeight="1">
      <c r="A218" s="192" t="s">
        <v>1264</v>
      </c>
      <c r="B218" s="193">
        <v>11</v>
      </c>
      <c r="C218" s="192" t="s">
        <v>1265</v>
      </c>
      <c r="D218" s="181">
        <v>32</v>
      </c>
      <c r="E218" s="181" t="s">
        <v>367</v>
      </c>
      <c r="F218" s="185">
        <v>45199</v>
      </c>
      <c r="G218" s="158" t="s">
        <v>1266</v>
      </c>
      <c r="H218" s="158" t="s">
        <v>1111</v>
      </c>
      <c r="I218" s="224">
        <v>15</v>
      </c>
      <c r="J218" s="443">
        <v>30</v>
      </c>
      <c r="K218" s="685">
        <v>30</v>
      </c>
      <c r="L218" s="684">
        <v>30</v>
      </c>
      <c r="M218" s="687">
        <f t="shared" si="5"/>
        <v>0</v>
      </c>
      <c r="N218" s="713">
        <v>0</v>
      </c>
      <c r="O218" s="713">
        <v>0</v>
      </c>
      <c r="P218" s="713">
        <v>0</v>
      </c>
      <c r="Q218" s="713">
        <v>0</v>
      </c>
      <c r="R218" s="95" t="s">
        <v>944</v>
      </c>
      <c r="S218" s="197">
        <v>2</v>
      </c>
      <c r="T218" s="239">
        <v>20</v>
      </c>
      <c r="U218" s="652">
        <v>0</v>
      </c>
      <c r="V218" s="67" t="s">
        <v>714</v>
      </c>
      <c r="W218" s="191" t="s">
        <v>714</v>
      </c>
      <c r="X218" s="253">
        <v>0</v>
      </c>
      <c r="Y218" s="234">
        <v>1</v>
      </c>
      <c r="Z218" s="157">
        <v>0</v>
      </c>
      <c r="AA218" s="222">
        <v>2.5</v>
      </c>
      <c r="AB218" s="253">
        <v>3</v>
      </c>
      <c r="AC218" s="236">
        <v>0</v>
      </c>
      <c r="AD218" s="191">
        <v>0</v>
      </c>
      <c r="AE218" s="248">
        <v>0</v>
      </c>
      <c r="AF218" s="254" t="s">
        <v>1036</v>
      </c>
    </row>
    <row r="219" spans="1:32" ht="27" customHeight="1" thickBot="1">
      <c r="A219" s="274" t="s">
        <v>1264</v>
      </c>
      <c r="B219" s="275">
        <v>11</v>
      </c>
      <c r="C219" s="274" t="s">
        <v>1265</v>
      </c>
      <c r="D219" s="265">
        <v>33</v>
      </c>
      <c r="E219" s="265" t="s">
        <v>369</v>
      </c>
      <c r="F219" s="311">
        <v>45252</v>
      </c>
      <c r="G219" s="313" t="s">
        <v>1266</v>
      </c>
      <c r="H219" s="313" t="s">
        <v>1111</v>
      </c>
      <c r="I219" s="309">
        <v>15</v>
      </c>
      <c r="J219" s="693">
        <v>20</v>
      </c>
      <c r="K219" s="720">
        <v>20</v>
      </c>
      <c r="L219" s="686">
        <v>20</v>
      </c>
      <c r="M219" s="686">
        <f t="shared" si="5"/>
        <v>0</v>
      </c>
      <c r="N219" s="712">
        <v>0</v>
      </c>
      <c r="O219" s="712">
        <v>0</v>
      </c>
      <c r="P219" s="712">
        <v>0</v>
      </c>
      <c r="Q219" s="712">
        <v>0</v>
      </c>
      <c r="R219" s="103" t="s">
        <v>944</v>
      </c>
      <c r="S219" s="327">
        <v>2</v>
      </c>
      <c r="T219" s="328">
        <v>45.5</v>
      </c>
      <c r="U219" s="653">
        <v>0</v>
      </c>
      <c r="V219" s="375" t="s">
        <v>714</v>
      </c>
      <c r="W219" s="360" t="s">
        <v>714</v>
      </c>
      <c r="X219" s="332">
        <v>0</v>
      </c>
      <c r="Y219" s="330">
        <v>1</v>
      </c>
      <c r="Z219" s="331">
        <v>0</v>
      </c>
      <c r="AA219" s="329"/>
      <c r="AB219" s="332" t="s">
        <v>714</v>
      </c>
      <c r="AC219" s="304">
        <v>0</v>
      </c>
      <c r="AD219" s="360">
        <v>0</v>
      </c>
      <c r="AE219" s="296">
        <v>4</v>
      </c>
      <c r="AF219" s="297" t="s">
        <v>1036</v>
      </c>
    </row>
    <row r="220" spans="1:32" ht="27" customHeight="1" thickTop="1">
      <c r="A220" s="216" t="s">
        <v>1267</v>
      </c>
      <c r="B220" s="217">
        <v>12</v>
      </c>
      <c r="C220" s="216" t="s">
        <v>1268</v>
      </c>
      <c r="D220" s="257">
        <v>1</v>
      </c>
      <c r="E220" s="257" t="s">
        <v>372</v>
      </c>
      <c r="F220" s="320">
        <v>45252</v>
      </c>
      <c r="G220" s="155" t="s">
        <v>1266</v>
      </c>
      <c r="H220" s="155" t="s">
        <v>1111</v>
      </c>
      <c r="I220" s="223">
        <v>15</v>
      </c>
      <c r="J220" s="450" t="s">
        <v>985</v>
      </c>
      <c r="K220" s="741">
        <v>0.5</v>
      </c>
      <c r="L220" s="630">
        <v>0.5</v>
      </c>
      <c r="M220" s="683">
        <f t="shared" si="5"/>
        <v>0</v>
      </c>
      <c r="N220" s="711">
        <v>0</v>
      </c>
      <c r="O220" s="711">
        <v>0</v>
      </c>
      <c r="P220" s="711">
        <v>0</v>
      </c>
      <c r="Q220" s="711">
        <v>0</v>
      </c>
      <c r="R220" s="93" t="s">
        <v>944</v>
      </c>
      <c r="S220" s="334" t="s">
        <v>985</v>
      </c>
      <c r="T220" s="335"/>
      <c r="U220" s="651">
        <v>0</v>
      </c>
      <c r="V220" s="374" t="s">
        <v>714</v>
      </c>
      <c r="W220" s="361" t="s">
        <v>714</v>
      </c>
      <c r="X220" s="337">
        <v>0</v>
      </c>
      <c r="Y220" s="336">
        <v>1</v>
      </c>
      <c r="Z220" s="156">
        <v>0</v>
      </c>
      <c r="AA220" s="333">
        <v>1.86</v>
      </c>
      <c r="AB220" s="337">
        <v>3</v>
      </c>
      <c r="AC220" s="307">
        <v>0</v>
      </c>
      <c r="AD220" s="361">
        <v>0</v>
      </c>
      <c r="AE220" s="262">
        <v>0</v>
      </c>
      <c r="AF220" s="301" t="s">
        <v>1036</v>
      </c>
    </row>
    <row r="221" spans="1:32" ht="27" customHeight="1">
      <c r="A221" s="175" t="s">
        <v>1267</v>
      </c>
      <c r="B221" s="176">
        <v>12</v>
      </c>
      <c r="C221" s="175" t="s">
        <v>1268</v>
      </c>
      <c r="D221" s="181">
        <v>2</v>
      </c>
      <c r="E221" s="181" t="s">
        <v>374</v>
      </c>
      <c r="F221" s="185">
        <v>45252</v>
      </c>
      <c r="G221" s="158" t="s">
        <v>1266</v>
      </c>
      <c r="H221" s="158" t="s">
        <v>1111</v>
      </c>
      <c r="I221" s="224">
        <v>15</v>
      </c>
      <c r="J221" s="443">
        <v>10</v>
      </c>
      <c r="K221" s="685">
        <v>10</v>
      </c>
      <c r="L221" s="684">
        <v>10</v>
      </c>
      <c r="M221" s="687">
        <f t="shared" si="5"/>
        <v>0</v>
      </c>
      <c r="N221" s="713">
        <v>0</v>
      </c>
      <c r="O221" s="713">
        <v>0</v>
      </c>
      <c r="P221" s="713">
        <v>0</v>
      </c>
      <c r="Q221" s="713">
        <v>0</v>
      </c>
      <c r="R221" s="95" t="s">
        <v>1425</v>
      </c>
      <c r="S221" s="197">
        <v>2</v>
      </c>
      <c r="T221" s="239">
        <v>15</v>
      </c>
      <c r="U221" s="652">
        <v>0</v>
      </c>
      <c r="V221" s="67" t="s">
        <v>714</v>
      </c>
      <c r="W221" s="191" t="s">
        <v>714</v>
      </c>
      <c r="X221" s="253">
        <v>0</v>
      </c>
      <c r="Y221" s="234">
        <v>1</v>
      </c>
      <c r="Z221" s="157">
        <v>0</v>
      </c>
      <c r="AA221" s="222">
        <v>31.06</v>
      </c>
      <c r="AB221" s="253" t="s">
        <v>988</v>
      </c>
      <c r="AC221" s="236">
        <v>0</v>
      </c>
      <c r="AD221" s="191">
        <v>0</v>
      </c>
      <c r="AE221" s="248">
        <v>0</v>
      </c>
      <c r="AF221" s="254" t="s">
        <v>1036</v>
      </c>
    </row>
    <row r="222" spans="1:32" ht="27" customHeight="1">
      <c r="A222" s="175" t="s">
        <v>1267</v>
      </c>
      <c r="B222" s="176">
        <v>12</v>
      </c>
      <c r="C222" s="175" t="s">
        <v>1268</v>
      </c>
      <c r="D222" s="181">
        <v>3</v>
      </c>
      <c r="E222" s="181" t="s">
        <v>376</v>
      </c>
      <c r="F222" s="185">
        <v>45252</v>
      </c>
      <c r="G222" s="158" t="s">
        <v>1266</v>
      </c>
      <c r="H222" s="158" t="s">
        <v>1111</v>
      </c>
      <c r="I222" s="224">
        <v>15</v>
      </c>
      <c r="J222" s="443">
        <v>20</v>
      </c>
      <c r="K222" s="685">
        <v>20</v>
      </c>
      <c r="L222" s="684">
        <v>10</v>
      </c>
      <c r="M222" s="687">
        <f t="shared" si="5"/>
        <v>10</v>
      </c>
      <c r="N222" s="713">
        <v>0</v>
      </c>
      <c r="O222" s="713">
        <v>0</v>
      </c>
      <c r="P222" s="713">
        <v>0</v>
      </c>
      <c r="Q222" s="713">
        <v>0</v>
      </c>
      <c r="R222" s="95" t="s">
        <v>1425</v>
      </c>
      <c r="S222" s="197">
        <v>1</v>
      </c>
      <c r="T222" s="239"/>
      <c r="U222" s="652">
        <v>0</v>
      </c>
      <c r="V222" s="67" t="s">
        <v>714</v>
      </c>
      <c r="W222" s="191" t="s">
        <v>714</v>
      </c>
      <c r="X222" s="253">
        <v>0</v>
      </c>
      <c r="Y222" s="234">
        <v>2</v>
      </c>
      <c r="Z222" s="157" t="s">
        <v>985</v>
      </c>
      <c r="AA222" s="222">
        <v>6.32</v>
      </c>
      <c r="AB222" s="253">
        <v>4</v>
      </c>
      <c r="AC222" s="236">
        <v>0</v>
      </c>
      <c r="AD222" s="191">
        <v>0</v>
      </c>
      <c r="AE222" s="248">
        <v>0</v>
      </c>
      <c r="AF222" s="254" t="s">
        <v>1036</v>
      </c>
    </row>
    <row r="223" spans="1:32" ht="27" customHeight="1">
      <c r="A223" s="175" t="s">
        <v>1267</v>
      </c>
      <c r="B223" s="176">
        <v>12</v>
      </c>
      <c r="C223" s="175" t="s">
        <v>1268</v>
      </c>
      <c r="D223" s="181">
        <v>4</v>
      </c>
      <c r="E223" s="181" t="s">
        <v>377</v>
      </c>
      <c r="F223" s="185">
        <v>45252</v>
      </c>
      <c r="G223" s="158" t="s">
        <v>1266</v>
      </c>
      <c r="H223" s="158" t="s">
        <v>1111</v>
      </c>
      <c r="I223" s="224">
        <v>15</v>
      </c>
      <c r="J223" s="710" t="s">
        <v>1155</v>
      </c>
      <c r="K223" s="685">
        <v>10</v>
      </c>
      <c r="L223" s="625">
        <v>2.5</v>
      </c>
      <c r="M223" s="617">
        <v>2.5</v>
      </c>
      <c r="N223" s="713">
        <v>0</v>
      </c>
      <c r="O223" s="713">
        <v>0</v>
      </c>
      <c r="P223" s="713">
        <v>0</v>
      </c>
      <c r="Q223" s="713">
        <v>0</v>
      </c>
      <c r="R223" s="95" t="s">
        <v>944</v>
      </c>
      <c r="S223" s="197">
        <v>4</v>
      </c>
      <c r="T223" s="239">
        <v>10</v>
      </c>
      <c r="U223" s="652">
        <v>0</v>
      </c>
      <c r="V223" s="67" t="s">
        <v>714</v>
      </c>
      <c r="W223" s="191" t="s">
        <v>714</v>
      </c>
      <c r="X223" s="253">
        <v>0</v>
      </c>
      <c r="Y223" s="234">
        <v>1</v>
      </c>
      <c r="Z223" s="157">
        <v>0</v>
      </c>
      <c r="AA223" s="222">
        <v>23.29</v>
      </c>
      <c r="AB223" s="253" t="s">
        <v>973</v>
      </c>
      <c r="AC223" s="236">
        <v>0</v>
      </c>
      <c r="AD223" s="191">
        <v>0</v>
      </c>
      <c r="AE223" s="248">
        <v>0</v>
      </c>
      <c r="AF223" s="254" t="s">
        <v>1036</v>
      </c>
    </row>
    <row r="224" spans="1:32" ht="27" customHeight="1">
      <c r="A224" s="175" t="s">
        <v>1267</v>
      </c>
      <c r="B224" s="176">
        <v>12</v>
      </c>
      <c r="C224" s="175" t="s">
        <v>1268</v>
      </c>
      <c r="D224" s="181">
        <v>5</v>
      </c>
      <c r="E224" s="181" t="s">
        <v>378</v>
      </c>
      <c r="F224" s="185">
        <v>45252</v>
      </c>
      <c r="G224" s="158" t="s">
        <v>1266</v>
      </c>
      <c r="H224" s="158" t="s">
        <v>1111</v>
      </c>
      <c r="I224" s="224">
        <v>15</v>
      </c>
      <c r="J224" s="405" t="s">
        <v>948</v>
      </c>
      <c r="K224" s="621">
        <v>2.5</v>
      </c>
      <c r="L224" s="620">
        <v>2.5</v>
      </c>
      <c r="M224" s="683">
        <f>K224-L224</f>
        <v>0</v>
      </c>
      <c r="N224" s="713">
        <v>0</v>
      </c>
      <c r="O224" s="713">
        <v>0</v>
      </c>
      <c r="P224" s="713">
        <v>0</v>
      </c>
      <c r="Q224" s="713">
        <v>0</v>
      </c>
      <c r="R224" s="158" t="s">
        <v>944</v>
      </c>
      <c r="S224" s="197">
        <v>3</v>
      </c>
      <c r="T224" s="239"/>
      <c r="U224" s="652">
        <v>0</v>
      </c>
      <c r="V224" s="67" t="s">
        <v>714</v>
      </c>
      <c r="W224" s="191" t="s">
        <v>714</v>
      </c>
      <c r="X224" s="253">
        <v>0</v>
      </c>
      <c r="Y224" s="234">
        <v>1</v>
      </c>
      <c r="Z224" s="157">
        <v>0</v>
      </c>
      <c r="AA224" s="222">
        <v>6.9</v>
      </c>
      <c r="AB224" s="253">
        <v>4</v>
      </c>
      <c r="AC224" s="236">
        <v>0</v>
      </c>
      <c r="AD224" s="191">
        <v>0</v>
      </c>
      <c r="AE224" s="248">
        <v>0</v>
      </c>
      <c r="AF224" s="254" t="s">
        <v>1036</v>
      </c>
    </row>
    <row r="225" spans="1:32" ht="27" customHeight="1">
      <c r="A225" s="175" t="s">
        <v>1267</v>
      </c>
      <c r="B225" s="176">
        <v>12</v>
      </c>
      <c r="C225" s="175" t="s">
        <v>1268</v>
      </c>
      <c r="D225" s="181">
        <v>6</v>
      </c>
      <c r="E225" s="181" t="s">
        <v>380</v>
      </c>
      <c r="F225" s="185">
        <v>45252</v>
      </c>
      <c r="G225" s="158" t="s">
        <v>1266</v>
      </c>
      <c r="H225" s="158" t="s">
        <v>1111</v>
      </c>
      <c r="I225" s="224">
        <v>15</v>
      </c>
      <c r="J225" s="405" t="s">
        <v>948</v>
      </c>
      <c r="K225" s="621">
        <v>2.5</v>
      </c>
      <c r="L225" s="620">
        <v>2.5</v>
      </c>
      <c r="M225" s="683">
        <f>K225-L225</f>
        <v>0</v>
      </c>
      <c r="N225" s="713">
        <v>0</v>
      </c>
      <c r="O225" s="713">
        <v>0</v>
      </c>
      <c r="P225" s="713">
        <v>0</v>
      </c>
      <c r="Q225" s="713">
        <v>0</v>
      </c>
      <c r="R225" s="95" t="s">
        <v>944</v>
      </c>
      <c r="S225" s="202" t="s">
        <v>985</v>
      </c>
      <c r="T225" s="239"/>
      <c r="U225" s="652">
        <v>0</v>
      </c>
      <c r="V225" s="67" t="s">
        <v>714</v>
      </c>
      <c r="W225" s="191" t="s">
        <v>714</v>
      </c>
      <c r="X225" s="253">
        <v>0</v>
      </c>
      <c r="Y225" s="234">
        <v>1</v>
      </c>
      <c r="Z225" s="157">
        <v>0</v>
      </c>
      <c r="AA225" s="222">
        <v>35.83</v>
      </c>
      <c r="AB225" s="253" t="s">
        <v>988</v>
      </c>
      <c r="AC225" s="236">
        <v>0</v>
      </c>
      <c r="AD225" s="191">
        <v>0</v>
      </c>
      <c r="AE225" s="248">
        <v>0</v>
      </c>
      <c r="AF225" s="254" t="s">
        <v>1036</v>
      </c>
    </row>
    <row r="226" spans="1:32" ht="27" customHeight="1">
      <c r="A226" s="175" t="s">
        <v>1267</v>
      </c>
      <c r="B226" s="176">
        <v>12</v>
      </c>
      <c r="C226" s="175" t="s">
        <v>1268</v>
      </c>
      <c r="D226" s="181">
        <v>7</v>
      </c>
      <c r="E226" s="181" t="s">
        <v>381</v>
      </c>
      <c r="F226" s="185">
        <v>45253</v>
      </c>
      <c r="G226" s="158" t="s">
        <v>1266</v>
      </c>
      <c r="H226" s="158" t="s">
        <v>1111</v>
      </c>
      <c r="I226" s="224">
        <v>15</v>
      </c>
      <c r="J226" s="446" t="s">
        <v>948</v>
      </c>
      <c r="K226" s="621">
        <v>2.5</v>
      </c>
      <c r="L226" s="625">
        <v>2.5</v>
      </c>
      <c r="M226" s="683">
        <f>K226-L226</f>
        <v>0</v>
      </c>
      <c r="N226" s="713">
        <v>0</v>
      </c>
      <c r="O226" s="713">
        <v>0</v>
      </c>
      <c r="P226" s="713">
        <v>0</v>
      </c>
      <c r="Q226" s="713">
        <v>0</v>
      </c>
      <c r="R226" s="95" t="s">
        <v>944</v>
      </c>
      <c r="S226" s="197">
        <v>2</v>
      </c>
      <c r="T226" s="239">
        <v>75</v>
      </c>
      <c r="U226" s="652">
        <v>0</v>
      </c>
      <c r="V226" s="67" t="s">
        <v>714</v>
      </c>
      <c r="W226" s="191" t="s">
        <v>714</v>
      </c>
      <c r="X226" s="253">
        <v>0</v>
      </c>
      <c r="Y226" s="234">
        <v>1</v>
      </c>
      <c r="Z226" s="157">
        <v>0</v>
      </c>
      <c r="AA226" s="222">
        <v>18.61</v>
      </c>
      <c r="AB226" s="253" t="s">
        <v>973</v>
      </c>
      <c r="AC226" s="236">
        <v>0</v>
      </c>
      <c r="AD226" s="191">
        <v>0</v>
      </c>
      <c r="AE226" s="248">
        <v>0</v>
      </c>
      <c r="AF226" s="254" t="s">
        <v>1036</v>
      </c>
    </row>
    <row r="227" spans="1:32" ht="27" customHeight="1">
      <c r="A227" s="175" t="s">
        <v>1267</v>
      </c>
      <c r="B227" s="176">
        <v>12</v>
      </c>
      <c r="C227" s="175" t="s">
        <v>1268</v>
      </c>
      <c r="D227" s="181">
        <v>8</v>
      </c>
      <c r="E227" s="181" t="s">
        <v>382</v>
      </c>
      <c r="F227" s="185">
        <v>45253</v>
      </c>
      <c r="G227" s="158" t="s">
        <v>1266</v>
      </c>
      <c r="H227" s="158" t="s">
        <v>1111</v>
      </c>
      <c r="I227" s="224">
        <v>15</v>
      </c>
      <c r="J227" s="443">
        <v>10</v>
      </c>
      <c r="K227" s="685">
        <v>10</v>
      </c>
      <c r="L227" s="620">
        <v>2.5</v>
      </c>
      <c r="M227" s="617">
        <v>7.5</v>
      </c>
      <c r="N227" s="713">
        <v>0</v>
      </c>
      <c r="O227" s="713">
        <v>0</v>
      </c>
      <c r="P227" s="713">
        <v>0</v>
      </c>
      <c r="Q227" s="713">
        <v>0</v>
      </c>
      <c r="R227" s="158" t="s">
        <v>1425</v>
      </c>
      <c r="S227" s="197">
        <v>4</v>
      </c>
      <c r="T227" s="239">
        <v>30</v>
      </c>
      <c r="U227" s="652">
        <v>0</v>
      </c>
      <c r="V227" s="67" t="s">
        <v>714</v>
      </c>
      <c r="W227" s="191" t="s">
        <v>714</v>
      </c>
      <c r="X227" s="253">
        <v>0</v>
      </c>
      <c r="Y227" s="234">
        <v>2</v>
      </c>
      <c r="Z227" s="157" t="s">
        <v>985</v>
      </c>
      <c r="AA227" s="222">
        <v>16.690000000000001</v>
      </c>
      <c r="AB227" s="253" t="s">
        <v>973</v>
      </c>
      <c r="AC227" s="236">
        <v>0</v>
      </c>
      <c r="AD227" s="191">
        <v>0</v>
      </c>
      <c r="AE227" s="248">
        <v>0</v>
      </c>
      <c r="AF227" s="254" t="s">
        <v>1036</v>
      </c>
    </row>
    <row r="228" spans="1:32" ht="27" customHeight="1">
      <c r="A228" s="175" t="s">
        <v>1267</v>
      </c>
      <c r="B228" s="176">
        <v>12</v>
      </c>
      <c r="C228" s="175" t="s">
        <v>1268</v>
      </c>
      <c r="D228" s="181">
        <v>9</v>
      </c>
      <c r="E228" s="181" t="s">
        <v>383</v>
      </c>
      <c r="F228" s="185">
        <v>45253</v>
      </c>
      <c r="G228" s="158" t="s">
        <v>1266</v>
      </c>
      <c r="H228" s="158" t="s">
        <v>1111</v>
      </c>
      <c r="I228" s="224">
        <v>15</v>
      </c>
      <c r="J228" s="443">
        <v>20</v>
      </c>
      <c r="K228" s="685">
        <v>20</v>
      </c>
      <c r="L228" s="684">
        <v>10</v>
      </c>
      <c r="M228" s="687">
        <f t="shared" ref="M228:M261" si="6">K228-L228</f>
        <v>10</v>
      </c>
      <c r="N228" s="713">
        <v>0</v>
      </c>
      <c r="O228" s="713">
        <v>0</v>
      </c>
      <c r="P228" s="713">
        <v>0</v>
      </c>
      <c r="Q228" s="713">
        <v>0</v>
      </c>
      <c r="R228" s="95" t="s">
        <v>944</v>
      </c>
      <c r="S228" s="197">
        <v>2</v>
      </c>
      <c r="T228" s="239">
        <v>28.6</v>
      </c>
      <c r="U228" s="652">
        <v>0</v>
      </c>
      <c r="V228" s="67" t="s">
        <v>714</v>
      </c>
      <c r="W228" s="191" t="s">
        <v>714</v>
      </c>
      <c r="X228" s="253">
        <v>0</v>
      </c>
      <c r="Y228" s="234">
        <v>1</v>
      </c>
      <c r="Z228" s="157">
        <v>0</v>
      </c>
      <c r="AA228" s="222"/>
      <c r="AB228" s="253" t="s">
        <v>714</v>
      </c>
      <c r="AC228" s="236">
        <v>0</v>
      </c>
      <c r="AD228" s="191">
        <v>0</v>
      </c>
      <c r="AE228" s="248">
        <v>0</v>
      </c>
      <c r="AF228" s="254" t="s">
        <v>1036</v>
      </c>
    </row>
    <row r="229" spans="1:32" ht="27" customHeight="1">
      <c r="A229" s="175" t="s">
        <v>1267</v>
      </c>
      <c r="B229" s="176">
        <v>12</v>
      </c>
      <c r="C229" s="175" t="s">
        <v>1268</v>
      </c>
      <c r="D229" s="181">
        <v>10</v>
      </c>
      <c r="E229" s="181" t="s">
        <v>384</v>
      </c>
      <c r="F229" s="185">
        <v>45253</v>
      </c>
      <c r="G229" s="158" t="s">
        <v>1266</v>
      </c>
      <c r="H229" s="158" t="s">
        <v>1111</v>
      </c>
      <c r="I229" s="224">
        <v>15</v>
      </c>
      <c r="J229" s="443">
        <v>40</v>
      </c>
      <c r="K229" s="685">
        <v>40</v>
      </c>
      <c r="L229" s="684">
        <v>20</v>
      </c>
      <c r="M229" s="687">
        <f t="shared" si="6"/>
        <v>20</v>
      </c>
      <c r="N229" s="713">
        <v>0</v>
      </c>
      <c r="O229" s="713">
        <v>0</v>
      </c>
      <c r="P229" s="713">
        <v>0</v>
      </c>
      <c r="Q229" s="713">
        <v>0</v>
      </c>
      <c r="R229" s="95" t="s">
        <v>1230</v>
      </c>
      <c r="S229" s="202">
        <v>4</v>
      </c>
      <c r="T229" s="239">
        <v>96</v>
      </c>
      <c r="U229" s="652">
        <v>0</v>
      </c>
      <c r="V229" s="67" t="s">
        <v>714</v>
      </c>
      <c r="W229" s="191" t="s">
        <v>714</v>
      </c>
      <c r="X229" s="253">
        <v>0</v>
      </c>
      <c r="Y229" s="234">
        <v>1</v>
      </c>
      <c r="Z229" s="157">
        <v>0</v>
      </c>
      <c r="AA229" s="222">
        <v>14.62</v>
      </c>
      <c r="AB229" s="253" t="s">
        <v>973</v>
      </c>
      <c r="AC229" s="236">
        <v>0</v>
      </c>
      <c r="AD229" s="191">
        <v>0</v>
      </c>
      <c r="AE229" s="248">
        <v>0</v>
      </c>
      <c r="AF229" s="254" t="s">
        <v>1036</v>
      </c>
    </row>
    <row r="230" spans="1:32" ht="27" customHeight="1">
      <c r="A230" s="175" t="s">
        <v>1267</v>
      </c>
      <c r="B230" s="176">
        <v>12</v>
      </c>
      <c r="C230" s="175" t="s">
        <v>1268</v>
      </c>
      <c r="D230" s="181">
        <v>11</v>
      </c>
      <c r="E230" s="181" t="s">
        <v>385</v>
      </c>
      <c r="F230" s="185">
        <v>45253</v>
      </c>
      <c r="G230" s="158" t="s">
        <v>1266</v>
      </c>
      <c r="H230" s="158" t="s">
        <v>1111</v>
      </c>
      <c r="I230" s="224">
        <v>15</v>
      </c>
      <c r="J230" s="443">
        <v>40</v>
      </c>
      <c r="K230" s="685">
        <v>40</v>
      </c>
      <c r="L230" s="684">
        <v>20</v>
      </c>
      <c r="M230" s="687">
        <f t="shared" si="6"/>
        <v>20</v>
      </c>
      <c r="N230" s="713">
        <v>0</v>
      </c>
      <c r="O230" s="713">
        <v>0</v>
      </c>
      <c r="P230" s="713">
        <v>0</v>
      </c>
      <c r="Q230" s="713">
        <v>0</v>
      </c>
      <c r="R230" s="158" t="s">
        <v>1269</v>
      </c>
      <c r="S230" s="197">
        <v>3</v>
      </c>
      <c r="T230" s="239">
        <v>77.5</v>
      </c>
      <c r="U230" s="652">
        <v>0</v>
      </c>
      <c r="V230" s="67" t="s">
        <v>714</v>
      </c>
      <c r="W230" s="191" t="s">
        <v>714</v>
      </c>
      <c r="X230" s="253">
        <v>0</v>
      </c>
      <c r="Y230" s="234">
        <v>2</v>
      </c>
      <c r="Z230" s="157" t="s">
        <v>985</v>
      </c>
      <c r="AA230" s="222"/>
      <c r="AB230" s="253" t="s">
        <v>714</v>
      </c>
      <c r="AC230" s="236">
        <v>0</v>
      </c>
      <c r="AD230" s="191">
        <v>0</v>
      </c>
      <c r="AE230" s="248">
        <v>0</v>
      </c>
      <c r="AF230" s="254" t="s">
        <v>1036</v>
      </c>
    </row>
    <row r="231" spans="1:32" ht="27" customHeight="1">
      <c r="A231" s="175" t="s">
        <v>1267</v>
      </c>
      <c r="B231" s="176">
        <v>12</v>
      </c>
      <c r="C231" s="175" t="s">
        <v>1268</v>
      </c>
      <c r="D231" s="181">
        <v>12</v>
      </c>
      <c r="E231" s="181" t="s">
        <v>386</v>
      </c>
      <c r="F231" s="185">
        <v>45253</v>
      </c>
      <c r="G231" s="158" t="s">
        <v>1266</v>
      </c>
      <c r="H231" s="158" t="s">
        <v>1111</v>
      </c>
      <c r="I231" s="224">
        <v>15</v>
      </c>
      <c r="J231" s="405" t="s">
        <v>948</v>
      </c>
      <c r="K231" s="621">
        <v>2.5</v>
      </c>
      <c r="L231" s="620">
        <v>2.5</v>
      </c>
      <c r="M231" s="683">
        <f t="shared" si="6"/>
        <v>0</v>
      </c>
      <c r="N231" s="713">
        <v>0</v>
      </c>
      <c r="O231" s="713">
        <v>0</v>
      </c>
      <c r="P231" s="713">
        <v>0</v>
      </c>
      <c r="Q231" s="713">
        <v>0</v>
      </c>
      <c r="R231" s="95" t="s">
        <v>944</v>
      </c>
      <c r="S231" s="197">
        <v>1</v>
      </c>
      <c r="T231" s="239"/>
      <c r="U231" s="652">
        <v>0</v>
      </c>
      <c r="V231" s="67" t="s">
        <v>714</v>
      </c>
      <c r="W231" s="191" t="s">
        <v>714</v>
      </c>
      <c r="X231" s="253">
        <v>0</v>
      </c>
      <c r="Y231" s="234">
        <v>1</v>
      </c>
      <c r="Z231" s="157">
        <v>0</v>
      </c>
      <c r="AA231" s="222">
        <v>35.83</v>
      </c>
      <c r="AB231" s="253" t="s">
        <v>988</v>
      </c>
      <c r="AC231" s="236">
        <v>0</v>
      </c>
      <c r="AD231" s="191">
        <v>0</v>
      </c>
      <c r="AE231" s="248">
        <v>0</v>
      </c>
      <c r="AF231" s="254" t="s">
        <v>1036</v>
      </c>
    </row>
    <row r="232" spans="1:32" ht="27" customHeight="1">
      <c r="A232" s="175" t="s">
        <v>1267</v>
      </c>
      <c r="B232" s="176">
        <v>12</v>
      </c>
      <c r="C232" s="175" t="s">
        <v>1268</v>
      </c>
      <c r="D232" s="181">
        <v>13</v>
      </c>
      <c r="E232" s="181" t="s">
        <v>387</v>
      </c>
      <c r="F232" s="185">
        <v>45253</v>
      </c>
      <c r="G232" s="158" t="s">
        <v>1266</v>
      </c>
      <c r="H232" s="158" t="s">
        <v>1111</v>
      </c>
      <c r="I232" s="224">
        <v>15</v>
      </c>
      <c r="J232" s="405" t="s">
        <v>948</v>
      </c>
      <c r="K232" s="621">
        <v>2.5</v>
      </c>
      <c r="L232" s="620">
        <v>2.5</v>
      </c>
      <c r="M232" s="683">
        <f t="shared" si="6"/>
        <v>0</v>
      </c>
      <c r="N232" s="713">
        <v>0</v>
      </c>
      <c r="O232" s="713">
        <v>0</v>
      </c>
      <c r="P232" s="713">
        <v>0</v>
      </c>
      <c r="Q232" s="713">
        <v>0</v>
      </c>
      <c r="R232" s="158" t="s">
        <v>944</v>
      </c>
      <c r="S232" s="197">
        <v>2</v>
      </c>
      <c r="T232" s="239"/>
      <c r="U232" s="652">
        <v>0</v>
      </c>
      <c r="V232" s="67" t="s">
        <v>714</v>
      </c>
      <c r="W232" s="191" t="s">
        <v>714</v>
      </c>
      <c r="X232" s="253">
        <v>0</v>
      </c>
      <c r="Y232" s="234">
        <v>1</v>
      </c>
      <c r="Z232" s="157">
        <v>0</v>
      </c>
      <c r="AA232" s="222"/>
      <c r="AB232" s="253" t="s">
        <v>714</v>
      </c>
      <c r="AC232" s="236">
        <v>0</v>
      </c>
      <c r="AD232" s="191">
        <v>0</v>
      </c>
      <c r="AE232" s="248">
        <v>0</v>
      </c>
      <c r="AF232" s="254" t="s">
        <v>1036</v>
      </c>
    </row>
    <row r="233" spans="1:32" ht="27" customHeight="1">
      <c r="A233" s="175" t="s">
        <v>1267</v>
      </c>
      <c r="B233" s="176">
        <v>12</v>
      </c>
      <c r="C233" s="175" t="s">
        <v>1268</v>
      </c>
      <c r="D233" s="181">
        <v>14</v>
      </c>
      <c r="E233" s="181" t="s">
        <v>388</v>
      </c>
      <c r="F233" s="185">
        <v>45253</v>
      </c>
      <c r="G233" s="158" t="s">
        <v>1266</v>
      </c>
      <c r="H233" s="158" t="s">
        <v>1111</v>
      </c>
      <c r="I233" s="224">
        <v>15</v>
      </c>
      <c r="J233" s="443" t="s">
        <v>1155</v>
      </c>
      <c r="K233" s="685">
        <v>10</v>
      </c>
      <c r="L233" s="684">
        <v>10</v>
      </c>
      <c r="M233" s="687">
        <f t="shared" si="6"/>
        <v>0</v>
      </c>
      <c r="N233" s="713">
        <v>0</v>
      </c>
      <c r="O233" s="713">
        <v>0</v>
      </c>
      <c r="P233" s="713">
        <v>0</v>
      </c>
      <c r="Q233" s="713">
        <v>0</v>
      </c>
      <c r="R233" s="95" t="s">
        <v>944</v>
      </c>
      <c r="S233" s="197">
        <v>3</v>
      </c>
      <c r="T233" s="239">
        <v>39</v>
      </c>
      <c r="U233" s="652">
        <v>0</v>
      </c>
      <c r="V233" s="67" t="s">
        <v>714</v>
      </c>
      <c r="W233" s="191" t="s">
        <v>714</v>
      </c>
      <c r="X233" s="253">
        <v>0</v>
      </c>
      <c r="Y233" s="234">
        <v>1</v>
      </c>
      <c r="Z233" s="157">
        <v>0</v>
      </c>
      <c r="AA233" s="222"/>
      <c r="AB233" s="253" t="s">
        <v>714</v>
      </c>
      <c r="AC233" s="236">
        <v>0</v>
      </c>
      <c r="AD233" s="191">
        <v>0</v>
      </c>
      <c r="AE233" s="248">
        <v>3</v>
      </c>
      <c r="AF233" s="254" t="s">
        <v>1036</v>
      </c>
    </row>
    <row r="234" spans="1:32" ht="27" customHeight="1">
      <c r="A234" s="175" t="s">
        <v>1267</v>
      </c>
      <c r="B234" s="176">
        <v>12</v>
      </c>
      <c r="C234" s="175" t="s">
        <v>1268</v>
      </c>
      <c r="D234" s="181">
        <v>15</v>
      </c>
      <c r="E234" s="181" t="s">
        <v>389</v>
      </c>
      <c r="F234" s="185">
        <v>45253</v>
      </c>
      <c r="G234" s="158" t="s">
        <v>1266</v>
      </c>
      <c r="H234" s="158" t="s">
        <v>1111</v>
      </c>
      <c r="I234" s="224">
        <v>15</v>
      </c>
      <c r="J234" s="443">
        <v>10</v>
      </c>
      <c r="K234" s="685">
        <v>10</v>
      </c>
      <c r="L234" s="684">
        <v>10</v>
      </c>
      <c r="M234" s="687">
        <f t="shared" si="6"/>
        <v>0</v>
      </c>
      <c r="N234" s="713">
        <v>0</v>
      </c>
      <c r="O234" s="713">
        <v>0</v>
      </c>
      <c r="P234" s="713">
        <v>0</v>
      </c>
      <c r="Q234" s="713">
        <v>0</v>
      </c>
      <c r="R234" s="95" t="s">
        <v>944</v>
      </c>
      <c r="S234" s="197">
        <v>3</v>
      </c>
      <c r="T234" s="239">
        <v>42</v>
      </c>
      <c r="U234" s="652">
        <v>0</v>
      </c>
      <c r="V234" s="67" t="s">
        <v>714</v>
      </c>
      <c r="W234" s="191" t="s">
        <v>714</v>
      </c>
      <c r="X234" s="253">
        <v>0</v>
      </c>
      <c r="Y234" s="234">
        <v>1</v>
      </c>
      <c r="Z234" s="157">
        <v>0</v>
      </c>
      <c r="AA234" s="222"/>
      <c r="AB234" s="253" t="s">
        <v>714</v>
      </c>
      <c r="AC234" s="236">
        <v>0</v>
      </c>
      <c r="AD234" s="191">
        <v>0</v>
      </c>
      <c r="AE234" s="248">
        <v>7</v>
      </c>
      <c r="AF234" s="254" t="s">
        <v>1036</v>
      </c>
    </row>
    <row r="235" spans="1:32" s="147" customFormat="1" ht="27" customHeight="1">
      <c r="A235" s="192" t="s">
        <v>1267</v>
      </c>
      <c r="B235" s="193">
        <v>12</v>
      </c>
      <c r="C235" s="192" t="s">
        <v>1268</v>
      </c>
      <c r="D235" s="181">
        <v>16</v>
      </c>
      <c r="E235" s="181" t="s">
        <v>390</v>
      </c>
      <c r="F235" s="185">
        <v>45204</v>
      </c>
      <c r="G235" s="158" t="s">
        <v>1266</v>
      </c>
      <c r="H235" s="158" t="s">
        <v>1111</v>
      </c>
      <c r="I235" s="224">
        <v>15</v>
      </c>
      <c r="J235" s="443">
        <v>30</v>
      </c>
      <c r="K235" s="685">
        <v>30</v>
      </c>
      <c r="L235" s="684">
        <v>20</v>
      </c>
      <c r="M235" s="687">
        <f t="shared" si="6"/>
        <v>10</v>
      </c>
      <c r="N235" s="713">
        <v>0</v>
      </c>
      <c r="O235" s="713">
        <v>0</v>
      </c>
      <c r="P235" s="713">
        <v>0</v>
      </c>
      <c r="Q235" s="713">
        <v>0</v>
      </c>
      <c r="R235" s="95" t="s">
        <v>1092</v>
      </c>
      <c r="S235" s="202" t="s">
        <v>985</v>
      </c>
      <c r="T235" s="239"/>
      <c r="U235" s="652">
        <v>0</v>
      </c>
      <c r="V235" s="67" t="s">
        <v>714</v>
      </c>
      <c r="W235" s="191" t="s">
        <v>714</v>
      </c>
      <c r="X235" s="253">
        <v>0</v>
      </c>
      <c r="Y235" s="235">
        <v>2</v>
      </c>
      <c r="Z235" s="224" t="s">
        <v>985</v>
      </c>
      <c r="AA235" s="222">
        <v>6.16</v>
      </c>
      <c r="AB235" s="253">
        <v>4</v>
      </c>
      <c r="AC235" s="236">
        <v>0</v>
      </c>
      <c r="AD235" s="191">
        <v>0</v>
      </c>
      <c r="AE235" s="248">
        <v>2</v>
      </c>
      <c r="AF235" s="254" t="s">
        <v>1036</v>
      </c>
    </row>
    <row r="236" spans="1:32" s="147" customFormat="1" ht="27" customHeight="1">
      <c r="A236" s="192" t="s">
        <v>1267</v>
      </c>
      <c r="B236" s="193">
        <v>12</v>
      </c>
      <c r="C236" s="192" t="s">
        <v>1268</v>
      </c>
      <c r="D236" s="181">
        <v>17</v>
      </c>
      <c r="E236" s="181" t="s">
        <v>391</v>
      </c>
      <c r="F236" s="185">
        <v>45188</v>
      </c>
      <c r="G236" s="158" t="s">
        <v>1266</v>
      </c>
      <c r="H236" s="158" t="s">
        <v>1111</v>
      </c>
      <c r="I236" s="224">
        <v>15</v>
      </c>
      <c r="J236" s="443">
        <v>20</v>
      </c>
      <c r="K236" s="685">
        <v>20</v>
      </c>
      <c r="L236" s="684">
        <v>30</v>
      </c>
      <c r="M236" s="687">
        <f t="shared" si="6"/>
        <v>-10</v>
      </c>
      <c r="N236" s="713">
        <v>0</v>
      </c>
      <c r="O236" s="713">
        <v>0</v>
      </c>
      <c r="P236" s="713">
        <v>0</v>
      </c>
      <c r="Q236" s="713">
        <v>0</v>
      </c>
      <c r="R236" s="158" t="s">
        <v>944</v>
      </c>
      <c r="S236" s="197">
        <v>3</v>
      </c>
      <c r="T236" s="239">
        <v>43.5</v>
      </c>
      <c r="U236" s="652">
        <v>0</v>
      </c>
      <c r="V236" s="67" t="s">
        <v>714</v>
      </c>
      <c r="W236" s="191" t="s">
        <v>714</v>
      </c>
      <c r="X236" s="253">
        <v>0</v>
      </c>
      <c r="Y236" s="234">
        <v>2</v>
      </c>
      <c r="Z236" s="157" t="s">
        <v>985</v>
      </c>
      <c r="AA236" s="222">
        <v>28.12</v>
      </c>
      <c r="AB236" s="253" t="s">
        <v>973</v>
      </c>
      <c r="AC236" s="236">
        <v>0</v>
      </c>
      <c r="AD236" s="191">
        <v>0</v>
      </c>
      <c r="AE236" s="248">
        <v>0</v>
      </c>
      <c r="AF236" s="254" t="s">
        <v>1036</v>
      </c>
    </row>
    <row r="237" spans="1:32" s="147" customFormat="1" ht="27" customHeight="1">
      <c r="A237" s="192" t="s">
        <v>1267</v>
      </c>
      <c r="B237" s="193">
        <v>12</v>
      </c>
      <c r="C237" s="192" t="s">
        <v>1268</v>
      </c>
      <c r="D237" s="181">
        <v>18</v>
      </c>
      <c r="E237" s="181" t="s">
        <v>392</v>
      </c>
      <c r="F237" s="185">
        <v>45215</v>
      </c>
      <c r="G237" s="158" t="s">
        <v>1266</v>
      </c>
      <c r="H237" s="158" t="s">
        <v>1111</v>
      </c>
      <c r="I237" s="224">
        <v>15</v>
      </c>
      <c r="J237" s="443">
        <v>20</v>
      </c>
      <c r="K237" s="685">
        <v>20</v>
      </c>
      <c r="L237" s="684">
        <v>20</v>
      </c>
      <c r="M237" s="687">
        <f t="shared" si="6"/>
        <v>0</v>
      </c>
      <c r="N237" s="713">
        <v>0</v>
      </c>
      <c r="O237" s="713">
        <v>0</v>
      </c>
      <c r="P237" s="713">
        <v>0</v>
      </c>
      <c r="Q237" s="713">
        <v>0</v>
      </c>
      <c r="R237" s="158" t="s">
        <v>944</v>
      </c>
      <c r="S237" s="202" t="s">
        <v>985</v>
      </c>
      <c r="T237" s="239"/>
      <c r="U237" s="652">
        <v>0</v>
      </c>
      <c r="V237" s="67" t="s">
        <v>714</v>
      </c>
      <c r="W237" s="191" t="s">
        <v>714</v>
      </c>
      <c r="X237" s="253">
        <v>0</v>
      </c>
      <c r="Y237" s="234">
        <v>1</v>
      </c>
      <c r="Z237" s="157">
        <v>0</v>
      </c>
      <c r="AA237" s="222">
        <v>6.48</v>
      </c>
      <c r="AB237" s="253">
        <v>4</v>
      </c>
      <c r="AC237" s="236">
        <v>0</v>
      </c>
      <c r="AD237" s="191">
        <v>0</v>
      </c>
      <c r="AE237" s="248">
        <v>0</v>
      </c>
      <c r="AF237" s="254" t="s">
        <v>1036</v>
      </c>
    </row>
    <row r="238" spans="1:32" s="147" customFormat="1" ht="27" customHeight="1">
      <c r="A238" s="192" t="s">
        <v>1267</v>
      </c>
      <c r="B238" s="193">
        <v>12</v>
      </c>
      <c r="C238" s="192" t="s">
        <v>1268</v>
      </c>
      <c r="D238" s="181">
        <v>19</v>
      </c>
      <c r="E238" s="181" t="s">
        <v>393</v>
      </c>
      <c r="F238" s="185">
        <v>45215</v>
      </c>
      <c r="G238" s="158" t="s">
        <v>1266</v>
      </c>
      <c r="H238" s="158" t="s">
        <v>1111</v>
      </c>
      <c r="I238" s="224">
        <v>15</v>
      </c>
      <c r="J238" s="443">
        <v>20</v>
      </c>
      <c r="K238" s="685">
        <v>20</v>
      </c>
      <c r="L238" s="684">
        <v>20</v>
      </c>
      <c r="M238" s="687">
        <f t="shared" si="6"/>
        <v>0</v>
      </c>
      <c r="N238" s="713">
        <v>0</v>
      </c>
      <c r="O238" s="713">
        <v>0</v>
      </c>
      <c r="P238" s="713">
        <v>0</v>
      </c>
      <c r="Q238" s="713">
        <v>0</v>
      </c>
      <c r="R238" s="95" t="s">
        <v>944</v>
      </c>
      <c r="S238" s="197">
        <v>2</v>
      </c>
      <c r="T238" s="239"/>
      <c r="U238" s="652">
        <v>0</v>
      </c>
      <c r="V238" s="67" t="s">
        <v>714</v>
      </c>
      <c r="W238" s="191" t="s">
        <v>714</v>
      </c>
      <c r="X238" s="253">
        <v>0</v>
      </c>
      <c r="Y238" s="234">
        <v>2</v>
      </c>
      <c r="Z238" s="157" t="s">
        <v>985</v>
      </c>
      <c r="AA238" s="222">
        <v>11.44</v>
      </c>
      <c r="AB238" s="253" t="s">
        <v>973</v>
      </c>
      <c r="AC238" s="236">
        <v>0</v>
      </c>
      <c r="AD238" s="191">
        <v>0</v>
      </c>
      <c r="AE238" s="248">
        <v>0</v>
      </c>
      <c r="AF238" s="254" t="s">
        <v>1036</v>
      </c>
    </row>
    <row r="239" spans="1:32" ht="27" customHeight="1">
      <c r="A239" s="175" t="s">
        <v>1267</v>
      </c>
      <c r="B239" s="176">
        <v>12</v>
      </c>
      <c r="C239" s="175" t="s">
        <v>1268</v>
      </c>
      <c r="D239" s="181">
        <v>20</v>
      </c>
      <c r="E239" s="181" t="s">
        <v>394</v>
      </c>
      <c r="F239" s="185">
        <v>45215</v>
      </c>
      <c r="G239" s="158" t="s">
        <v>1266</v>
      </c>
      <c r="H239" s="158" t="s">
        <v>1111</v>
      </c>
      <c r="I239" s="224">
        <v>15</v>
      </c>
      <c r="J239" s="443">
        <v>40</v>
      </c>
      <c r="K239" s="685">
        <v>40</v>
      </c>
      <c r="L239" s="684">
        <v>30</v>
      </c>
      <c r="M239" s="687">
        <f t="shared" si="6"/>
        <v>10</v>
      </c>
      <c r="N239" s="713">
        <v>0</v>
      </c>
      <c r="O239" s="713">
        <v>0</v>
      </c>
      <c r="P239" s="713">
        <v>0</v>
      </c>
      <c r="Q239" s="713">
        <v>0</v>
      </c>
      <c r="R239" s="95" t="s">
        <v>1089</v>
      </c>
      <c r="S239" s="202">
        <v>1</v>
      </c>
      <c r="T239" s="239">
        <v>12.5</v>
      </c>
      <c r="U239" s="652">
        <v>0</v>
      </c>
      <c r="V239" s="67" t="s">
        <v>714</v>
      </c>
      <c r="W239" s="191" t="s">
        <v>714</v>
      </c>
      <c r="X239" s="253">
        <v>0</v>
      </c>
      <c r="Y239" s="234">
        <v>1</v>
      </c>
      <c r="Z239" s="157">
        <v>0</v>
      </c>
      <c r="AA239" s="222">
        <v>8.2100000000000009</v>
      </c>
      <c r="AB239" s="253">
        <v>4</v>
      </c>
      <c r="AC239" s="236">
        <v>0</v>
      </c>
      <c r="AD239" s="191">
        <v>0</v>
      </c>
      <c r="AE239" s="248">
        <v>0</v>
      </c>
      <c r="AF239" s="254" t="s">
        <v>1036</v>
      </c>
    </row>
    <row r="240" spans="1:32" ht="27" customHeight="1">
      <c r="A240" s="175" t="s">
        <v>1267</v>
      </c>
      <c r="B240" s="176">
        <v>12</v>
      </c>
      <c r="C240" s="175" t="s">
        <v>1268</v>
      </c>
      <c r="D240" s="181">
        <v>21</v>
      </c>
      <c r="E240" s="181" t="s">
        <v>395</v>
      </c>
      <c r="F240" s="185">
        <v>45215</v>
      </c>
      <c r="G240" s="158" t="s">
        <v>1266</v>
      </c>
      <c r="H240" s="158" t="s">
        <v>1111</v>
      </c>
      <c r="I240" s="224">
        <v>15</v>
      </c>
      <c r="J240" s="443">
        <v>20</v>
      </c>
      <c r="K240" s="685">
        <v>20</v>
      </c>
      <c r="L240" s="684">
        <v>10</v>
      </c>
      <c r="M240" s="687">
        <f t="shared" si="6"/>
        <v>10</v>
      </c>
      <c r="N240" s="713">
        <v>0</v>
      </c>
      <c r="O240" s="713">
        <v>0</v>
      </c>
      <c r="P240" s="713">
        <v>0</v>
      </c>
      <c r="Q240" s="713">
        <v>0</v>
      </c>
      <c r="R240" s="95" t="s">
        <v>944</v>
      </c>
      <c r="S240" s="197">
        <v>4</v>
      </c>
      <c r="T240" s="239">
        <v>19</v>
      </c>
      <c r="U240" s="652">
        <v>0</v>
      </c>
      <c r="V240" s="67" t="s">
        <v>714</v>
      </c>
      <c r="W240" s="191" t="s">
        <v>714</v>
      </c>
      <c r="X240" s="253">
        <v>0</v>
      </c>
      <c r="Y240" s="234">
        <v>1</v>
      </c>
      <c r="Z240" s="157">
        <v>0</v>
      </c>
      <c r="AA240" s="222">
        <v>3.21</v>
      </c>
      <c r="AB240" s="253">
        <v>3</v>
      </c>
      <c r="AC240" s="236">
        <v>0</v>
      </c>
      <c r="AD240" s="191">
        <v>0</v>
      </c>
      <c r="AE240" s="248">
        <v>4</v>
      </c>
      <c r="AF240" s="254" t="s">
        <v>1036</v>
      </c>
    </row>
    <row r="241" spans="1:32" ht="27" customHeight="1">
      <c r="A241" s="175" t="s">
        <v>1267</v>
      </c>
      <c r="B241" s="176">
        <v>12</v>
      </c>
      <c r="C241" s="175" t="s">
        <v>1268</v>
      </c>
      <c r="D241" s="181">
        <v>22</v>
      </c>
      <c r="E241" s="181" t="s">
        <v>396</v>
      </c>
      <c r="F241" s="185">
        <v>45215</v>
      </c>
      <c r="G241" s="158" t="s">
        <v>1266</v>
      </c>
      <c r="H241" s="158" t="s">
        <v>1111</v>
      </c>
      <c r="I241" s="224">
        <v>15</v>
      </c>
      <c r="J241" s="443">
        <v>20</v>
      </c>
      <c r="K241" s="685">
        <v>20</v>
      </c>
      <c r="L241" s="684">
        <v>10</v>
      </c>
      <c r="M241" s="687">
        <f t="shared" si="6"/>
        <v>10</v>
      </c>
      <c r="N241" s="713">
        <v>0</v>
      </c>
      <c r="O241" s="713">
        <v>0</v>
      </c>
      <c r="P241" s="713">
        <v>0</v>
      </c>
      <c r="Q241" s="713">
        <v>0</v>
      </c>
      <c r="R241" s="95" t="s">
        <v>944</v>
      </c>
      <c r="S241" s="197">
        <v>5</v>
      </c>
      <c r="T241" s="239">
        <v>21.9</v>
      </c>
      <c r="U241" s="652">
        <v>0</v>
      </c>
      <c r="V241" s="67" t="s">
        <v>714</v>
      </c>
      <c r="W241" s="191" t="s">
        <v>714</v>
      </c>
      <c r="X241" s="253">
        <v>0</v>
      </c>
      <c r="Y241" s="234">
        <v>1</v>
      </c>
      <c r="Z241" s="157">
        <v>0</v>
      </c>
      <c r="AA241" s="222">
        <v>6.29</v>
      </c>
      <c r="AB241" s="253">
        <v>4</v>
      </c>
      <c r="AC241" s="236">
        <v>0</v>
      </c>
      <c r="AD241" s="191">
        <v>0</v>
      </c>
      <c r="AE241" s="248">
        <v>5</v>
      </c>
      <c r="AF241" s="254" t="s">
        <v>1036</v>
      </c>
    </row>
    <row r="242" spans="1:32" ht="27" customHeight="1">
      <c r="A242" s="175" t="s">
        <v>1267</v>
      </c>
      <c r="B242" s="176">
        <v>12</v>
      </c>
      <c r="C242" s="175" t="s">
        <v>1268</v>
      </c>
      <c r="D242" s="181">
        <v>23</v>
      </c>
      <c r="E242" s="181" t="s">
        <v>397</v>
      </c>
      <c r="F242" s="185">
        <v>45215</v>
      </c>
      <c r="G242" s="158" t="s">
        <v>1266</v>
      </c>
      <c r="H242" s="158" t="s">
        <v>1111</v>
      </c>
      <c r="I242" s="224">
        <v>15</v>
      </c>
      <c r="J242" s="446" t="s">
        <v>985</v>
      </c>
      <c r="K242" s="621">
        <v>0.5</v>
      </c>
      <c r="L242" s="625">
        <v>0.5</v>
      </c>
      <c r="M242" s="683">
        <f t="shared" si="6"/>
        <v>0</v>
      </c>
      <c r="N242" s="713">
        <v>0</v>
      </c>
      <c r="O242" s="713">
        <v>0</v>
      </c>
      <c r="P242" s="713">
        <v>0</v>
      </c>
      <c r="Q242" s="713">
        <v>0</v>
      </c>
      <c r="R242" s="95" t="s">
        <v>944</v>
      </c>
      <c r="S242" s="197" t="s">
        <v>985</v>
      </c>
      <c r="T242" s="239"/>
      <c r="U242" s="652">
        <v>0</v>
      </c>
      <c r="V242" s="67" t="s">
        <v>714</v>
      </c>
      <c r="W242" s="191" t="s">
        <v>714</v>
      </c>
      <c r="X242" s="253">
        <v>0</v>
      </c>
      <c r="Y242" s="234">
        <v>1</v>
      </c>
      <c r="Z242" s="157">
        <v>0</v>
      </c>
      <c r="AA242" s="222">
        <v>6.17</v>
      </c>
      <c r="AB242" s="253">
        <v>4</v>
      </c>
      <c r="AC242" s="236">
        <v>0</v>
      </c>
      <c r="AD242" s="191">
        <v>0</v>
      </c>
      <c r="AE242" s="248">
        <v>0</v>
      </c>
      <c r="AF242" s="254" t="s">
        <v>1036</v>
      </c>
    </row>
    <row r="243" spans="1:32" ht="27" customHeight="1">
      <c r="A243" s="175" t="s">
        <v>1267</v>
      </c>
      <c r="B243" s="176">
        <v>12</v>
      </c>
      <c r="C243" s="175" t="s">
        <v>1268</v>
      </c>
      <c r="D243" s="181">
        <v>24</v>
      </c>
      <c r="E243" s="181" t="s">
        <v>398</v>
      </c>
      <c r="F243" s="185">
        <v>45215</v>
      </c>
      <c r="G243" s="158" t="s">
        <v>1266</v>
      </c>
      <c r="H243" s="158" t="s">
        <v>1111</v>
      </c>
      <c r="I243" s="224">
        <v>15</v>
      </c>
      <c r="J243" s="443">
        <v>50</v>
      </c>
      <c r="K243" s="685">
        <v>50</v>
      </c>
      <c r="L243" s="684">
        <v>50</v>
      </c>
      <c r="M243" s="687">
        <f t="shared" si="6"/>
        <v>0</v>
      </c>
      <c r="N243" s="713">
        <v>0</v>
      </c>
      <c r="O243" s="713">
        <v>0</v>
      </c>
      <c r="P243" s="713">
        <v>0</v>
      </c>
      <c r="Q243" s="713">
        <v>0</v>
      </c>
      <c r="R243" s="95" t="s">
        <v>1089</v>
      </c>
      <c r="S243" s="197">
        <v>2</v>
      </c>
      <c r="T243" s="239">
        <v>26.3</v>
      </c>
      <c r="U243" s="652">
        <v>0</v>
      </c>
      <c r="V243" s="67" t="s">
        <v>714</v>
      </c>
      <c r="W243" s="191" t="s">
        <v>714</v>
      </c>
      <c r="X243" s="253">
        <v>0</v>
      </c>
      <c r="Y243" s="234">
        <v>1</v>
      </c>
      <c r="Z243" s="157">
        <v>0</v>
      </c>
      <c r="AA243" s="222">
        <v>2.91</v>
      </c>
      <c r="AB243" s="253">
        <v>3</v>
      </c>
      <c r="AC243" s="236">
        <v>0</v>
      </c>
      <c r="AD243" s="191">
        <v>0</v>
      </c>
      <c r="AE243" s="248">
        <v>0</v>
      </c>
      <c r="AF243" s="254" t="s">
        <v>1036</v>
      </c>
    </row>
    <row r="244" spans="1:32" ht="27" customHeight="1">
      <c r="A244" s="175" t="s">
        <v>1267</v>
      </c>
      <c r="B244" s="176">
        <v>12</v>
      </c>
      <c r="C244" s="175" t="s">
        <v>1268</v>
      </c>
      <c r="D244" s="181">
        <v>25</v>
      </c>
      <c r="E244" s="181" t="s">
        <v>399</v>
      </c>
      <c r="F244" s="185">
        <v>45215</v>
      </c>
      <c r="G244" s="158" t="s">
        <v>1266</v>
      </c>
      <c r="H244" s="158" t="s">
        <v>1111</v>
      </c>
      <c r="I244" s="224">
        <v>15</v>
      </c>
      <c r="J244" s="443">
        <v>20</v>
      </c>
      <c r="K244" s="685">
        <v>20</v>
      </c>
      <c r="L244" s="684">
        <v>20</v>
      </c>
      <c r="M244" s="687">
        <f t="shared" si="6"/>
        <v>0</v>
      </c>
      <c r="N244" s="713">
        <v>0</v>
      </c>
      <c r="O244" s="713">
        <v>0</v>
      </c>
      <c r="P244" s="713">
        <v>0</v>
      </c>
      <c r="Q244" s="713">
        <v>0</v>
      </c>
      <c r="R244" s="95" t="s">
        <v>1230</v>
      </c>
      <c r="S244" s="197">
        <v>2</v>
      </c>
      <c r="T244" s="239">
        <v>79</v>
      </c>
      <c r="U244" s="652">
        <v>0</v>
      </c>
      <c r="V244" s="67" t="s">
        <v>714</v>
      </c>
      <c r="W244" s="191" t="s">
        <v>714</v>
      </c>
      <c r="X244" s="253">
        <v>0</v>
      </c>
      <c r="Y244" s="234">
        <v>1</v>
      </c>
      <c r="Z244" s="157">
        <v>0</v>
      </c>
      <c r="AA244" s="222"/>
      <c r="AB244" s="253" t="s">
        <v>714</v>
      </c>
      <c r="AC244" s="234">
        <v>0</v>
      </c>
      <c r="AD244" s="191">
        <v>0</v>
      </c>
      <c r="AE244" s="248">
        <v>0</v>
      </c>
      <c r="AF244" s="254" t="s">
        <v>1036</v>
      </c>
    </row>
    <row r="245" spans="1:32" ht="27" customHeight="1">
      <c r="A245" s="175" t="s">
        <v>1267</v>
      </c>
      <c r="B245" s="176">
        <v>12</v>
      </c>
      <c r="C245" s="175" t="s">
        <v>1268</v>
      </c>
      <c r="D245" s="181">
        <v>26</v>
      </c>
      <c r="E245" s="181" t="s">
        <v>400</v>
      </c>
      <c r="F245" s="185">
        <v>45215</v>
      </c>
      <c r="G245" s="158" t="s">
        <v>1266</v>
      </c>
      <c r="H245" s="158" t="s">
        <v>1111</v>
      </c>
      <c r="I245" s="224">
        <v>15</v>
      </c>
      <c r="J245" s="446" t="s">
        <v>985</v>
      </c>
      <c r="K245" s="621">
        <v>0.5</v>
      </c>
      <c r="L245" s="625">
        <v>0.5</v>
      </c>
      <c r="M245" s="683">
        <f t="shared" si="6"/>
        <v>0</v>
      </c>
      <c r="N245" s="713">
        <v>0</v>
      </c>
      <c r="O245" s="713">
        <v>0</v>
      </c>
      <c r="P245" s="713">
        <v>0</v>
      </c>
      <c r="Q245" s="713">
        <v>0</v>
      </c>
      <c r="R245" s="95" t="s">
        <v>944</v>
      </c>
      <c r="S245" s="197">
        <v>0</v>
      </c>
      <c r="T245" s="239"/>
      <c r="U245" s="652">
        <v>0</v>
      </c>
      <c r="V245" s="67" t="s">
        <v>714</v>
      </c>
      <c r="W245" s="191" t="s">
        <v>714</v>
      </c>
      <c r="X245" s="253">
        <v>0</v>
      </c>
      <c r="Y245" s="234">
        <v>1</v>
      </c>
      <c r="Z245" s="157">
        <v>0</v>
      </c>
      <c r="AA245" s="222">
        <v>7.21</v>
      </c>
      <c r="AB245" s="253">
        <v>4</v>
      </c>
      <c r="AC245" s="236">
        <v>0</v>
      </c>
      <c r="AD245" s="191">
        <v>0</v>
      </c>
      <c r="AE245" s="248">
        <v>0</v>
      </c>
      <c r="AF245" s="254" t="s">
        <v>1036</v>
      </c>
    </row>
    <row r="246" spans="1:32" ht="27" customHeight="1">
      <c r="A246" s="175" t="s">
        <v>1267</v>
      </c>
      <c r="B246" s="176">
        <v>12</v>
      </c>
      <c r="C246" s="175" t="s">
        <v>1268</v>
      </c>
      <c r="D246" s="181">
        <v>27</v>
      </c>
      <c r="E246" s="181" t="s">
        <v>401</v>
      </c>
      <c r="F246" s="185">
        <v>45184</v>
      </c>
      <c r="G246" s="158" t="s">
        <v>1266</v>
      </c>
      <c r="H246" s="158" t="s">
        <v>1111</v>
      </c>
      <c r="I246" s="224">
        <v>15</v>
      </c>
      <c r="J246" s="443">
        <v>30</v>
      </c>
      <c r="K246" s="685">
        <v>30</v>
      </c>
      <c r="L246" s="684">
        <v>20</v>
      </c>
      <c r="M246" s="687">
        <f t="shared" si="6"/>
        <v>10</v>
      </c>
      <c r="N246" s="713">
        <v>0</v>
      </c>
      <c r="O246" s="713">
        <v>0</v>
      </c>
      <c r="P246" s="713">
        <v>0</v>
      </c>
      <c r="Q246" s="713">
        <v>0</v>
      </c>
      <c r="R246" s="158" t="s">
        <v>1501</v>
      </c>
      <c r="S246" s="197">
        <v>2</v>
      </c>
      <c r="T246" s="239"/>
      <c r="U246" s="652">
        <v>0</v>
      </c>
      <c r="V246" s="67" t="s">
        <v>714</v>
      </c>
      <c r="W246" s="191" t="s">
        <v>714</v>
      </c>
      <c r="X246" s="253">
        <v>0</v>
      </c>
      <c r="Y246" s="234">
        <v>2</v>
      </c>
      <c r="Z246" s="157" t="s">
        <v>985</v>
      </c>
      <c r="AA246" s="222"/>
      <c r="AB246" s="253" t="s">
        <v>714</v>
      </c>
      <c r="AC246" s="236">
        <v>0</v>
      </c>
      <c r="AD246" s="191">
        <v>0</v>
      </c>
      <c r="AE246" s="248">
        <v>0</v>
      </c>
      <c r="AF246" s="254" t="s">
        <v>1036</v>
      </c>
    </row>
    <row r="247" spans="1:32" s="147" customFormat="1" ht="27" customHeight="1">
      <c r="A247" s="192" t="s">
        <v>1267</v>
      </c>
      <c r="B247" s="193">
        <v>12</v>
      </c>
      <c r="C247" s="192" t="s">
        <v>1268</v>
      </c>
      <c r="D247" s="181">
        <v>28</v>
      </c>
      <c r="E247" s="181" t="s">
        <v>402</v>
      </c>
      <c r="F247" s="185">
        <v>45184</v>
      </c>
      <c r="G247" s="158" t="s">
        <v>1266</v>
      </c>
      <c r="H247" s="158" t="s">
        <v>1111</v>
      </c>
      <c r="I247" s="224">
        <v>15</v>
      </c>
      <c r="J247" s="405" t="s">
        <v>985</v>
      </c>
      <c r="K247" s="620">
        <v>0.5</v>
      </c>
      <c r="L247" s="620">
        <v>0.5</v>
      </c>
      <c r="M247" s="683">
        <f t="shared" si="6"/>
        <v>0</v>
      </c>
      <c r="N247" s="713">
        <v>0</v>
      </c>
      <c r="O247" s="713">
        <v>0</v>
      </c>
      <c r="P247" s="713">
        <v>0</v>
      </c>
      <c r="Q247" s="713">
        <v>0</v>
      </c>
      <c r="R247" s="158" t="s">
        <v>944</v>
      </c>
      <c r="S247" s="197">
        <v>0</v>
      </c>
      <c r="T247" s="239"/>
      <c r="U247" s="652">
        <v>0</v>
      </c>
      <c r="V247" s="67" t="s">
        <v>714</v>
      </c>
      <c r="W247" s="191" t="s">
        <v>714</v>
      </c>
      <c r="X247" s="253">
        <v>0</v>
      </c>
      <c r="Y247" s="234">
        <v>1</v>
      </c>
      <c r="Z247" s="157">
        <v>0</v>
      </c>
      <c r="AA247" s="222"/>
      <c r="AB247" s="253" t="s">
        <v>714</v>
      </c>
      <c r="AC247" s="236">
        <v>0</v>
      </c>
      <c r="AD247" s="191">
        <v>0</v>
      </c>
      <c r="AE247" s="248">
        <v>1</v>
      </c>
      <c r="AF247" s="254" t="s">
        <v>1036</v>
      </c>
    </row>
    <row r="248" spans="1:32" ht="27" customHeight="1">
      <c r="A248" s="175" t="s">
        <v>1267</v>
      </c>
      <c r="B248" s="176">
        <v>12</v>
      </c>
      <c r="C248" s="175" t="s">
        <v>1268</v>
      </c>
      <c r="D248" s="181">
        <v>29</v>
      </c>
      <c r="E248" s="181" t="s">
        <v>403</v>
      </c>
      <c r="F248" s="185">
        <v>45184</v>
      </c>
      <c r="G248" s="158" t="s">
        <v>1266</v>
      </c>
      <c r="H248" s="158" t="s">
        <v>1111</v>
      </c>
      <c r="I248" s="224">
        <v>15</v>
      </c>
      <c r="J248" s="443" t="s">
        <v>1155</v>
      </c>
      <c r="K248" s="685">
        <v>10</v>
      </c>
      <c r="L248" s="684">
        <v>10</v>
      </c>
      <c r="M248" s="687">
        <f t="shared" si="6"/>
        <v>0</v>
      </c>
      <c r="N248" s="713">
        <v>0</v>
      </c>
      <c r="O248" s="713">
        <v>0</v>
      </c>
      <c r="P248" s="713">
        <v>0</v>
      </c>
      <c r="Q248" s="713">
        <v>0</v>
      </c>
      <c r="R248" s="95" t="s">
        <v>944</v>
      </c>
      <c r="S248" s="202" t="s">
        <v>985</v>
      </c>
      <c r="T248" s="239">
        <v>25</v>
      </c>
      <c r="U248" s="652">
        <v>0</v>
      </c>
      <c r="V248" s="67" t="s">
        <v>714</v>
      </c>
      <c r="W248" s="191" t="s">
        <v>714</v>
      </c>
      <c r="X248" s="253">
        <v>0</v>
      </c>
      <c r="Y248" s="234">
        <v>2</v>
      </c>
      <c r="Z248" s="157" t="s">
        <v>985</v>
      </c>
      <c r="AA248" s="222">
        <v>7.98</v>
      </c>
      <c r="AB248" s="253">
        <v>4</v>
      </c>
      <c r="AC248" s="236">
        <v>0</v>
      </c>
      <c r="AD248" s="191">
        <v>0</v>
      </c>
      <c r="AE248" s="248">
        <v>0</v>
      </c>
      <c r="AF248" s="254" t="s">
        <v>1036</v>
      </c>
    </row>
    <row r="249" spans="1:32" ht="27" customHeight="1">
      <c r="A249" s="175" t="s">
        <v>1267</v>
      </c>
      <c r="B249" s="176">
        <v>12</v>
      </c>
      <c r="C249" s="175" t="s">
        <v>1268</v>
      </c>
      <c r="D249" s="181">
        <v>30</v>
      </c>
      <c r="E249" s="181" t="s">
        <v>405</v>
      </c>
      <c r="F249" s="185">
        <v>45184</v>
      </c>
      <c r="G249" s="158" t="s">
        <v>1266</v>
      </c>
      <c r="H249" s="158" t="s">
        <v>1111</v>
      </c>
      <c r="I249" s="224">
        <v>15</v>
      </c>
      <c r="J249" s="443" t="s">
        <v>1155</v>
      </c>
      <c r="K249" s="685">
        <v>10</v>
      </c>
      <c r="L249" s="684">
        <v>10</v>
      </c>
      <c r="M249" s="687">
        <f t="shared" si="6"/>
        <v>0</v>
      </c>
      <c r="N249" s="713">
        <v>0</v>
      </c>
      <c r="O249" s="713">
        <v>0</v>
      </c>
      <c r="P249" s="713">
        <v>0</v>
      </c>
      <c r="Q249" s="713">
        <v>0</v>
      </c>
      <c r="R249" s="158" t="s">
        <v>944</v>
      </c>
      <c r="S249" s="197">
        <v>2</v>
      </c>
      <c r="T249" s="239">
        <v>30</v>
      </c>
      <c r="U249" s="652">
        <v>0</v>
      </c>
      <c r="V249" s="67" t="s">
        <v>714</v>
      </c>
      <c r="W249" s="191" t="s">
        <v>714</v>
      </c>
      <c r="X249" s="253">
        <v>0</v>
      </c>
      <c r="Y249" s="234">
        <v>1</v>
      </c>
      <c r="Z249" s="157">
        <v>0</v>
      </c>
      <c r="AA249" s="222"/>
      <c r="AB249" s="253" t="s">
        <v>714</v>
      </c>
      <c r="AC249" s="236">
        <v>0</v>
      </c>
      <c r="AD249" s="191">
        <v>0</v>
      </c>
      <c r="AE249" s="248">
        <v>0</v>
      </c>
      <c r="AF249" s="254" t="s">
        <v>1036</v>
      </c>
    </row>
    <row r="250" spans="1:32" ht="27" customHeight="1">
      <c r="A250" s="175" t="s">
        <v>1267</v>
      </c>
      <c r="B250" s="176">
        <v>12</v>
      </c>
      <c r="C250" s="175" t="s">
        <v>1268</v>
      </c>
      <c r="D250" s="181">
        <v>31</v>
      </c>
      <c r="E250" s="181" t="s">
        <v>406</v>
      </c>
      <c r="F250" s="185">
        <v>45184</v>
      </c>
      <c r="G250" s="158" t="s">
        <v>1266</v>
      </c>
      <c r="H250" s="158" t="s">
        <v>1111</v>
      </c>
      <c r="I250" s="224">
        <v>15</v>
      </c>
      <c r="J250" s="443" t="s">
        <v>1155</v>
      </c>
      <c r="K250" s="685">
        <v>10</v>
      </c>
      <c r="L250" s="684">
        <v>10</v>
      </c>
      <c r="M250" s="687">
        <f t="shared" si="6"/>
        <v>0</v>
      </c>
      <c r="N250" s="713">
        <v>0</v>
      </c>
      <c r="O250" s="713">
        <v>0</v>
      </c>
      <c r="P250" s="713">
        <v>0</v>
      </c>
      <c r="Q250" s="713">
        <v>0</v>
      </c>
      <c r="R250" s="95" t="s">
        <v>944</v>
      </c>
      <c r="S250" s="197">
        <v>4</v>
      </c>
      <c r="T250" s="239">
        <v>56.5</v>
      </c>
      <c r="U250" s="652">
        <v>0</v>
      </c>
      <c r="V250" s="67" t="s">
        <v>714</v>
      </c>
      <c r="W250" s="191" t="s">
        <v>714</v>
      </c>
      <c r="X250" s="253">
        <v>0</v>
      </c>
      <c r="Y250" s="234">
        <v>1</v>
      </c>
      <c r="Z250" s="157">
        <v>0</v>
      </c>
      <c r="AA250" s="222"/>
      <c r="AB250" s="253" t="s">
        <v>714</v>
      </c>
      <c r="AC250" s="236">
        <v>0</v>
      </c>
      <c r="AD250" s="191">
        <v>0</v>
      </c>
      <c r="AE250" s="248">
        <v>2</v>
      </c>
      <c r="AF250" s="254" t="s">
        <v>1036</v>
      </c>
    </row>
    <row r="251" spans="1:32" ht="27" customHeight="1">
      <c r="A251" s="175" t="s">
        <v>1267</v>
      </c>
      <c r="B251" s="176">
        <v>12</v>
      </c>
      <c r="C251" s="175" t="s">
        <v>1268</v>
      </c>
      <c r="D251" s="181">
        <v>32</v>
      </c>
      <c r="E251" s="181" t="s">
        <v>407</v>
      </c>
      <c r="F251" s="185">
        <v>45184</v>
      </c>
      <c r="G251" s="158" t="s">
        <v>1266</v>
      </c>
      <c r="H251" s="158" t="s">
        <v>1111</v>
      </c>
      <c r="I251" s="224">
        <v>15</v>
      </c>
      <c r="J251" s="443" t="s">
        <v>1155</v>
      </c>
      <c r="K251" s="685">
        <v>10</v>
      </c>
      <c r="L251" s="684">
        <v>10</v>
      </c>
      <c r="M251" s="687">
        <f t="shared" si="6"/>
        <v>0</v>
      </c>
      <c r="N251" s="713">
        <v>0</v>
      </c>
      <c r="O251" s="713">
        <v>0</v>
      </c>
      <c r="P251" s="713">
        <v>0</v>
      </c>
      <c r="Q251" s="713">
        <v>0</v>
      </c>
      <c r="R251" s="95" t="s">
        <v>944</v>
      </c>
      <c r="S251" s="197">
        <v>3</v>
      </c>
      <c r="T251" s="239">
        <v>10</v>
      </c>
      <c r="U251" s="652">
        <v>0</v>
      </c>
      <c r="V251" s="67" t="s">
        <v>714</v>
      </c>
      <c r="W251" s="191" t="s">
        <v>714</v>
      </c>
      <c r="X251" s="253">
        <v>0</v>
      </c>
      <c r="Y251" s="234">
        <v>1</v>
      </c>
      <c r="Z251" s="157">
        <v>0</v>
      </c>
      <c r="AA251" s="222"/>
      <c r="AB251" s="253" t="s">
        <v>714</v>
      </c>
      <c r="AC251" s="236">
        <v>0</v>
      </c>
      <c r="AD251" s="191">
        <v>0</v>
      </c>
      <c r="AE251" s="248">
        <v>5</v>
      </c>
      <c r="AF251" s="254" t="s">
        <v>1036</v>
      </c>
    </row>
    <row r="252" spans="1:32" ht="27" customHeight="1">
      <c r="A252" s="175" t="s">
        <v>1267</v>
      </c>
      <c r="B252" s="176">
        <v>12</v>
      </c>
      <c r="C252" s="175" t="s">
        <v>1268</v>
      </c>
      <c r="D252" s="181">
        <v>33</v>
      </c>
      <c r="E252" s="181" t="s">
        <v>408</v>
      </c>
      <c r="F252" s="185">
        <v>45184</v>
      </c>
      <c r="G252" s="158" t="s">
        <v>1266</v>
      </c>
      <c r="H252" s="158" t="s">
        <v>1111</v>
      </c>
      <c r="I252" s="224">
        <v>15</v>
      </c>
      <c r="J252" s="405" t="s">
        <v>948</v>
      </c>
      <c r="K252" s="621">
        <v>2.5</v>
      </c>
      <c r="L252" s="684">
        <v>10</v>
      </c>
      <c r="M252" s="618">
        <f t="shared" si="6"/>
        <v>-7.5</v>
      </c>
      <c r="N252" s="713">
        <v>0</v>
      </c>
      <c r="O252" s="713">
        <v>0</v>
      </c>
      <c r="P252" s="713">
        <v>0</v>
      </c>
      <c r="Q252" s="713">
        <v>0</v>
      </c>
      <c r="R252" s="95" t="s">
        <v>944</v>
      </c>
      <c r="S252" s="197">
        <v>7</v>
      </c>
      <c r="T252" s="239"/>
      <c r="U252" s="652">
        <v>0</v>
      </c>
      <c r="V252" s="67" t="s">
        <v>714</v>
      </c>
      <c r="W252" s="191" t="s">
        <v>714</v>
      </c>
      <c r="X252" s="253">
        <v>0</v>
      </c>
      <c r="Y252" s="234">
        <v>1</v>
      </c>
      <c r="Z252" s="157">
        <v>0</v>
      </c>
      <c r="AA252" s="222"/>
      <c r="AB252" s="253" t="s">
        <v>714</v>
      </c>
      <c r="AC252" s="236">
        <v>0</v>
      </c>
      <c r="AD252" s="191">
        <v>0</v>
      </c>
      <c r="AE252" s="248">
        <v>0</v>
      </c>
      <c r="AF252" s="254" t="s">
        <v>1036</v>
      </c>
    </row>
    <row r="253" spans="1:32" ht="27" customHeight="1">
      <c r="A253" s="175" t="s">
        <v>1267</v>
      </c>
      <c r="B253" s="176">
        <v>12</v>
      </c>
      <c r="C253" s="175" t="s">
        <v>1268</v>
      </c>
      <c r="D253" s="181">
        <v>34</v>
      </c>
      <c r="E253" s="181" t="s">
        <v>409</v>
      </c>
      <c r="F253" s="185">
        <v>45184</v>
      </c>
      <c r="G253" s="158" t="s">
        <v>1266</v>
      </c>
      <c r="H253" s="158" t="s">
        <v>1111</v>
      </c>
      <c r="I253" s="224">
        <v>15</v>
      </c>
      <c r="J253" s="443">
        <v>10</v>
      </c>
      <c r="K253" s="685">
        <v>10</v>
      </c>
      <c r="L253" s="684">
        <v>10</v>
      </c>
      <c r="M253" s="687">
        <f t="shared" si="6"/>
        <v>0</v>
      </c>
      <c r="N253" s="713">
        <v>0</v>
      </c>
      <c r="O253" s="713">
        <v>0</v>
      </c>
      <c r="P253" s="713">
        <v>0</v>
      </c>
      <c r="Q253" s="713">
        <v>0</v>
      </c>
      <c r="R253" s="95" t="s">
        <v>944</v>
      </c>
      <c r="S253" s="197">
        <v>2</v>
      </c>
      <c r="T253" s="239">
        <v>53.8</v>
      </c>
      <c r="U253" s="652">
        <v>0</v>
      </c>
      <c r="V253" s="67" t="s">
        <v>714</v>
      </c>
      <c r="W253" s="191" t="s">
        <v>714</v>
      </c>
      <c r="X253" s="253">
        <v>0</v>
      </c>
      <c r="Y253" s="234">
        <v>1</v>
      </c>
      <c r="Z253" s="157">
        <v>0</v>
      </c>
      <c r="AA253" s="222"/>
      <c r="AB253" s="253" t="s">
        <v>714</v>
      </c>
      <c r="AC253" s="236">
        <v>0</v>
      </c>
      <c r="AD253" s="191">
        <v>0</v>
      </c>
      <c r="AE253" s="248">
        <v>0</v>
      </c>
      <c r="AF253" s="254" t="s">
        <v>1036</v>
      </c>
    </row>
    <row r="254" spans="1:32" ht="27" customHeight="1">
      <c r="A254" s="175" t="s">
        <v>1267</v>
      </c>
      <c r="B254" s="176">
        <v>12</v>
      </c>
      <c r="C254" s="175" t="s">
        <v>1268</v>
      </c>
      <c r="D254" s="181">
        <v>35</v>
      </c>
      <c r="E254" s="181" t="s">
        <v>410</v>
      </c>
      <c r="F254" s="185">
        <v>45183</v>
      </c>
      <c r="G254" s="158" t="s">
        <v>1266</v>
      </c>
      <c r="H254" s="158" t="s">
        <v>1111</v>
      </c>
      <c r="I254" s="224">
        <v>15</v>
      </c>
      <c r="J254" s="443">
        <v>10</v>
      </c>
      <c r="K254" s="685">
        <v>10</v>
      </c>
      <c r="L254" s="684">
        <v>10</v>
      </c>
      <c r="M254" s="687">
        <f t="shared" si="6"/>
        <v>0</v>
      </c>
      <c r="N254" s="713">
        <v>0</v>
      </c>
      <c r="O254" s="713">
        <v>0</v>
      </c>
      <c r="P254" s="713">
        <v>0</v>
      </c>
      <c r="Q254" s="713">
        <v>0</v>
      </c>
      <c r="R254" s="95" t="s">
        <v>1235</v>
      </c>
      <c r="S254" s="197">
        <v>2</v>
      </c>
      <c r="T254" s="239">
        <v>33</v>
      </c>
      <c r="U254" s="652">
        <v>0</v>
      </c>
      <c r="V254" s="67" t="s">
        <v>714</v>
      </c>
      <c r="W254" s="191" t="s">
        <v>714</v>
      </c>
      <c r="X254" s="253">
        <v>0</v>
      </c>
      <c r="Y254" s="234">
        <v>1</v>
      </c>
      <c r="Z254" s="157">
        <v>0</v>
      </c>
      <c r="AA254" s="222"/>
      <c r="AB254" s="253" t="s">
        <v>714</v>
      </c>
      <c r="AC254" s="236">
        <v>0</v>
      </c>
      <c r="AD254" s="191">
        <v>0</v>
      </c>
      <c r="AE254" s="248">
        <v>3</v>
      </c>
      <c r="AF254" s="254" t="s">
        <v>1036</v>
      </c>
    </row>
    <row r="255" spans="1:32" ht="27" customHeight="1">
      <c r="A255" s="175" t="s">
        <v>1267</v>
      </c>
      <c r="B255" s="176">
        <v>12</v>
      </c>
      <c r="C255" s="175" t="s">
        <v>1268</v>
      </c>
      <c r="D255" s="181">
        <v>36</v>
      </c>
      <c r="E255" s="181" t="s">
        <v>411</v>
      </c>
      <c r="F255" s="185">
        <v>45183</v>
      </c>
      <c r="G255" s="158" t="s">
        <v>1266</v>
      </c>
      <c r="H255" s="158" t="s">
        <v>1111</v>
      </c>
      <c r="I255" s="224">
        <v>15</v>
      </c>
      <c r="J255" s="443">
        <v>30</v>
      </c>
      <c r="K255" s="685">
        <v>30</v>
      </c>
      <c r="L255" s="684">
        <v>20</v>
      </c>
      <c r="M255" s="687">
        <f t="shared" si="6"/>
        <v>10</v>
      </c>
      <c r="N255" s="713">
        <v>0</v>
      </c>
      <c r="O255" s="713">
        <v>0</v>
      </c>
      <c r="P255" s="713">
        <v>0</v>
      </c>
      <c r="Q255" s="713">
        <v>0</v>
      </c>
      <c r="R255" s="95" t="s">
        <v>1093</v>
      </c>
      <c r="S255" s="197">
        <v>4</v>
      </c>
      <c r="T255" s="239">
        <v>15</v>
      </c>
      <c r="U255" s="652">
        <v>0</v>
      </c>
      <c r="V255" s="67" t="s">
        <v>714</v>
      </c>
      <c r="W255" s="191" t="s">
        <v>714</v>
      </c>
      <c r="X255" s="253">
        <v>0</v>
      </c>
      <c r="Y255" s="234">
        <v>1</v>
      </c>
      <c r="Z255" s="157">
        <v>0</v>
      </c>
      <c r="AA255" s="222">
        <v>0.62</v>
      </c>
      <c r="AB255" s="253">
        <v>2</v>
      </c>
      <c r="AC255" s="236">
        <v>0</v>
      </c>
      <c r="AD255" s="191">
        <v>0</v>
      </c>
      <c r="AE255" s="248">
        <v>0</v>
      </c>
      <c r="AF255" s="254" t="s">
        <v>1036</v>
      </c>
    </row>
    <row r="256" spans="1:32" s="147" customFormat="1" ht="27" customHeight="1">
      <c r="A256" s="192" t="s">
        <v>1267</v>
      </c>
      <c r="B256" s="193">
        <v>12</v>
      </c>
      <c r="C256" s="192" t="s">
        <v>1268</v>
      </c>
      <c r="D256" s="181">
        <v>37</v>
      </c>
      <c r="E256" s="181" t="s">
        <v>412</v>
      </c>
      <c r="F256" s="185">
        <v>45183</v>
      </c>
      <c r="G256" s="158" t="s">
        <v>1266</v>
      </c>
      <c r="H256" s="158" t="s">
        <v>1111</v>
      </c>
      <c r="I256" s="224">
        <v>15</v>
      </c>
      <c r="J256" s="443">
        <v>10</v>
      </c>
      <c r="K256" s="685">
        <v>10</v>
      </c>
      <c r="L256" s="684">
        <v>10</v>
      </c>
      <c r="M256" s="687">
        <f t="shared" si="6"/>
        <v>0</v>
      </c>
      <c r="N256" s="713">
        <v>0</v>
      </c>
      <c r="O256" s="713">
        <v>0</v>
      </c>
      <c r="P256" s="713">
        <v>0</v>
      </c>
      <c r="Q256" s="713">
        <v>0</v>
      </c>
      <c r="R256" s="95" t="s">
        <v>944</v>
      </c>
      <c r="S256" s="197">
        <v>3</v>
      </c>
      <c r="T256" s="239">
        <v>15</v>
      </c>
      <c r="U256" s="652">
        <v>0</v>
      </c>
      <c r="V256" s="67" t="s">
        <v>714</v>
      </c>
      <c r="W256" s="191" t="s">
        <v>714</v>
      </c>
      <c r="X256" s="253">
        <v>0</v>
      </c>
      <c r="Y256" s="234">
        <v>1</v>
      </c>
      <c r="Z256" s="157">
        <v>0</v>
      </c>
      <c r="AA256" s="222">
        <v>22.67</v>
      </c>
      <c r="AB256" s="253" t="s">
        <v>973</v>
      </c>
      <c r="AC256" s="236">
        <v>0</v>
      </c>
      <c r="AD256" s="191">
        <v>0</v>
      </c>
      <c r="AE256" s="248">
        <v>0</v>
      </c>
      <c r="AF256" s="254" t="s">
        <v>1036</v>
      </c>
    </row>
    <row r="257" spans="1:40" s="147" customFormat="1" ht="27" customHeight="1">
      <c r="A257" s="192" t="s">
        <v>1267</v>
      </c>
      <c r="B257" s="193">
        <v>12</v>
      </c>
      <c r="C257" s="192" t="s">
        <v>1268</v>
      </c>
      <c r="D257" s="181">
        <v>38</v>
      </c>
      <c r="E257" s="181" t="s">
        <v>414</v>
      </c>
      <c r="F257" s="185">
        <v>45183</v>
      </c>
      <c r="G257" s="158" t="s">
        <v>1266</v>
      </c>
      <c r="H257" s="158" t="s">
        <v>1111</v>
      </c>
      <c r="I257" s="224">
        <v>15</v>
      </c>
      <c r="J257" s="443" t="s">
        <v>1155</v>
      </c>
      <c r="K257" s="685">
        <v>10</v>
      </c>
      <c r="L257" s="684">
        <v>10</v>
      </c>
      <c r="M257" s="687">
        <f t="shared" si="6"/>
        <v>0</v>
      </c>
      <c r="N257" s="713">
        <v>0</v>
      </c>
      <c r="O257" s="713">
        <v>0</v>
      </c>
      <c r="P257" s="713">
        <v>0</v>
      </c>
      <c r="Q257" s="713">
        <v>0</v>
      </c>
      <c r="R257" s="95" t="s">
        <v>1230</v>
      </c>
      <c r="S257" s="197">
        <v>5</v>
      </c>
      <c r="T257" s="239">
        <v>39</v>
      </c>
      <c r="U257" s="652">
        <v>0</v>
      </c>
      <c r="V257" s="67" t="s">
        <v>714</v>
      </c>
      <c r="W257" s="191" t="s">
        <v>714</v>
      </c>
      <c r="X257" s="253">
        <v>0</v>
      </c>
      <c r="Y257" s="234">
        <v>1</v>
      </c>
      <c r="Z257" s="157">
        <v>0</v>
      </c>
      <c r="AA257" s="222">
        <v>15.53</v>
      </c>
      <c r="AB257" s="253" t="s">
        <v>973</v>
      </c>
      <c r="AC257" s="236">
        <v>0</v>
      </c>
      <c r="AD257" s="191">
        <v>0</v>
      </c>
      <c r="AE257" s="248">
        <v>0</v>
      </c>
      <c r="AF257" s="254" t="s">
        <v>1036</v>
      </c>
    </row>
    <row r="258" spans="1:40" s="147" customFormat="1" ht="27" customHeight="1">
      <c r="A258" s="192" t="s">
        <v>1267</v>
      </c>
      <c r="B258" s="193">
        <v>12</v>
      </c>
      <c r="C258" s="192" t="s">
        <v>1268</v>
      </c>
      <c r="D258" s="181">
        <v>39</v>
      </c>
      <c r="E258" s="181" t="s">
        <v>415</v>
      </c>
      <c r="F258" s="185">
        <v>45183</v>
      </c>
      <c r="G258" s="158" t="s">
        <v>1266</v>
      </c>
      <c r="H258" s="158" t="s">
        <v>1111</v>
      </c>
      <c r="I258" s="224">
        <v>15</v>
      </c>
      <c r="J258" s="443" t="s">
        <v>1155</v>
      </c>
      <c r="K258" s="685">
        <v>10</v>
      </c>
      <c r="L258" s="684">
        <v>10</v>
      </c>
      <c r="M258" s="687">
        <f t="shared" si="6"/>
        <v>0</v>
      </c>
      <c r="N258" s="713">
        <v>0</v>
      </c>
      <c r="O258" s="713">
        <v>0</v>
      </c>
      <c r="P258" s="713">
        <v>0</v>
      </c>
      <c r="Q258" s="713">
        <v>0</v>
      </c>
      <c r="R258" s="95" t="s">
        <v>944</v>
      </c>
      <c r="S258" s="197">
        <v>3</v>
      </c>
      <c r="T258" s="239">
        <v>15</v>
      </c>
      <c r="U258" s="652">
        <v>0</v>
      </c>
      <c r="V258" s="67" t="s">
        <v>714</v>
      </c>
      <c r="W258" s="191" t="s">
        <v>714</v>
      </c>
      <c r="X258" s="253">
        <v>0</v>
      </c>
      <c r="Y258" s="234">
        <v>1</v>
      </c>
      <c r="Z258" s="157">
        <v>0</v>
      </c>
      <c r="AA258" s="222">
        <v>1.05</v>
      </c>
      <c r="AB258" s="253">
        <v>3</v>
      </c>
      <c r="AC258" s="236">
        <v>0</v>
      </c>
      <c r="AD258" s="191">
        <v>0</v>
      </c>
      <c r="AE258" s="248">
        <v>2</v>
      </c>
      <c r="AF258" s="254" t="s">
        <v>1036</v>
      </c>
    </row>
    <row r="259" spans="1:40" ht="27" customHeight="1">
      <c r="A259" s="175" t="s">
        <v>1267</v>
      </c>
      <c r="B259" s="176">
        <v>12</v>
      </c>
      <c r="C259" s="175" t="s">
        <v>1268</v>
      </c>
      <c r="D259" s="181">
        <v>40</v>
      </c>
      <c r="E259" s="181" t="s">
        <v>416</v>
      </c>
      <c r="F259" s="185">
        <v>45183</v>
      </c>
      <c r="G259" s="158" t="s">
        <v>1266</v>
      </c>
      <c r="H259" s="158" t="s">
        <v>1111</v>
      </c>
      <c r="I259" s="224">
        <v>15</v>
      </c>
      <c r="J259" s="443">
        <v>70</v>
      </c>
      <c r="K259" s="685">
        <v>70</v>
      </c>
      <c r="L259" s="684">
        <v>70</v>
      </c>
      <c r="M259" s="687">
        <f t="shared" si="6"/>
        <v>0</v>
      </c>
      <c r="N259" s="713">
        <v>0</v>
      </c>
      <c r="O259" s="713">
        <v>0</v>
      </c>
      <c r="P259" s="713">
        <v>0</v>
      </c>
      <c r="Q259" s="713">
        <v>0</v>
      </c>
      <c r="R259" s="95" t="s">
        <v>1089</v>
      </c>
      <c r="S259" s="197" t="s">
        <v>985</v>
      </c>
      <c r="T259" s="239"/>
      <c r="U259" s="652">
        <v>0</v>
      </c>
      <c r="V259" s="67" t="s">
        <v>714</v>
      </c>
      <c r="W259" s="191" t="s">
        <v>714</v>
      </c>
      <c r="X259" s="253">
        <v>0</v>
      </c>
      <c r="Y259" s="235">
        <v>1</v>
      </c>
      <c r="Z259" s="224">
        <v>0</v>
      </c>
      <c r="AA259" s="222">
        <v>3.52</v>
      </c>
      <c r="AB259" s="253">
        <v>3</v>
      </c>
      <c r="AC259" s="236">
        <v>0</v>
      </c>
      <c r="AD259" s="191">
        <v>0</v>
      </c>
      <c r="AE259" s="248">
        <v>0</v>
      </c>
      <c r="AF259" s="254" t="s">
        <v>1036</v>
      </c>
    </row>
    <row r="260" spans="1:40" s="147" customFormat="1" ht="27" customHeight="1">
      <c r="A260" s="192" t="s">
        <v>1267</v>
      </c>
      <c r="B260" s="193">
        <v>12</v>
      </c>
      <c r="C260" s="192" t="s">
        <v>1268</v>
      </c>
      <c r="D260" s="181">
        <v>41</v>
      </c>
      <c r="E260" s="181" t="s">
        <v>418</v>
      </c>
      <c r="F260" s="185">
        <v>45183</v>
      </c>
      <c r="G260" s="158" t="s">
        <v>1266</v>
      </c>
      <c r="H260" s="158" t="s">
        <v>1111</v>
      </c>
      <c r="I260" s="224">
        <v>15</v>
      </c>
      <c r="J260" s="443">
        <v>20</v>
      </c>
      <c r="K260" s="685">
        <v>20</v>
      </c>
      <c r="L260" s="684">
        <v>10</v>
      </c>
      <c r="M260" s="687">
        <f t="shared" si="6"/>
        <v>10</v>
      </c>
      <c r="N260" s="713">
        <v>0</v>
      </c>
      <c r="O260" s="713">
        <v>0</v>
      </c>
      <c r="P260" s="713">
        <v>0</v>
      </c>
      <c r="Q260" s="713">
        <v>0</v>
      </c>
      <c r="R260" s="95" t="s">
        <v>944</v>
      </c>
      <c r="S260" s="197">
        <v>3</v>
      </c>
      <c r="T260" s="239">
        <v>30</v>
      </c>
      <c r="U260" s="652">
        <v>0</v>
      </c>
      <c r="V260" s="67" t="s">
        <v>714</v>
      </c>
      <c r="W260" s="191" t="s">
        <v>714</v>
      </c>
      <c r="X260" s="253">
        <v>0</v>
      </c>
      <c r="Y260" s="234">
        <v>1</v>
      </c>
      <c r="Z260" s="157">
        <v>0</v>
      </c>
      <c r="AA260" s="222">
        <v>48.75</v>
      </c>
      <c r="AB260" s="253" t="s">
        <v>988</v>
      </c>
      <c r="AC260" s="236">
        <v>0</v>
      </c>
      <c r="AD260" s="191">
        <v>0</v>
      </c>
      <c r="AE260" s="248">
        <v>0</v>
      </c>
      <c r="AF260" s="254" t="s">
        <v>1036</v>
      </c>
    </row>
    <row r="261" spans="1:40" ht="27" customHeight="1">
      <c r="A261" s="175" t="s">
        <v>1267</v>
      </c>
      <c r="B261" s="176">
        <v>12</v>
      </c>
      <c r="C261" s="175" t="s">
        <v>1268</v>
      </c>
      <c r="D261" s="181">
        <v>42</v>
      </c>
      <c r="E261" s="181" t="s">
        <v>419</v>
      </c>
      <c r="F261" s="185">
        <v>45183</v>
      </c>
      <c r="G261" s="158" t="s">
        <v>1266</v>
      </c>
      <c r="H261" s="158" t="s">
        <v>1111</v>
      </c>
      <c r="I261" s="224">
        <v>15</v>
      </c>
      <c r="J261" s="443">
        <v>30</v>
      </c>
      <c r="K261" s="685">
        <v>30</v>
      </c>
      <c r="L261" s="684">
        <v>20</v>
      </c>
      <c r="M261" s="687">
        <f t="shared" si="6"/>
        <v>10</v>
      </c>
      <c r="N261" s="713">
        <v>0</v>
      </c>
      <c r="O261" s="713">
        <v>0</v>
      </c>
      <c r="P261" s="713">
        <v>0</v>
      </c>
      <c r="Q261" s="713">
        <v>0</v>
      </c>
      <c r="R261" s="95" t="s">
        <v>1090</v>
      </c>
      <c r="S261" s="197">
        <v>0</v>
      </c>
      <c r="T261" s="239"/>
      <c r="U261" s="652">
        <v>0</v>
      </c>
      <c r="V261" s="67" t="s">
        <v>714</v>
      </c>
      <c r="W261" s="191" t="s">
        <v>714</v>
      </c>
      <c r="X261" s="253">
        <v>0</v>
      </c>
      <c r="Y261" s="235">
        <v>1</v>
      </c>
      <c r="Z261" s="224">
        <v>0</v>
      </c>
      <c r="AA261" s="222">
        <v>5.71</v>
      </c>
      <c r="AB261" s="253">
        <v>4</v>
      </c>
      <c r="AC261" s="236">
        <v>0</v>
      </c>
      <c r="AD261" s="191">
        <v>0</v>
      </c>
      <c r="AE261" s="248">
        <v>0</v>
      </c>
      <c r="AF261" s="254" t="s">
        <v>1036</v>
      </c>
    </row>
    <row r="262" spans="1:40" ht="27" customHeight="1">
      <c r="A262" s="175" t="s">
        <v>1267</v>
      </c>
      <c r="B262" s="176">
        <v>12</v>
      </c>
      <c r="C262" s="175" t="s">
        <v>1268</v>
      </c>
      <c r="D262" s="181">
        <v>43</v>
      </c>
      <c r="E262" s="181" t="s">
        <v>1270</v>
      </c>
      <c r="F262" s="185">
        <v>45252</v>
      </c>
      <c r="G262" s="158" t="s">
        <v>1266</v>
      </c>
      <c r="H262" s="158" t="s">
        <v>1111</v>
      </c>
      <c r="I262" s="224">
        <v>15</v>
      </c>
      <c r="J262" s="443">
        <v>20</v>
      </c>
      <c r="K262" s="685">
        <v>20</v>
      </c>
      <c r="L262" s="620">
        <v>2.5</v>
      </c>
      <c r="M262" s="687">
        <v>17.5</v>
      </c>
      <c r="N262" s="713">
        <v>0</v>
      </c>
      <c r="O262" s="713">
        <v>0</v>
      </c>
      <c r="P262" s="713">
        <v>0</v>
      </c>
      <c r="Q262" s="713">
        <v>0</v>
      </c>
      <c r="R262" s="95" t="s">
        <v>1230</v>
      </c>
      <c r="S262" s="203">
        <v>3.5</v>
      </c>
      <c r="T262" s="239">
        <v>25.5</v>
      </c>
      <c r="U262" s="652">
        <v>0</v>
      </c>
      <c r="V262" s="67" t="s">
        <v>714</v>
      </c>
      <c r="W262" s="191" t="s">
        <v>714</v>
      </c>
      <c r="X262" s="253">
        <v>0</v>
      </c>
      <c r="Y262" s="234">
        <v>1</v>
      </c>
      <c r="Z262" s="157">
        <v>0</v>
      </c>
      <c r="AA262" s="222"/>
      <c r="AB262" s="253" t="s">
        <v>714</v>
      </c>
      <c r="AC262" s="236">
        <v>0</v>
      </c>
      <c r="AD262" s="191">
        <v>0</v>
      </c>
      <c r="AE262" s="248">
        <v>0</v>
      </c>
      <c r="AF262" s="254" t="s">
        <v>1036</v>
      </c>
    </row>
    <row r="263" spans="1:40" ht="27" customHeight="1" thickBot="1">
      <c r="A263" s="274" t="s">
        <v>1267</v>
      </c>
      <c r="B263" s="275">
        <v>12</v>
      </c>
      <c r="C263" s="274" t="s">
        <v>1268</v>
      </c>
      <c r="D263" s="265">
        <v>44</v>
      </c>
      <c r="E263" s="265" t="s">
        <v>1271</v>
      </c>
      <c r="F263" s="311">
        <v>45252</v>
      </c>
      <c r="G263" s="313" t="s">
        <v>1266</v>
      </c>
      <c r="H263" s="313" t="s">
        <v>1111</v>
      </c>
      <c r="I263" s="309">
        <v>15</v>
      </c>
      <c r="J263" s="693">
        <v>10</v>
      </c>
      <c r="K263" s="720">
        <v>10</v>
      </c>
      <c r="L263" s="686">
        <v>20</v>
      </c>
      <c r="M263" s="686">
        <f t="shared" ref="M263:M294" si="7">K263-L263</f>
        <v>-10</v>
      </c>
      <c r="N263" s="712">
        <v>0</v>
      </c>
      <c r="O263" s="712">
        <v>0</v>
      </c>
      <c r="P263" s="712">
        <v>0</v>
      </c>
      <c r="Q263" s="712">
        <v>0</v>
      </c>
      <c r="R263" s="103" t="s">
        <v>944</v>
      </c>
      <c r="S263" s="327" t="s">
        <v>985</v>
      </c>
      <c r="T263" s="328">
        <v>62.5</v>
      </c>
      <c r="U263" s="653">
        <v>0</v>
      </c>
      <c r="V263" s="375" t="s">
        <v>714</v>
      </c>
      <c r="W263" s="360" t="s">
        <v>714</v>
      </c>
      <c r="X263" s="332">
        <v>0</v>
      </c>
      <c r="Y263" s="330">
        <v>1</v>
      </c>
      <c r="Z263" s="331">
        <v>0</v>
      </c>
      <c r="AA263" s="329"/>
      <c r="AB263" s="332" t="s">
        <v>714</v>
      </c>
      <c r="AC263" s="304">
        <v>0</v>
      </c>
      <c r="AD263" s="360">
        <v>0</v>
      </c>
      <c r="AE263" s="296">
        <v>10</v>
      </c>
      <c r="AF263" s="297" t="s">
        <v>1036</v>
      </c>
    </row>
    <row r="264" spans="1:40" ht="27.6" customHeight="1" thickTop="1">
      <c r="A264" s="256" t="s">
        <v>986</v>
      </c>
      <c r="B264" s="92">
        <v>13</v>
      </c>
      <c r="C264" s="256" t="s">
        <v>987</v>
      </c>
      <c r="D264" s="93">
        <v>27</v>
      </c>
      <c r="E264" s="92" t="s">
        <v>425</v>
      </c>
      <c r="F264" s="258">
        <v>45244</v>
      </c>
      <c r="G264" s="259" t="s">
        <v>1272</v>
      </c>
      <c r="H264" s="361" t="s">
        <v>1111</v>
      </c>
      <c r="I264" s="262">
        <v>15</v>
      </c>
      <c r="J264" s="691">
        <v>20</v>
      </c>
      <c r="K264" s="717">
        <v>20</v>
      </c>
      <c r="L264" s="683">
        <v>10</v>
      </c>
      <c r="M264" s="687">
        <f t="shared" si="7"/>
        <v>10</v>
      </c>
      <c r="N264" s="367">
        <v>47.5</v>
      </c>
      <c r="O264" s="367">
        <v>42.5</v>
      </c>
      <c r="P264" s="727">
        <v>0</v>
      </c>
      <c r="Q264" s="727">
        <v>0</v>
      </c>
      <c r="R264" s="93" t="s">
        <v>944</v>
      </c>
      <c r="S264" s="269" t="s">
        <v>1128</v>
      </c>
      <c r="T264" s="270">
        <v>11.3</v>
      </c>
      <c r="U264" s="657">
        <v>0</v>
      </c>
      <c r="V264" s="374" t="s">
        <v>714</v>
      </c>
      <c r="W264" s="361" t="s">
        <v>714</v>
      </c>
      <c r="X264" s="673">
        <v>0</v>
      </c>
      <c r="Y264" s="261">
        <v>2</v>
      </c>
      <c r="Z264" s="260">
        <v>1</v>
      </c>
      <c r="AA264" s="271">
        <v>20.7</v>
      </c>
      <c r="AB264" s="272" t="s">
        <v>973</v>
      </c>
      <c r="AC264" s="261">
        <v>0</v>
      </c>
      <c r="AD264" s="49">
        <v>0</v>
      </c>
      <c r="AE264" s="260">
        <v>0</v>
      </c>
      <c r="AF264" s="301" t="s">
        <v>1482</v>
      </c>
      <c r="AG264" s="147"/>
      <c r="AH264" s="147"/>
      <c r="AI264" s="147"/>
      <c r="AJ264" s="147"/>
      <c r="AK264" s="147"/>
      <c r="AL264" s="147"/>
      <c r="AM264" s="147"/>
      <c r="AN264" s="147"/>
    </row>
    <row r="265" spans="1:40" ht="27.6" customHeight="1">
      <c r="A265" s="186" t="s">
        <v>986</v>
      </c>
      <c r="B265" s="94">
        <v>13</v>
      </c>
      <c r="C265" s="186" t="s">
        <v>987</v>
      </c>
      <c r="D265" s="95">
        <v>28</v>
      </c>
      <c r="E265" s="94" t="s">
        <v>426</v>
      </c>
      <c r="F265" s="189">
        <v>45244</v>
      </c>
      <c r="G265" s="204" t="s">
        <v>1272</v>
      </c>
      <c r="H265" s="191" t="s">
        <v>1111</v>
      </c>
      <c r="I265" s="248">
        <v>15</v>
      </c>
      <c r="J265" s="443">
        <v>40</v>
      </c>
      <c r="K265" s="685">
        <v>40</v>
      </c>
      <c r="L265" s="684">
        <v>40</v>
      </c>
      <c r="M265" s="687">
        <f t="shared" si="7"/>
        <v>0</v>
      </c>
      <c r="N265" s="210">
        <v>35</v>
      </c>
      <c r="O265" s="210">
        <v>40</v>
      </c>
      <c r="P265" s="697">
        <v>0</v>
      </c>
      <c r="Q265" s="697">
        <v>0</v>
      </c>
      <c r="R265" s="95" t="s">
        <v>944</v>
      </c>
      <c r="S265" s="179" t="s">
        <v>1431</v>
      </c>
      <c r="T265" s="241">
        <v>23.3</v>
      </c>
      <c r="U265" s="658">
        <v>0</v>
      </c>
      <c r="V265" s="67" t="s">
        <v>714</v>
      </c>
      <c r="W265" s="191" t="s">
        <v>714</v>
      </c>
      <c r="X265" s="245">
        <v>0</v>
      </c>
      <c r="Y265" s="233">
        <v>2</v>
      </c>
      <c r="Z265" s="225">
        <v>1</v>
      </c>
      <c r="AA265" s="221">
        <v>24.37</v>
      </c>
      <c r="AB265" s="246" t="s">
        <v>973</v>
      </c>
      <c r="AC265" s="233">
        <v>1</v>
      </c>
      <c r="AD265" s="19">
        <v>0</v>
      </c>
      <c r="AE265" s="225">
        <v>1</v>
      </c>
      <c r="AF265" s="254" t="s">
        <v>1482</v>
      </c>
    </row>
    <row r="266" spans="1:40" s="147" customFormat="1" ht="27.6" customHeight="1">
      <c r="A266" s="186" t="s">
        <v>986</v>
      </c>
      <c r="B266" s="94">
        <v>13</v>
      </c>
      <c r="C266" s="186" t="s">
        <v>987</v>
      </c>
      <c r="D266" s="95">
        <v>31</v>
      </c>
      <c r="E266" s="94" t="s">
        <v>427</v>
      </c>
      <c r="F266" s="189">
        <v>45244</v>
      </c>
      <c r="G266" s="204" t="s">
        <v>1272</v>
      </c>
      <c r="H266" s="191" t="s">
        <v>1111</v>
      </c>
      <c r="I266" s="248">
        <v>15</v>
      </c>
      <c r="J266" s="443">
        <v>60</v>
      </c>
      <c r="K266" s="685">
        <v>60</v>
      </c>
      <c r="L266" s="684">
        <v>60</v>
      </c>
      <c r="M266" s="687">
        <f t="shared" si="7"/>
        <v>0</v>
      </c>
      <c r="N266" s="210">
        <v>30</v>
      </c>
      <c r="O266" s="210">
        <v>32</v>
      </c>
      <c r="P266" s="179">
        <v>0.5</v>
      </c>
      <c r="Q266" s="179">
        <v>1</v>
      </c>
      <c r="R266" s="95" t="s">
        <v>944</v>
      </c>
      <c r="S266" s="179" t="s">
        <v>1436</v>
      </c>
      <c r="T266" s="241">
        <v>21</v>
      </c>
      <c r="U266" s="658">
        <v>0</v>
      </c>
      <c r="V266" s="67" t="s">
        <v>714</v>
      </c>
      <c r="W266" s="191" t="s">
        <v>714</v>
      </c>
      <c r="X266" s="245">
        <v>0</v>
      </c>
      <c r="Y266" s="233">
        <v>2</v>
      </c>
      <c r="Z266" s="225">
        <v>1</v>
      </c>
      <c r="AA266" s="221">
        <v>24.86</v>
      </c>
      <c r="AB266" s="246" t="s">
        <v>973</v>
      </c>
      <c r="AC266" s="233">
        <v>3</v>
      </c>
      <c r="AD266" s="19">
        <v>0</v>
      </c>
      <c r="AE266" s="225">
        <v>1</v>
      </c>
      <c r="AF266" s="254" t="s">
        <v>1482</v>
      </c>
      <c r="AG266" s="150"/>
      <c r="AH266" s="150"/>
      <c r="AI266" s="150"/>
      <c r="AJ266" s="150"/>
      <c r="AK266" s="150"/>
      <c r="AL266" s="150"/>
      <c r="AM266" s="150"/>
      <c r="AN266" s="150"/>
    </row>
    <row r="267" spans="1:40" ht="27.6" customHeight="1">
      <c r="A267" s="186" t="s">
        <v>986</v>
      </c>
      <c r="B267" s="94">
        <v>13</v>
      </c>
      <c r="C267" s="186" t="s">
        <v>987</v>
      </c>
      <c r="D267" s="95">
        <v>32</v>
      </c>
      <c r="E267" s="94" t="s">
        <v>428</v>
      </c>
      <c r="F267" s="189">
        <v>45244</v>
      </c>
      <c r="G267" s="204" t="s">
        <v>1272</v>
      </c>
      <c r="H267" s="191" t="s">
        <v>1111</v>
      </c>
      <c r="I267" s="248">
        <v>15</v>
      </c>
      <c r="J267" s="446" t="s">
        <v>948</v>
      </c>
      <c r="K267" s="621">
        <v>2.5</v>
      </c>
      <c r="L267" s="625">
        <v>2.5</v>
      </c>
      <c r="M267" s="687">
        <f t="shared" si="7"/>
        <v>0</v>
      </c>
      <c r="N267" s="210">
        <v>25</v>
      </c>
      <c r="O267" s="210">
        <v>32.5</v>
      </c>
      <c r="P267" s="697">
        <v>0</v>
      </c>
      <c r="Q267" s="697">
        <v>0</v>
      </c>
      <c r="R267" s="95" t="s">
        <v>944</v>
      </c>
      <c r="S267" s="697">
        <v>0</v>
      </c>
      <c r="T267" s="245"/>
      <c r="U267" s="658">
        <v>0</v>
      </c>
      <c r="V267" s="67" t="s">
        <v>714</v>
      </c>
      <c r="W267" s="191" t="s">
        <v>714</v>
      </c>
      <c r="X267" s="245">
        <v>0</v>
      </c>
      <c r="Y267" s="233">
        <v>1</v>
      </c>
      <c r="Z267" s="225">
        <v>0</v>
      </c>
      <c r="AA267" s="221">
        <v>27.17</v>
      </c>
      <c r="AB267" s="246" t="s">
        <v>973</v>
      </c>
      <c r="AC267" s="233">
        <v>0</v>
      </c>
      <c r="AD267" s="19">
        <v>0</v>
      </c>
      <c r="AE267" s="225">
        <v>0</v>
      </c>
      <c r="AF267" s="255" t="s">
        <v>1506</v>
      </c>
      <c r="AG267" s="147"/>
      <c r="AH267" s="147"/>
      <c r="AI267" s="147"/>
      <c r="AJ267" s="147"/>
      <c r="AK267" s="147"/>
      <c r="AL267" s="147"/>
      <c r="AM267" s="147"/>
      <c r="AN267" s="147"/>
    </row>
    <row r="268" spans="1:40" s="147" customFormat="1" ht="27.6" customHeight="1">
      <c r="A268" s="186" t="s">
        <v>986</v>
      </c>
      <c r="B268" s="94">
        <v>13</v>
      </c>
      <c r="C268" s="186" t="s">
        <v>987</v>
      </c>
      <c r="D268" s="95">
        <v>35</v>
      </c>
      <c r="E268" s="94" t="s">
        <v>429</v>
      </c>
      <c r="F268" s="189">
        <v>45235</v>
      </c>
      <c r="G268" s="204" t="s">
        <v>1272</v>
      </c>
      <c r="H268" s="191" t="s">
        <v>1111</v>
      </c>
      <c r="I268" s="248">
        <v>15</v>
      </c>
      <c r="J268" s="443">
        <v>20</v>
      </c>
      <c r="K268" s="685">
        <v>20</v>
      </c>
      <c r="L268" s="684">
        <v>30</v>
      </c>
      <c r="M268" s="687">
        <f t="shared" si="7"/>
        <v>-10</v>
      </c>
      <c r="N268" s="210">
        <v>32.5</v>
      </c>
      <c r="O268" s="210">
        <v>27.5</v>
      </c>
      <c r="P268" s="697">
        <v>0</v>
      </c>
      <c r="Q268" s="697">
        <v>0</v>
      </c>
      <c r="R268" s="95" t="s">
        <v>944</v>
      </c>
      <c r="S268" s="179" t="s">
        <v>1132</v>
      </c>
      <c r="T268" s="241">
        <v>63.5</v>
      </c>
      <c r="U268" s="658">
        <v>0</v>
      </c>
      <c r="V268" s="67" t="s">
        <v>714</v>
      </c>
      <c r="W268" s="191" t="s">
        <v>714</v>
      </c>
      <c r="X268" s="245">
        <v>0</v>
      </c>
      <c r="Y268" s="233">
        <v>2</v>
      </c>
      <c r="Z268" s="225">
        <v>1</v>
      </c>
      <c r="AA268" s="221">
        <v>47.24</v>
      </c>
      <c r="AB268" s="246" t="s">
        <v>988</v>
      </c>
      <c r="AC268" s="233">
        <v>6</v>
      </c>
      <c r="AD268" s="19">
        <v>0</v>
      </c>
      <c r="AE268" s="225">
        <v>0</v>
      </c>
      <c r="AF268" s="254" t="s">
        <v>1482</v>
      </c>
    </row>
    <row r="269" spans="1:40" ht="27.6" customHeight="1">
      <c r="A269" s="186" t="s">
        <v>986</v>
      </c>
      <c r="B269" s="94">
        <v>13</v>
      </c>
      <c r="C269" s="186" t="s">
        <v>987</v>
      </c>
      <c r="D269" s="95">
        <v>36</v>
      </c>
      <c r="E269" s="94" t="s">
        <v>430</v>
      </c>
      <c r="F269" s="189">
        <v>45235</v>
      </c>
      <c r="G269" s="204" t="s">
        <v>1272</v>
      </c>
      <c r="H269" s="191" t="s">
        <v>1111</v>
      </c>
      <c r="I269" s="248">
        <v>15</v>
      </c>
      <c r="J269" s="443">
        <v>50</v>
      </c>
      <c r="K269" s="685">
        <v>50</v>
      </c>
      <c r="L269" s="684">
        <v>40</v>
      </c>
      <c r="M269" s="687">
        <f t="shared" si="7"/>
        <v>10</v>
      </c>
      <c r="N269" s="210">
        <v>27.5</v>
      </c>
      <c r="O269" s="210">
        <v>22.5</v>
      </c>
      <c r="P269" s="697">
        <v>0</v>
      </c>
      <c r="Q269" s="697">
        <v>0</v>
      </c>
      <c r="R269" s="95" t="s">
        <v>943</v>
      </c>
      <c r="S269" s="179" t="s">
        <v>1123</v>
      </c>
      <c r="T269" s="241">
        <v>154.5</v>
      </c>
      <c r="U269" s="658">
        <v>0</v>
      </c>
      <c r="V269" s="67" t="s">
        <v>714</v>
      </c>
      <c r="W269" s="191" t="s">
        <v>714</v>
      </c>
      <c r="X269" s="245">
        <v>0</v>
      </c>
      <c r="Y269" s="233">
        <v>2</v>
      </c>
      <c r="Z269" s="225">
        <v>1</v>
      </c>
      <c r="AA269" s="221">
        <v>26.58</v>
      </c>
      <c r="AB269" s="246" t="s">
        <v>973</v>
      </c>
      <c r="AC269" s="233">
        <v>4</v>
      </c>
      <c r="AD269" s="19">
        <v>0</v>
      </c>
      <c r="AE269" s="225">
        <v>0</v>
      </c>
      <c r="AF269" s="254" t="s">
        <v>1482</v>
      </c>
      <c r="AG269" s="147"/>
      <c r="AH269" s="147"/>
      <c r="AI269" s="147"/>
      <c r="AJ269" s="147"/>
      <c r="AK269" s="147"/>
      <c r="AL269" s="147"/>
      <c r="AM269" s="147"/>
      <c r="AN269" s="147"/>
    </row>
    <row r="270" spans="1:40" s="147" customFormat="1" ht="27.6" customHeight="1">
      <c r="A270" s="186" t="s">
        <v>986</v>
      </c>
      <c r="B270" s="94">
        <v>13</v>
      </c>
      <c r="C270" s="186" t="s">
        <v>987</v>
      </c>
      <c r="D270" s="95">
        <v>42</v>
      </c>
      <c r="E270" s="94" t="s">
        <v>431</v>
      </c>
      <c r="F270" s="189">
        <v>45244</v>
      </c>
      <c r="G270" s="204" t="s">
        <v>1272</v>
      </c>
      <c r="H270" s="191" t="s">
        <v>1111</v>
      </c>
      <c r="I270" s="248">
        <v>15</v>
      </c>
      <c r="J270" s="443">
        <v>20</v>
      </c>
      <c r="K270" s="685">
        <v>20</v>
      </c>
      <c r="L270" s="684">
        <v>20</v>
      </c>
      <c r="M270" s="687">
        <f t="shared" si="7"/>
        <v>0</v>
      </c>
      <c r="N270" s="210">
        <v>47.5</v>
      </c>
      <c r="O270" s="210">
        <v>58.5</v>
      </c>
      <c r="P270" s="697">
        <v>0</v>
      </c>
      <c r="Q270" s="179">
        <v>1</v>
      </c>
      <c r="R270" s="95" t="s">
        <v>944</v>
      </c>
      <c r="S270" s="179" t="s">
        <v>1123</v>
      </c>
      <c r="T270" s="241">
        <v>32.5</v>
      </c>
      <c r="U270" s="658">
        <v>0</v>
      </c>
      <c r="V270" s="67" t="s">
        <v>714</v>
      </c>
      <c r="W270" s="191" t="s">
        <v>714</v>
      </c>
      <c r="X270" s="245">
        <v>0</v>
      </c>
      <c r="Y270" s="233">
        <v>2</v>
      </c>
      <c r="Z270" s="225">
        <v>1</v>
      </c>
      <c r="AA270" s="221">
        <v>26.06</v>
      </c>
      <c r="AB270" s="246" t="s">
        <v>973</v>
      </c>
      <c r="AC270" s="233">
        <v>0</v>
      </c>
      <c r="AD270" s="19">
        <v>0</v>
      </c>
      <c r="AE270" s="225">
        <v>0</v>
      </c>
      <c r="AF270" s="254" t="s">
        <v>1482</v>
      </c>
    </row>
    <row r="271" spans="1:40" ht="27.6" customHeight="1">
      <c r="A271" s="186" t="s">
        <v>986</v>
      </c>
      <c r="B271" s="94">
        <v>13</v>
      </c>
      <c r="C271" s="186" t="s">
        <v>987</v>
      </c>
      <c r="D271" s="95">
        <v>43</v>
      </c>
      <c r="E271" s="94" t="s">
        <v>432</v>
      </c>
      <c r="F271" s="189">
        <v>45250</v>
      </c>
      <c r="G271" s="204" t="s">
        <v>1272</v>
      </c>
      <c r="H271" s="191" t="s">
        <v>1111</v>
      </c>
      <c r="I271" s="248">
        <v>15</v>
      </c>
      <c r="J271" s="443">
        <v>20</v>
      </c>
      <c r="K271" s="685">
        <v>20</v>
      </c>
      <c r="L271" s="684">
        <v>20</v>
      </c>
      <c r="M271" s="687">
        <f t="shared" si="7"/>
        <v>0</v>
      </c>
      <c r="N271" s="210">
        <v>40</v>
      </c>
      <c r="O271" s="210">
        <v>57.5</v>
      </c>
      <c r="P271" s="697">
        <v>0</v>
      </c>
      <c r="Q271" s="697">
        <v>0</v>
      </c>
      <c r="R271" s="95" t="s">
        <v>944</v>
      </c>
      <c r="S271" s="179" t="s">
        <v>1127</v>
      </c>
      <c r="T271" s="241">
        <v>25</v>
      </c>
      <c r="U271" s="658">
        <v>0</v>
      </c>
      <c r="V271" s="67" t="s">
        <v>714</v>
      </c>
      <c r="W271" s="191" t="s">
        <v>714</v>
      </c>
      <c r="X271" s="245">
        <v>0</v>
      </c>
      <c r="Y271" s="233">
        <v>2</v>
      </c>
      <c r="Z271" s="225">
        <v>1</v>
      </c>
      <c r="AA271" s="221">
        <v>27.75</v>
      </c>
      <c r="AB271" s="246" t="s">
        <v>973</v>
      </c>
      <c r="AC271" s="233">
        <v>1</v>
      </c>
      <c r="AD271" s="19">
        <v>5</v>
      </c>
      <c r="AE271" s="225">
        <v>0</v>
      </c>
      <c r="AF271" s="254" t="s">
        <v>1482</v>
      </c>
      <c r="AG271" s="147"/>
      <c r="AH271" s="147"/>
      <c r="AI271" s="147"/>
      <c r="AJ271" s="147"/>
      <c r="AK271" s="147"/>
      <c r="AL271" s="147"/>
      <c r="AM271" s="147"/>
      <c r="AN271" s="147"/>
    </row>
    <row r="272" spans="1:40" s="147" customFormat="1" ht="27.6" customHeight="1">
      <c r="A272" s="186" t="s">
        <v>986</v>
      </c>
      <c r="B272" s="94">
        <v>13</v>
      </c>
      <c r="C272" s="186" t="s">
        <v>987</v>
      </c>
      <c r="D272" s="95">
        <v>44</v>
      </c>
      <c r="E272" s="94" t="s">
        <v>433</v>
      </c>
      <c r="F272" s="189">
        <v>45250</v>
      </c>
      <c r="G272" s="204" t="s">
        <v>1272</v>
      </c>
      <c r="H272" s="191" t="s">
        <v>1111</v>
      </c>
      <c r="I272" s="248">
        <v>15</v>
      </c>
      <c r="J272" s="443">
        <v>10</v>
      </c>
      <c r="K272" s="685">
        <v>10</v>
      </c>
      <c r="L272" s="684">
        <v>10</v>
      </c>
      <c r="M272" s="687">
        <f t="shared" si="7"/>
        <v>0</v>
      </c>
      <c r="N272" s="210">
        <v>42.5</v>
      </c>
      <c r="O272" s="210">
        <v>50</v>
      </c>
      <c r="P272" s="697">
        <v>0</v>
      </c>
      <c r="Q272" s="179">
        <v>0.5</v>
      </c>
      <c r="R272" s="95" t="s">
        <v>944</v>
      </c>
      <c r="S272" s="179" t="s">
        <v>1124</v>
      </c>
      <c r="T272" s="241">
        <v>8</v>
      </c>
      <c r="U272" s="658">
        <v>0</v>
      </c>
      <c r="V272" s="67" t="s">
        <v>714</v>
      </c>
      <c r="W272" s="191" t="s">
        <v>714</v>
      </c>
      <c r="X272" s="245">
        <v>0</v>
      </c>
      <c r="Y272" s="233">
        <v>2</v>
      </c>
      <c r="Z272" s="225">
        <v>1</v>
      </c>
      <c r="AA272" s="221">
        <v>26.58</v>
      </c>
      <c r="AB272" s="246" t="s">
        <v>973</v>
      </c>
      <c r="AC272" s="233">
        <v>1</v>
      </c>
      <c r="AD272" s="19">
        <v>0</v>
      </c>
      <c r="AE272" s="225">
        <v>0</v>
      </c>
      <c r="AF272" s="254" t="s">
        <v>1506</v>
      </c>
      <c r="AG272" s="150"/>
      <c r="AH272" s="150"/>
      <c r="AI272" s="150"/>
      <c r="AJ272" s="150"/>
      <c r="AK272" s="150"/>
      <c r="AL272" s="150"/>
      <c r="AM272" s="150"/>
      <c r="AN272" s="150"/>
    </row>
    <row r="273" spans="1:40" s="147" customFormat="1" ht="27.6" customHeight="1">
      <c r="A273" s="186" t="s">
        <v>986</v>
      </c>
      <c r="B273" s="94">
        <v>13</v>
      </c>
      <c r="C273" s="186" t="s">
        <v>987</v>
      </c>
      <c r="D273" s="95">
        <v>49</v>
      </c>
      <c r="E273" s="94" t="s">
        <v>434</v>
      </c>
      <c r="F273" s="189">
        <v>45235</v>
      </c>
      <c r="G273" s="204" t="s">
        <v>1272</v>
      </c>
      <c r="H273" s="191" t="s">
        <v>1111</v>
      </c>
      <c r="I273" s="248">
        <v>15</v>
      </c>
      <c r="J273" s="443">
        <v>20</v>
      </c>
      <c r="K273" s="685">
        <v>20</v>
      </c>
      <c r="L273" s="684">
        <v>20</v>
      </c>
      <c r="M273" s="687">
        <f t="shared" si="7"/>
        <v>0</v>
      </c>
      <c r="N273" s="210">
        <v>25</v>
      </c>
      <c r="O273" s="210">
        <v>15</v>
      </c>
      <c r="P273" s="697">
        <v>0</v>
      </c>
      <c r="Q273" s="697">
        <v>0</v>
      </c>
      <c r="R273" s="95" t="s">
        <v>944</v>
      </c>
      <c r="S273" s="179" t="s">
        <v>1440</v>
      </c>
      <c r="T273" s="241">
        <v>73.5</v>
      </c>
      <c r="U273" s="658">
        <v>0</v>
      </c>
      <c r="V273" s="16" t="s">
        <v>714</v>
      </c>
      <c r="W273" s="191" t="s">
        <v>714</v>
      </c>
      <c r="X273" s="245">
        <v>0</v>
      </c>
      <c r="Y273" s="233">
        <v>2</v>
      </c>
      <c r="Z273" s="225">
        <v>1</v>
      </c>
      <c r="AA273" s="221">
        <v>6.39</v>
      </c>
      <c r="AB273" s="246">
        <v>4</v>
      </c>
      <c r="AC273" s="233">
        <v>6</v>
      </c>
      <c r="AD273" s="19">
        <v>0</v>
      </c>
      <c r="AE273" s="225">
        <v>9</v>
      </c>
      <c r="AF273" s="254" t="s">
        <v>1482</v>
      </c>
    </row>
    <row r="274" spans="1:40" s="147" customFormat="1" ht="27.6" customHeight="1">
      <c r="A274" s="186" t="s">
        <v>986</v>
      </c>
      <c r="B274" s="94">
        <v>13</v>
      </c>
      <c r="C274" s="186" t="s">
        <v>987</v>
      </c>
      <c r="D274" s="95">
        <v>50</v>
      </c>
      <c r="E274" s="94" t="s">
        <v>435</v>
      </c>
      <c r="F274" s="189">
        <v>45235</v>
      </c>
      <c r="G274" s="204" t="s">
        <v>1272</v>
      </c>
      <c r="H274" s="191" t="s">
        <v>1111</v>
      </c>
      <c r="I274" s="248">
        <v>15</v>
      </c>
      <c r="J274" s="443">
        <v>10</v>
      </c>
      <c r="K274" s="685">
        <v>10</v>
      </c>
      <c r="L274" s="684">
        <v>20</v>
      </c>
      <c r="M274" s="687">
        <f t="shared" si="7"/>
        <v>-10</v>
      </c>
      <c r="N274" s="210">
        <v>22.5</v>
      </c>
      <c r="O274" s="210">
        <v>27.5</v>
      </c>
      <c r="P274" s="697">
        <v>0</v>
      </c>
      <c r="Q274" s="697">
        <v>0</v>
      </c>
      <c r="R274" s="95" t="s">
        <v>944</v>
      </c>
      <c r="S274" s="179" t="s">
        <v>1441</v>
      </c>
      <c r="T274" s="241">
        <v>63</v>
      </c>
      <c r="U274" s="658">
        <v>3</v>
      </c>
      <c r="V274" s="67" t="s">
        <v>949</v>
      </c>
      <c r="W274" s="191" t="s">
        <v>1659</v>
      </c>
      <c r="X274" s="245">
        <v>2</v>
      </c>
      <c r="Y274" s="233">
        <v>2</v>
      </c>
      <c r="Z274" s="225">
        <v>1</v>
      </c>
      <c r="AA274" s="221"/>
      <c r="AB274" s="246"/>
      <c r="AC274" s="233">
        <v>1</v>
      </c>
      <c r="AD274" s="19">
        <v>0</v>
      </c>
      <c r="AE274" s="225">
        <v>14</v>
      </c>
      <c r="AF274" s="254" t="s">
        <v>1482</v>
      </c>
    </row>
    <row r="275" spans="1:40" s="147" customFormat="1" ht="27.6" customHeight="1">
      <c r="A275" s="186" t="s">
        <v>986</v>
      </c>
      <c r="B275" s="94">
        <v>13</v>
      </c>
      <c r="C275" s="186" t="s">
        <v>987</v>
      </c>
      <c r="D275" s="95">
        <v>51</v>
      </c>
      <c r="E275" s="94" t="s">
        <v>436</v>
      </c>
      <c r="F275" s="189">
        <v>45240</v>
      </c>
      <c r="G275" s="204" t="s">
        <v>1272</v>
      </c>
      <c r="H275" s="191" t="s">
        <v>1111</v>
      </c>
      <c r="I275" s="248">
        <v>15</v>
      </c>
      <c r="J275" s="443">
        <v>40</v>
      </c>
      <c r="K275" s="685">
        <v>40</v>
      </c>
      <c r="L275" s="684">
        <v>20</v>
      </c>
      <c r="M275" s="687">
        <f t="shared" si="7"/>
        <v>20</v>
      </c>
      <c r="N275" s="210">
        <v>25</v>
      </c>
      <c r="O275" s="210">
        <v>12.5</v>
      </c>
      <c r="P275" s="697">
        <v>0</v>
      </c>
      <c r="Q275" s="697">
        <v>0</v>
      </c>
      <c r="R275" s="95" t="s">
        <v>944</v>
      </c>
      <c r="S275" s="179" t="s">
        <v>1442</v>
      </c>
      <c r="T275" s="241">
        <v>65.5</v>
      </c>
      <c r="U275" s="658">
        <v>0</v>
      </c>
      <c r="V275" s="67" t="s">
        <v>714</v>
      </c>
      <c r="W275" s="191" t="s">
        <v>714</v>
      </c>
      <c r="X275" s="245">
        <v>0</v>
      </c>
      <c r="Y275" s="233">
        <v>2</v>
      </c>
      <c r="Z275" s="225">
        <v>1</v>
      </c>
      <c r="AA275" s="221"/>
      <c r="AB275" s="246"/>
      <c r="AC275" s="233">
        <v>1</v>
      </c>
      <c r="AD275" s="19">
        <v>0</v>
      </c>
      <c r="AE275" s="225">
        <v>6</v>
      </c>
      <c r="AF275" s="254" t="s">
        <v>1482</v>
      </c>
    </row>
    <row r="276" spans="1:40" s="147" customFormat="1" ht="27.6" customHeight="1">
      <c r="A276" s="186" t="s">
        <v>986</v>
      </c>
      <c r="B276" s="94">
        <v>13</v>
      </c>
      <c r="C276" s="186" t="s">
        <v>987</v>
      </c>
      <c r="D276" s="95">
        <v>52</v>
      </c>
      <c r="E276" s="94" t="s">
        <v>437</v>
      </c>
      <c r="F276" s="189">
        <v>45240</v>
      </c>
      <c r="G276" s="204" t="s">
        <v>1272</v>
      </c>
      <c r="H276" s="191" t="s">
        <v>1111</v>
      </c>
      <c r="I276" s="248">
        <v>15</v>
      </c>
      <c r="J276" s="443">
        <v>30</v>
      </c>
      <c r="K276" s="685">
        <v>30</v>
      </c>
      <c r="L276" s="684">
        <v>20</v>
      </c>
      <c r="M276" s="687">
        <f t="shared" si="7"/>
        <v>10</v>
      </c>
      <c r="N276" s="210">
        <v>30</v>
      </c>
      <c r="O276" s="210">
        <v>15</v>
      </c>
      <c r="P276" s="697">
        <v>0</v>
      </c>
      <c r="Q276" s="697">
        <v>0</v>
      </c>
      <c r="R276" s="95" t="s">
        <v>944</v>
      </c>
      <c r="S276" s="179" t="s">
        <v>1443</v>
      </c>
      <c r="T276" s="241">
        <v>74.5</v>
      </c>
      <c r="U276" s="658">
        <v>1</v>
      </c>
      <c r="V276" s="16" t="s">
        <v>949</v>
      </c>
      <c r="W276" s="191" t="s">
        <v>949</v>
      </c>
      <c r="X276" s="245">
        <v>1</v>
      </c>
      <c r="Y276" s="233">
        <v>2</v>
      </c>
      <c r="Z276" s="225">
        <v>1</v>
      </c>
      <c r="AA276" s="221"/>
      <c r="AB276" s="246"/>
      <c r="AC276" s="233">
        <v>5</v>
      </c>
      <c r="AD276" s="19">
        <v>0</v>
      </c>
      <c r="AE276" s="225">
        <v>12</v>
      </c>
      <c r="AF276" s="254" t="s">
        <v>1482</v>
      </c>
    </row>
    <row r="277" spans="1:40" s="147" customFormat="1" ht="27.6" customHeight="1">
      <c r="A277" s="186" t="s">
        <v>986</v>
      </c>
      <c r="B277" s="94">
        <v>13</v>
      </c>
      <c r="C277" s="186" t="s">
        <v>987</v>
      </c>
      <c r="D277" s="95">
        <v>53</v>
      </c>
      <c r="E277" s="94" t="s">
        <v>438</v>
      </c>
      <c r="F277" s="189">
        <v>45240</v>
      </c>
      <c r="G277" s="204" t="s">
        <v>1272</v>
      </c>
      <c r="H277" s="191" t="s">
        <v>1111</v>
      </c>
      <c r="I277" s="248">
        <v>15</v>
      </c>
      <c r="J277" s="443">
        <v>20</v>
      </c>
      <c r="K277" s="685">
        <v>20</v>
      </c>
      <c r="L277" s="684">
        <v>20</v>
      </c>
      <c r="M277" s="687">
        <f t="shared" si="7"/>
        <v>0</v>
      </c>
      <c r="N277" s="210">
        <v>33.5</v>
      </c>
      <c r="O277" s="210">
        <v>21.5</v>
      </c>
      <c r="P277" s="179">
        <v>1</v>
      </c>
      <c r="Q277" s="179">
        <v>1.5</v>
      </c>
      <c r="R277" s="95" t="s">
        <v>944</v>
      </c>
      <c r="S277" s="179" t="s">
        <v>1444</v>
      </c>
      <c r="T277" s="241">
        <v>65</v>
      </c>
      <c r="U277" s="658">
        <v>0</v>
      </c>
      <c r="V277" s="16" t="s">
        <v>714</v>
      </c>
      <c r="W277" s="191" t="s">
        <v>714</v>
      </c>
      <c r="X277" s="245">
        <v>0</v>
      </c>
      <c r="Y277" s="233">
        <v>2</v>
      </c>
      <c r="Z277" s="225">
        <v>1</v>
      </c>
      <c r="AA277" s="221">
        <v>15.32</v>
      </c>
      <c r="AB277" s="246" t="s">
        <v>973</v>
      </c>
      <c r="AC277" s="233">
        <v>3</v>
      </c>
      <c r="AD277" s="19">
        <v>0</v>
      </c>
      <c r="AE277" s="225">
        <v>5</v>
      </c>
      <c r="AF277" s="254" t="s">
        <v>1482</v>
      </c>
    </row>
    <row r="278" spans="1:40" s="147" customFormat="1" ht="27.6" customHeight="1">
      <c r="A278" s="186" t="s">
        <v>986</v>
      </c>
      <c r="B278" s="94">
        <v>13</v>
      </c>
      <c r="C278" s="186" t="s">
        <v>987</v>
      </c>
      <c r="D278" s="95">
        <v>62</v>
      </c>
      <c r="E278" s="94" t="s">
        <v>440</v>
      </c>
      <c r="F278" s="189">
        <v>45236</v>
      </c>
      <c r="G278" s="204" t="s">
        <v>1272</v>
      </c>
      <c r="H278" s="191" t="s">
        <v>1111</v>
      </c>
      <c r="I278" s="248">
        <v>15</v>
      </c>
      <c r="J278" s="443">
        <v>40</v>
      </c>
      <c r="K278" s="685">
        <v>40</v>
      </c>
      <c r="L278" s="684">
        <v>40</v>
      </c>
      <c r="M278" s="687">
        <f t="shared" si="7"/>
        <v>0</v>
      </c>
      <c r="N278" s="210">
        <v>30</v>
      </c>
      <c r="O278" s="210">
        <v>22.5</v>
      </c>
      <c r="P278" s="179">
        <v>0.5</v>
      </c>
      <c r="Q278" s="697">
        <v>0</v>
      </c>
      <c r="R278" s="95" t="s">
        <v>943</v>
      </c>
      <c r="S278" s="179" t="s">
        <v>1446</v>
      </c>
      <c r="T278" s="241">
        <v>121.5</v>
      </c>
      <c r="U278" s="658">
        <v>1</v>
      </c>
      <c r="V278" s="67" t="s">
        <v>949</v>
      </c>
      <c r="W278" s="191" t="s">
        <v>949</v>
      </c>
      <c r="X278" s="245">
        <v>1</v>
      </c>
      <c r="Y278" s="233">
        <v>2</v>
      </c>
      <c r="Z278" s="225">
        <v>1</v>
      </c>
      <c r="AA278" s="221"/>
      <c r="AB278" s="246"/>
      <c r="AC278" s="233">
        <v>2</v>
      </c>
      <c r="AD278" s="19">
        <v>0</v>
      </c>
      <c r="AE278" s="225">
        <v>1</v>
      </c>
      <c r="AF278" s="254" t="s">
        <v>1482</v>
      </c>
    </row>
    <row r="279" spans="1:40" s="147" customFormat="1" ht="27.6" customHeight="1">
      <c r="A279" s="186" t="s">
        <v>986</v>
      </c>
      <c r="B279" s="94">
        <v>13</v>
      </c>
      <c r="C279" s="186" t="s">
        <v>987</v>
      </c>
      <c r="D279" s="95">
        <v>63</v>
      </c>
      <c r="E279" s="94" t="s">
        <v>441</v>
      </c>
      <c r="F279" s="189">
        <v>45236</v>
      </c>
      <c r="G279" s="204" t="s">
        <v>1272</v>
      </c>
      <c r="H279" s="191" t="s">
        <v>1111</v>
      </c>
      <c r="I279" s="248">
        <v>15</v>
      </c>
      <c r="J279" s="443">
        <v>30</v>
      </c>
      <c r="K279" s="685">
        <v>30</v>
      </c>
      <c r="L279" s="684">
        <v>20</v>
      </c>
      <c r="M279" s="687">
        <f t="shared" si="7"/>
        <v>10</v>
      </c>
      <c r="N279" s="210">
        <v>32.5</v>
      </c>
      <c r="O279" s="210">
        <v>37.5</v>
      </c>
      <c r="P279" s="179">
        <v>0.5</v>
      </c>
      <c r="Q279" s="179">
        <v>0.5</v>
      </c>
      <c r="R279" s="95" t="s">
        <v>943</v>
      </c>
      <c r="S279" s="179" t="s">
        <v>1447</v>
      </c>
      <c r="T279" s="241">
        <v>36</v>
      </c>
      <c r="U279" s="658">
        <v>0</v>
      </c>
      <c r="V279" s="67" t="s">
        <v>714</v>
      </c>
      <c r="W279" s="191" t="s">
        <v>714</v>
      </c>
      <c r="X279" s="245">
        <v>0</v>
      </c>
      <c r="Y279" s="233">
        <v>2</v>
      </c>
      <c r="Z279" s="225">
        <v>1</v>
      </c>
      <c r="AA279" s="221">
        <v>24.15</v>
      </c>
      <c r="AB279" s="246" t="s">
        <v>973</v>
      </c>
      <c r="AC279" s="233">
        <v>1</v>
      </c>
      <c r="AD279" s="19">
        <v>0</v>
      </c>
      <c r="AE279" s="225">
        <v>0</v>
      </c>
      <c r="AF279" s="254" t="s">
        <v>1482</v>
      </c>
    </row>
    <row r="280" spans="1:40" s="147" customFormat="1" ht="27.6" customHeight="1">
      <c r="A280" s="186" t="s">
        <v>986</v>
      </c>
      <c r="B280" s="94">
        <v>13</v>
      </c>
      <c r="C280" s="186" t="s">
        <v>987</v>
      </c>
      <c r="D280" s="95">
        <v>64</v>
      </c>
      <c r="E280" s="94" t="s">
        <v>442</v>
      </c>
      <c r="F280" s="189">
        <v>45236</v>
      </c>
      <c r="G280" s="204" t="s">
        <v>1272</v>
      </c>
      <c r="H280" s="191" t="s">
        <v>1111</v>
      </c>
      <c r="I280" s="248">
        <v>15</v>
      </c>
      <c r="J280" s="443">
        <v>40</v>
      </c>
      <c r="K280" s="685">
        <v>40</v>
      </c>
      <c r="L280" s="684">
        <v>40</v>
      </c>
      <c r="M280" s="687">
        <f t="shared" si="7"/>
        <v>0</v>
      </c>
      <c r="N280" s="210">
        <v>25</v>
      </c>
      <c r="O280" s="210">
        <v>20</v>
      </c>
      <c r="P280" s="697">
        <v>0</v>
      </c>
      <c r="Q280" s="697">
        <v>0</v>
      </c>
      <c r="R280" s="95" t="s">
        <v>944</v>
      </c>
      <c r="S280" s="179" t="s">
        <v>1448</v>
      </c>
      <c r="T280" s="241">
        <v>108.5</v>
      </c>
      <c r="U280" s="658">
        <v>1</v>
      </c>
      <c r="V280" s="16" t="s">
        <v>949</v>
      </c>
      <c r="W280" s="191" t="s">
        <v>949</v>
      </c>
      <c r="X280" s="245">
        <v>1</v>
      </c>
      <c r="Y280" s="233">
        <v>2</v>
      </c>
      <c r="Z280" s="225">
        <v>1</v>
      </c>
      <c r="AA280" s="221">
        <v>30.87</v>
      </c>
      <c r="AB280" s="246" t="s">
        <v>988</v>
      </c>
      <c r="AC280" s="233">
        <v>3</v>
      </c>
      <c r="AD280" s="19">
        <v>0</v>
      </c>
      <c r="AE280" s="225">
        <v>28</v>
      </c>
      <c r="AF280" s="254" t="s">
        <v>1482</v>
      </c>
    </row>
    <row r="281" spans="1:40" s="147" customFormat="1" ht="27.6" customHeight="1">
      <c r="A281" s="186" t="s">
        <v>986</v>
      </c>
      <c r="B281" s="94">
        <v>13</v>
      </c>
      <c r="C281" s="186" t="s">
        <v>987</v>
      </c>
      <c r="D281" s="95">
        <v>65</v>
      </c>
      <c r="E281" s="94" t="s">
        <v>443</v>
      </c>
      <c r="F281" s="189">
        <v>45235</v>
      </c>
      <c r="G281" s="204" t="s">
        <v>1272</v>
      </c>
      <c r="H281" s="191" t="s">
        <v>1111</v>
      </c>
      <c r="I281" s="248">
        <v>15</v>
      </c>
      <c r="J281" s="443">
        <v>60</v>
      </c>
      <c r="K281" s="685">
        <v>60</v>
      </c>
      <c r="L281" s="684">
        <v>60</v>
      </c>
      <c r="M281" s="687">
        <f t="shared" si="7"/>
        <v>0</v>
      </c>
      <c r="N281" s="210">
        <v>25</v>
      </c>
      <c r="O281" s="210">
        <v>22.5</v>
      </c>
      <c r="P281" s="697">
        <v>0</v>
      </c>
      <c r="Q281" s="697">
        <v>0</v>
      </c>
      <c r="R281" s="95" t="s">
        <v>943</v>
      </c>
      <c r="S281" s="179" t="s">
        <v>1449</v>
      </c>
      <c r="T281" s="241">
        <v>73</v>
      </c>
      <c r="U281" s="658">
        <v>3</v>
      </c>
      <c r="V281" s="16" t="s">
        <v>949</v>
      </c>
      <c r="W281" s="191" t="s">
        <v>949</v>
      </c>
      <c r="X281" s="245">
        <v>1</v>
      </c>
      <c r="Y281" s="233">
        <v>2</v>
      </c>
      <c r="Z281" s="225">
        <v>1</v>
      </c>
      <c r="AA281" s="221">
        <v>8.06</v>
      </c>
      <c r="AB281" s="246">
        <v>4</v>
      </c>
      <c r="AC281" s="233">
        <v>11</v>
      </c>
      <c r="AD281" s="19">
        <v>3</v>
      </c>
      <c r="AE281" s="225">
        <v>17</v>
      </c>
      <c r="AF281" s="254" t="s">
        <v>1482</v>
      </c>
      <c r="AG281" s="150"/>
      <c r="AH281" s="150"/>
      <c r="AI281" s="150"/>
      <c r="AJ281" s="150"/>
      <c r="AK281" s="150"/>
      <c r="AL281" s="150"/>
      <c r="AM281" s="150"/>
      <c r="AN281" s="150"/>
    </row>
    <row r="282" spans="1:40" ht="27.6" customHeight="1">
      <c r="A282" s="186" t="s">
        <v>986</v>
      </c>
      <c r="B282" s="94">
        <v>13</v>
      </c>
      <c r="C282" s="186" t="s">
        <v>987</v>
      </c>
      <c r="D282" s="95">
        <v>67</v>
      </c>
      <c r="E282" s="94" t="s">
        <v>444</v>
      </c>
      <c r="F282" s="189">
        <v>45250</v>
      </c>
      <c r="G282" s="204" t="s">
        <v>1272</v>
      </c>
      <c r="H282" s="191" t="s">
        <v>1111</v>
      </c>
      <c r="I282" s="248">
        <v>15</v>
      </c>
      <c r="J282" s="443">
        <v>20</v>
      </c>
      <c r="K282" s="685">
        <v>20</v>
      </c>
      <c r="L282" s="684">
        <v>20</v>
      </c>
      <c r="M282" s="687">
        <f t="shared" si="7"/>
        <v>0</v>
      </c>
      <c r="N282" s="210">
        <v>52.5</v>
      </c>
      <c r="O282" s="210">
        <v>65</v>
      </c>
      <c r="P282" s="697">
        <v>0</v>
      </c>
      <c r="Q282" s="697">
        <v>0</v>
      </c>
      <c r="R282" s="95" t="s">
        <v>944</v>
      </c>
      <c r="S282" s="179" t="s">
        <v>1123</v>
      </c>
      <c r="T282" s="241">
        <v>23.8</v>
      </c>
      <c r="U282" s="658">
        <v>0</v>
      </c>
      <c r="V282" s="67" t="s">
        <v>714</v>
      </c>
      <c r="W282" s="191" t="s">
        <v>714</v>
      </c>
      <c r="X282" s="245">
        <v>0</v>
      </c>
      <c r="Y282" s="233">
        <v>2</v>
      </c>
      <c r="Z282" s="225">
        <v>1</v>
      </c>
      <c r="AA282" s="221">
        <v>50.77</v>
      </c>
      <c r="AB282" s="246">
        <v>6</v>
      </c>
      <c r="AC282" s="233">
        <v>4</v>
      </c>
      <c r="AD282" s="19">
        <v>4</v>
      </c>
      <c r="AE282" s="225">
        <v>1</v>
      </c>
      <c r="AF282" s="254" t="s">
        <v>1482</v>
      </c>
    </row>
    <row r="283" spans="1:40" s="147" customFormat="1" ht="27.6" customHeight="1">
      <c r="A283" s="186" t="s">
        <v>986</v>
      </c>
      <c r="B283" s="94">
        <v>13</v>
      </c>
      <c r="C283" s="186" t="s">
        <v>987</v>
      </c>
      <c r="D283" s="95">
        <v>68</v>
      </c>
      <c r="E283" s="94" t="s">
        <v>445</v>
      </c>
      <c r="F283" s="189">
        <v>45250</v>
      </c>
      <c r="G283" s="204" t="s">
        <v>1272</v>
      </c>
      <c r="H283" s="191" t="s">
        <v>1111</v>
      </c>
      <c r="I283" s="248">
        <v>15</v>
      </c>
      <c r="J283" s="443">
        <v>20</v>
      </c>
      <c r="K283" s="685">
        <v>20</v>
      </c>
      <c r="L283" s="684">
        <v>20</v>
      </c>
      <c r="M283" s="687">
        <f t="shared" si="7"/>
        <v>0</v>
      </c>
      <c r="N283" s="210">
        <v>52.5</v>
      </c>
      <c r="O283" s="210">
        <v>52.5</v>
      </c>
      <c r="P283" s="697">
        <v>0</v>
      </c>
      <c r="Q283" s="697">
        <v>0</v>
      </c>
      <c r="R283" s="95" t="s">
        <v>944</v>
      </c>
      <c r="S283" s="179" t="s">
        <v>1450</v>
      </c>
      <c r="T283" s="241">
        <v>11.5</v>
      </c>
      <c r="U283" s="658">
        <v>0</v>
      </c>
      <c r="V283" s="67" t="s">
        <v>714</v>
      </c>
      <c r="W283" s="191" t="s">
        <v>714</v>
      </c>
      <c r="X283" s="245">
        <v>0</v>
      </c>
      <c r="Y283" s="233">
        <v>2</v>
      </c>
      <c r="Z283" s="225">
        <v>1</v>
      </c>
      <c r="AA283" s="221">
        <v>16.07</v>
      </c>
      <c r="AB283" s="246" t="s">
        <v>973</v>
      </c>
      <c r="AC283" s="233">
        <v>0</v>
      </c>
      <c r="AD283" s="19">
        <v>0</v>
      </c>
      <c r="AE283" s="225">
        <v>0</v>
      </c>
      <c r="AF283" s="254" t="s">
        <v>1482</v>
      </c>
    </row>
    <row r="284" spans="1:40" ht="27.6" customHeight="1">
      <c r="A284" s="186" t="s">
        <v>986</v>
      </c>
      <c r="B284" s="94">
        <v>13</v>
      </c>
      <c r="C284" s="186" t="s">
        <v>987</v>
      </c>
      <c r="D284" s="95">
        <v>71</v>
      </c>
      <c r="E284" s="94" t="s">
        <v>446</v>
      </c>
      <c r="F284" s="189">
        <v>45235</v>
      </c>
      <c r="G284" s="204" t="s">
        <v>1272</v>
      </c>
      <c r="H284" s="191" t="s">
        <v>1111</v>
      </c>
      <c r="I284" s="248">
        <v>15</v>
      </c>
      <c r="J284" s="443">
        <v>60</v>
      </c>
      <c r="K284" s="685">
        <v>60</v>
      </c>
      <c r="L284" s="684">
        <v>70</v>
      </c>
      <c r="M284" s="687">
        <f t="shared" si="7"/>
        <v>-10</v>
      </c>
      <c r="N284" s="210">
        <v>20</v>
      </c>
      <c r="O284" s="210">
        <v>17.5</v>
      </c>
      <c r="P284" s="697">
        <v>0</v>
      </c>
      <c r="Q284" s="697">
        <v>0</v>
      </c>
      <c r="R284" s="95" t="s">
        <v>944</v>
      </c>
      <c r="S284" s="179" t="s">
        <v>1451</v>
      </c>
      <c r="T284" s="241">
        <v>87</v>
      </c>
      <c r="U284" s="658">
        <v>0</v>
      </c>
      <c r="V284" s="67" t="s">
        <v>714</v>
      </c>
      <c r="W284" s="191" t="s">
        <v>714</v>
      </c>
      <c r="X284" s="245">
        <v>0</v>
      </c>
      <c r="Y284" s="233">
        <v>2</v>
      </c>
      <c r="Z284" s="225">
        <v>1</v>
      </c>
      <c r="AA284" s="221"/>
      <c r="AB284" s="246"/>
      <c r="AC284" s="233">
        <v>2</v>
      </c>
      <c r="AD284" s="19">
        <v>0</v>
      </c>
      <c r="AE284" s="225">
        <v>14</v>
      </c>
      <c r="AF284" s="254" t="s">
        <v>1482</v>
      </c>
      <c r="AG284" s="147"/>
      <c r="AH284" s="147"/>
      <c r="AI284" s="147"/>
      <c r="AJ284" s="147"/>
      <c r="AK284" s="147"/>
      <c r="AL284" s="147"/>
      <c r="AM284" s="147"/>
      <c r="AN284" s="147"/>
    </row>
    <row r="285" spans="1:40" s="147" customFormat="1" ht="27.6" customHeight="1">
      <c r="A285" s="186" t="s">
        <v>986</v>
      </c>
      <c r="B285" s="94">
        <v>13</v>
      </c>
      <c r="C285" s="186" t="s">
        <v>987</v>
      </c>
      <c r="D285" s="95">
        <v>72</v>
      </c>
      <c r="E285" s="94" t="s">
        <v>447</v>
      </c>
      <c r="F285" s="189">
        <v>45235</v>
      </c>
      <c r="G285" s="204" t="s">
        <v>1272</v>
      </c>
      <c r="H285" s="191" t="s">
        <v>1111</v>
      </c>
      <c r="I285" s="248">
        <v>15</v>
      </c>
      <c r="J285" s="443">
        <v>30</v>
      </c>
      <c r="K285" s="685">
        <v>30</v>
      </c>
      <c r="L285" s="684">
        <v>40</v>
      </c>
      <c r="M285" s="687">
        <f t="shared" si="7"/>
        <v>-10</v>
      </c>
      <c r="N285" s="210">
        <v>22.5</v>
      </c>
      <c r="O285" s="210">
        <v>15</v>
      </c>
      <c r="P285" s="697">
        <v>0</v>
      </c>
      <c r="Q285" s="697">
        <v>0</v>
      </c>
      <c r="R285" s="95" t="s">
        <v>944</v>
      </c>
      <c r="S285" s="179" t="s">
        <v>1452</v>
      </c>
      <c r="T285" s="241">
        <v>71.5</v>
      </c>
      <c r="U285" s="658">
        <v>0</v>
      </c>
      <c r="V285" s="67" t="s">
        <v>714</v>
      </c>
      <c r="W285" s="191" t="s">
        <v>714</v>
      </c>
      <c r="X285" s="245">
        <v>0</v>
      </c>
      <c r="Y285" s="233">
        <v>2</v>
      </c>
      <c r="Z285" s="225">
        <v>1</v>
      </c>
      <c r="AA285" s="221"/>
      <c r="AB285" s="246"/>
      <c r="AC285" s="233">
        <v>1</v>
      </c>
      <c r="AD285" s="19">
        <v>0</v>
      </c>
      <c r="AE285" s="225">
        <v>29</v>
      </c>
      <c r="AF285" s="254" t="s">
        <v>1482</v>
      </c>
      <c r="AG285" s="150"/>
      <c r="AH285" s="150"/>
      <c r="AI285" s="150"/>
      <c r="AJ285" s="150"/>
      <c r="AK285" s="150"/>
      <c r="AL285" s="150"/>
      <c r="AM285" s="150"/>
      <c r="AN285" s="150"/>
    </row>
    <row r="286" spans="1:40" s="147" customFormat="1" ht="27.6" customHeight="1">
      <c r="A286" s="186" t="s">
        <v>986</v>
      </c>
      <c r="B286" s="94">
        <v>13</v>
      </c>
      <c r="C286" s="186" t="s">
        <v>987</v>
      </c>
      <c r="D286" s="95">
        <v>73</v>
      </c>
      <c r="E286" s="94" t="s">
        <v>448</v>
      </c>
      <c r="F286" s="189">
        <v>45234</v>
      </c>
      <c r="G286" s="204" t="s">
        <v>1272</v>
      </c>
      <c r="H286" s="191" t="s">
        <v>1111</v>
      </c>
      <c r="I286" s="248">
        <v>15</v>
      </c>
      <c r="J286" s="443">
        <v>40</v>
      </c>
      <c r="K286" s="685">
        <v>40</v>
      </c>
      <c r="L286" s="684">
        <v>40</v>
      </c>
      <c r="M286" s="687">
        <f t="shared" si="7"/>
        <v>0</v>
      </c>
      <c r="N286" s="210">
        <v>15</v>
      </c>
      <c r="O286" s="210">
        <v>12.5</v>
      </c>
      <c r="P286" s="697">
        <v>0</v>
      </c>
      <c r="Q286" s="697">
        <v>0</v>
      </c>
      <c r="R286" s="158" t="s">
        <v>1662</v>
      </c>
      <c r="S286" s="179" t="s">
        <v>1453</v>
      </c>
      <c r="T286" s="241">
        <v>79</v>
      </c>
      <c r="U286" s="658">
        <v>0</v>
      </c>
      <c r="V286" s="16" t="s">
        <v>714</v>
      </c>
      <c r="W286" s="191" t="s">
        <v>714</v>
      </c>
      <c r="X286" s="245">
        <v>0</v>
      </c>
      <c r="Y286" s="233">
        <v>2</v>
      </c>
      <c r="Z286" s="225">
        <v>1</v>
      </c>
      <c r="AA286" s="221"/>
      <c r="AB286" s="246"/>
      <c r="AC286" s="233">
        <v>0</v>
      </c>
      <c r="AD286" s="19">
        <v>0</v>
      </c>
      <c r="AE286" s="225">
        <v>2</v>
      </c>
      <c r="AF286" s="254" t="s">
        <v>1482</v>
      </c>
    </row>
    <row r="287" spans="1:40" s="147" customFormat="1" ht="27.6" customHeight="1">
      <c r="A287" s="186" t="s">
        <v>986</v>
      </c>
      <c r="B287" s="94">
        <v>13</v>
      </c>
      <c r="C287" s="186" t="s">
        <v>987</v>
      </c>
      <c r="D287" s="95">
        <v>74</v>
      </c>
      <c r="E287" s="94" t="s">
        <v>449</v>
      </c>
      <c r="F287" s="189">
        <v>45235</v>
      </c>
      <c r="G287" s="204" t="s">
        <v>1272</v>
      </c>
      <c r="H287" s="191" t="s">
        <v>1111</v>
      </c>
      <c r="I287" s="248">
        <v>15</v>
      </c>
      <c r="J287" s="443">
        <v>40</v>
      </c>
      <c r="K287" s="685">
        <v>40</v>
      </c>
      <c r="L287" s="684">
        <v>30</v>
      </c>
      <c r="M287" s="687">
        <f t="shared" si="7"/>
        <v>10</v>
      </c>
      <c r="N287" s="210">
        <v>22.5</v>
      </c>
      <c r="O287" s="210">
        <v>15</v>
      </c>
      <c r="P287" s="697">
        <v>0</v>
      </c>
      <c r="Q287" s="697">
        <v>0</v>
      </c>
      <c r="R287" s="158" t="s">
        <v>1662</v>
      </c>
      <c r="S287" s="179" t="s">
        <v>1454</v>
      </c>
      <c r="T287" s="241">
        <v>50.5</v>
      </c>
      <c r="U287" s="658">
        <v>0</v>
      </c>
      <c r="V287" s="67" t="s">
        <v>714</v>
      </c>
      <c r="W287" s="191" t="s">
        <v>714</v>
      </c>
      <c r="X287" s="245">
        <v>0</v>
      </c>
      <c r="Y287" s="233">
        <v>2</v>
      </c>
      <c r="Z287" s="225">
        <v>1</v>
      </c>
      <c r="AA287" s="221"/>
      <c r="AB287" s="246"/>
      <c r="AC287" s="233">
        <v>0</v>
      </c>
      <c r="AD287" s="19">
        <v>0</v>
      </c>
      <c r="AE287" s="225">
        <v>8</v>
      </c>
      <c r="AF287" s="254" t="s">
        <v>1482</v>
      </c>
    </row>
    <row r="288" spans="1:40" ht="27.6" customHeight="1">
      <c r="A288" s="186" t="s">
        <v>986</v>
      </c>
      <c r="B288" s="94">
        <v>13</v>
      </c>
      <c r="C288" s="186" t="s">
        <v>987</v>
      </c>
      <c r="D288" s="95">
        <v>75</v>
      </c>
      <c r="E288" s="94" t="s">
        <v>450</v>
      </c>
      <c r="F288" s="189">
        <v>45235</v>
      </c>
      <c r="G288" s="204" t="s">
        <v>1272</v>
      </c>
      <c r="H288" s="191" t="s">
        <v>1111</v>
      </c>
      <c r="I288" s="248">
        <v>15</v>
      </c>
      <c r="J288" s="443">
        <v>40</v>
      </c>
      <c r="K288" s="685">
        <v>40</v>
      </c>
      <c r="L288" s="684">
        <v>40</v>
      </c>
      <c r="M288" s="687">
        <f t="shared" si="7"/>
        <v>0</v>
      </c>
      <c r="N288" s="210">
        <v>12.5</v>
      </c>
      <c r="O288" s="210">
        <v>15</v>
      </c>
      <c r="P288" s="697">
        <v>0</v>
      </c>
      <c r="Q288" s="697">
        <v>0</v>
      </c>
      <c r="R288" s="95" t="s">
        <v>944</v>
      </c>
      <c r="S288" s="179" t="s">
        <v>1455</v>
      </c>
      <c r="T288" s="241">
        <v>69</v>
      </c>
      <c r="U288" s="658">
        <v>0</v>
      </c>
      <c r="V288" s="67" t="s">
        <v>714</v>
      </c>
      <c r="W288" s="191" t="s">
        <v>714</v>
      </c>
      <c r="X288" s="245">
        <v>0</v>
      </c>
      <c r="Y288" s="233">
        <v>2</v>
      </c>
      <c r="Z288" s="225">
        <v>1</v>
      </c>
      <c r="AA288" s="221"/>
      <c r="AB288" s="246"/>
      <c r="AC288" s="233">
        <v>7</v>
      </c>
      <c r="AD288" s="19">
        <v>0</v>
      </c>
      <c r="AE288" s="225">
        <v>15</v>
      </c>
      <c r="AF288" s="254" t="s">
        <v>1482</v>
      </c>
      <c r="AG288" s="147"/>
      <c r="AH288" s="147"/>
      <c r="AI288" s="147"/>
      <c r="AJ288" s="147"/>
      <c r="AK288" s="147"/>
      <c r="AL288" s="147"/>
      <c r="AM288" s="147"/>
      <c r="AN288" s="147"/>
    </row>
    <row r="289" spans="1:40" ht="27.6" customHeight="1">
      <c r="A289" s="186" t="s">
        <v>986</v>
      </c>
      <c r="B289" s="94">
        <v>13</v>
      </c>
      <c r="C289" s="186" t="s">
        <v>987</v>
      </c>
      <c r="D289" s="95">
        <v>110</v>
      </c>
      <c r="E289" s="94" t="s">
        <v>451</v>
      </c>
      <c r="F289" s="189">
        <v>45244</v>
      </c>
      <c r="G289" s="204" t="s">
        <v>1272</v>
      </c>
      <c r="H289" s="191" t="s">
        <v>1111</v>
      </c>
      <c r="I289" s="248">
        <v>15</v>
      </c>
      <c r="J289" s="405" t="s">
        <v>948</v>
      </c>
      <c r="K289" s="621">
        <v>2.5</v>
      </c>
      <c r="L289" s="684">
        <v>10</v>
      </c>
      <c r="M289" s="617">
        <f t="shared" si="7"/>
        <v>-7.5</v>
      </c>
      <c r="N289" s="210">
        <v>32.5</v>
      </c>
      <c r="O289" s="210">
        <v>42.5</v>
      </c>
      <c r="P289" s="697">
        <v>0</v>
      </c>
      <c r="Q289" s="179">
        <v>0.5</v>
      </c>
      <c r="R289" s="95" t="s">
        <v>944</v>
      </c>
      <c r="S289" s="179" t="s">
        <v>1129</v>
      </c>
      <c r="T289" s="241">
        <v>13.1</v>
      </c>
      <c r="U289" s="658">
        <v>0</v>
      </c>
      <c r="V289" s="67" t="s">
        <v>714</v>
      </c>
      <c r="W289" s="191" t="s">
        <v>714</v>
      </c>
      <c r="X289" s="245">
        <v>0</v>
      </c>
      <c r="Y289" s="233">
        <v>2</v>
      </c>
      <c r="Z289" s="225">
        <v>1</v>
      </c>
      <c r="AA289" s="221">
        <v>41.79</v>
      </c>
      <c r="AB289" s="246" t="s">
        <v>988</v>
      </c>
      <c r="AC289" s="233">
        <v>0</v>
      </c>
      <c r="AD289" s="19">
        <v>0</v>
      </c>
      <c r="AE289" s="225">
        <v>0</v>
      </c>
      <c r="AF289" s="254" t="s">
        <v>1506</v>
      </c>
      <c r="AG289" s="147"/>
      <c r="AH289" s="147"/>
      <c r="AI289" s="147"/>
      <c r="AJ289" s="147"/>
      <c r="AK289" s="147"/>
      <c r="AL289" s="147"/>
      <c r="AM289" s="147"/>
      <c r="AN289" s="147"/>
    </row>
    <row r="290" spans="1:40" s="147" customFormat="1" ht="27.6" customHeight="1">
      <c r="A290" s="186" t="s">
        <v>986</v>
      </c>
      <c r="B290" s="94">
        <v>13</v>
      </c>
      <c r="C290" s="186" t="s">
        <v>987</v>
      </c>
      <c r="D290" s="95">
        <v>112</v>
      </c>
      <c r="E290" s="94" t="s">
        <v>452</v>
      </c>
      <c r="F290" s="189">
        <v>45251</v>
      </c>
      <c r="G290" s="204" t="s">
        <v>1272</v>
      </c>
      <c r="H290" s="191" t="s">
        <v>1111</v>
      </c>
      <c r="I290" s="248">
        <v>15</v>
      </c>
      <c r="J290" s="443">
        <v>30</v>
      </c>
      <c r="K290" s="685">
        <v>30</v>
      </c>
      <c r="L290" s="684">
        <v>30</v>
      </c>
      <c r="M290" s="687">
        <f t="shared" si="7"/>
        <v>0</v>
      </c>
      <c r="N290" s="210">
        <v>35.5</v>
      </c>
      <c r="O290" s="210">
        <v>37.5</v>
      </c>
      <c r="P290" s="179">
        <v>0.5</v>
      </c>
      <c r="Q290" s="697">
        <v>0</v>
      </c>
      <c r="R290" s="95" t="s">
        <v>1094</v>
      </c>
      <c r="S290" s="179" t="s">
        <v>1470</v>
      </c>
      <c r="T290" s="241">
        <v>38</v>
      </c>
      <c r="U290" s="658">
        <v>0</v>
      </c>
      <c r="V290" s="67" t="s">
        <v>714</v>
      </c>
      <c r="W290" s="191" t="s">
        <v>714</v>
      </c>
      <c r="X290" s="245">
        <v>0</v>
      </c>
      <c r="Y290" s="233">
        <v>2</v>
      </c>
      <c r="Z290" s="225">
        <v>1</v>
      </c>
      <c r="AA290" s="221">
        <v>77</v>
      </c>
      <c r="AB290" s="246">
        <v>6</v>
      </c>
      <c r="AC290" s="233">
        <v>5</v>
      </c>
      <c r="AD290" s="19">
        <v>2</v>
      </c>
      <c r="AE290" s="225">
        <v>10</v>
      </c>
      <c r="AF290" s="254" t="s">
        <v>1482</v>
      </c>
    </row>
    <row r="291" spans="1:40" s="147" customFormat="1" ht="27.6" customHeight="1" thickBot="1">
      <c r="A291" s="264" t="s">
        <v>986</v>
      </c>
      <c r="B291" s="102">
        <v>13</v>
      </c>
      <c r="C291" s="264" t="s">
        <v>987</v>
      </c>
      <c r="D291" s="103">
        <v>116</v>
      </c>
      <c r="E291" s="102" t="s">
        <v>1588</v>
      </c>
      <c r="F291" s="278">
        <v>45234</v>
      </c>
      <c r="G291" s="326" t="s">
        <v>1272</v>
      </c>
      <c r="H291" s="360" t="s">
        <v>1111</v>
      </c>
      <c r="I291" s="296">
        <v>15</v>
      </c>
      <c r="J291" s="693">
        <v>40</v>
      </c>
      <c r="K291" s="720">
        <v>40</v>
      </c>
      <c r="L291" s="686">
        <v>30</v>
      </c>
      <c r="M291" s="686">
        <f t="shared" si="7"/>
        <v>10</v>
      </c>
      <c r="N291" s="370">
        <v>17.5</v>
      </c>
      <c r="O291" s="370">
        <v>12.5</v>
      </c>
      <c r="P291" s="728">
        <v>0</v>
      </c>
      <c r="Q291" s="728">
        <v>0</v>
      </c>
      <c r="R291" s="103" t="s">
        <v>944</v>
      </c>
      <c r="S291" s="281" t="s">
        <v>1473</v>
      </c>
      <c r="T291" s="282">
        <v>85</v>
      </c>
      <c r="U291" s="659">
        <v>0</v>
      </c>
      <c r="V291" s="375" t="s">
        <v>714</v>
      </c>
      <c r="W291" s="360" t="s">
        <v>714</v>
      </c>
      <c r="X291" s="674">
        <v>0</v>
      </c>
      <c r="Y291" s="285">
        <v>2</v>
      </c>
      <c r="Z291" s="286">
        <v>1</v>
      </c>
      <c r="AA291" s="283"/>
      <c r="AB291" s="284"/>
      <c r="AC291" s="285">
        <v>1</v>
      </c>
      <c r="AD291" s="84">
        <v>0</v>
      </c>
      <c r="AE291" s="286">
        <v>23</v>
      </c>
      <c r="AF291" s="297" t="s">
        <v>1482</v>
      </c>
    </row>
    <row r="292" spans="1:40" s="147" customFormat="1" ht="27.6" customHeight="1" thickTop="1">
      <c r="A292" s="256" t="s">
        <v>989</v>
      </c>
      <c r="B292" s="92">
        <v>14</v>
      </c>
      <c r="C292" s="256" t="s">
        <v>990</v>
      </c>
      <c r="D292" s="93">
        <v>46</v>
      </c>
      <c r="E292" s="92" t="s">
        <v>453</v>
      </c>
      <c r="F292" s="258">
        <v>45252</v>
      </c>
      <c r="G292" s="259" t="s">
        <v>1272</v>
      </c>
      <c r="H292" s="361" t="s">
        <v>1111</v>
      </c>
      <c r="I292" s="262">
        <v>15</v>
      </c>
      <c r="J292" s="691" t="s">
        <v>1155</v>
      </c>
      <c r="K292" s="717">
        <v>10</v>
      </c>
      <c r="L292" s="683">
        <v>10</v>
      </c>
      <c r="M292" s="687">
        <f t="shared" si="7"/>
        <v>0</v>
      </c>
      <c r="N292" s="367">
        <v>37.5</v>
      </c>
      <c r="O292" s="367">
        <v>40</v>
      </c>
      <c r="P292" s="727">
        <v>0</v>
      </c>
      <c r="Q292" s="727">
        <v>0</v>
      </c>
      <c r="R292" s="93" t="s">
        <v>944</v>
      </c>
      <c r="S292" s="269" t="s">
        <v>1438</v>
      </c>
      <c r="T292" s="270">
        <v>40.5</v>
      </c>
      <c r="U292" s="657">
        <v>1</v>
      </c>
      <c r="V292" s="374" t="s">
        <v>949</v>
      </c>
      <c r="W292" s="361" t="s">
        <v>949</v>
      </c>
      <c r="X292" s="673">
        <v>1</v>
      </c>
      <c r="Y292" s="261">
        <v>2</v>
      </c>
      <c r="Z292" s="260">
        <v>1</v>
      </c>
      <c r="AA292" s="271">
        <v>31.74</v>
      </c>
      <c r="AB292" s="272" t="s">
        <v>988</v>
      </c>
      <c r="AC292" s="261">
        <v>0</v>
      </c>
      <c r="AD292" s="49">
        <v>0</v>
      </c>
      <c r="AE292" s="260">
        <v>11</v>
      </c>
      <c r="AF292" s="301" t="s">
        <v>1482</v>
      </c>
    </row>
    <row r="293" spans="1:40" s="147" customFormat="1" ht="27.6" customHeight="1">
      <c r="A293" s="186" t="s">
        <v>989</v>
      </c>
      <c r="B293" s="94">
        <v>14</v>
      </c>
      <c r="C293" s="186" t="s">
        <v>990</v>
      </c>
      <c r="D293" s="95">
        <v>47</v>
      </c>
      <c r="E293" s="94" t="s">
        <v>454</v>
      </c>
      <c r="F293" s="189">
        <v>45250</v>
      </c>
      <c r="G293" s="204" t="s">
        <v>1272</v>
      </c>
      <c r="H293" s="191" t="s">
        <v>1111</v>
      </c>
      <c r="I293" s="248">
        <v>15</v>
      </c>
      <c r="J293" s="405" t="s">
        <v>948</v>
      </c>
      <c r="K293" s="621">
        <v>2.5</v>
      </c>
      <c r="L293" s="620">
        <v>2.5</v>
      </c>
      <c r="M293" s="687">
        <f t="shared" si="7"/>
        <v>0</v>
      </c>
      <c r="N293" s="210">
        <v>42.5</v>
      </c>
      <c r="O293" s="210">
        <v>32.5</v>
      </c>
      <c r="P293" s="697">
        <v>0</v>
      </c>
      <c r="Q293" s="697">
        <v>0</v>
      </c>
      <c r="R293" s="95" t="s">
        <v>1094</v>
      </c>
      <c r="S293" s="179" t="s">
        <v>1439</v>
      </c>
      <c r="T293" s="241">
        <v>14</v>
      </c>
      <c r="U293" s="658">
        <v>0</v>
      </c>
      <c r="V293" s="16" t="s">
        <v>714</v>
      </c>
      <c r="W293" s="191" t="s">
        <v>714</v>
      </c>
      <c r="X293" s="245">
        <v>0</v>
      </c>
      <c r="Y293" s="233">
        <v>2</v>
      </c>
      <c r="Z293" s="225">
        <v>1</v>
      </c>
      <c r="AA293" s="221">
        <v>28.56</v>
      </c>
      <c r="AB293" s="246" t="s">
        <v>973</v>
      </c>
      <c r="AC293" s="233">
        <v>1</v>
      </c>
      <c r="AD293" s="19">
        <v>0</v>
      </c>
      <c r="AE293" s="225">
        <v>2</v>
      </c>
      <c r="AF293" s="254" t="s">
        <v>1506</v>
      </c>
    </row>
    <row r="294" spans="1:40" s="147" customFormat="1" ht="27.6" customHeight="1">
      <c r="A294" s="186" t="s">
        <v>989</v>
      </c>
      <c r="B294" s="94">
        <v>14</v>
      </c>
      <c r="C294" s="186" t="s">
        <v>990</v>
      </c>
      <c r="D294" s="95">
        <v>54</v>
      </c>
      <c r="E294" s="94" t="s">
        <v>455</v>
      </c>
      <c r="F294" s="189">
        <v>45241</v>
      </c>
      <c r="G294" s="204" t="s">
        <v>1272</v>
      </c>
      <c r="H294" s="191" t="s">
        <v>1111</v>
      </c>
      <c r="I294" s="248">
        <v>15</v>
      </c>
      <c r="J294" s="443" t="s">
        <v>1155</v>
      </c>
      <c r="K294" s="685">
        <v>10</v>
      </c>
      <c r="L294" s="684">
        <v>10</v>
      </c>
      <c r="M294" s="687">
        <f t="shared" si="7"/>
        <v>0</v>
      </c>
      <c r="N294" s="210">
        <v>67.5</v>
      </c>
      <c r="O294" s="210">
        <v>72.5</v>
      </c>
      <c r="P294" s="697">
        <v>0</v>
      </c>
      <c r="Q294" s="697">
        <v>0</v>
      </c>
      <c r="R294" s="95" t="s">
        <v>944</v>
      </c>
      <c r="S294" s="179" t="s">
        <v>1445</v>
      </c>
      <c r="T294" s="241">
        <v>19.399999999999999</v>
      </c>
      <c r="U294" s="658">
        <v>0</v>
      </c>
      <c r="V294" s="67" t="s">
        <v>714</v>
      </c>
      <c r="W294" s="191" t="s">
        <v>714</v>
      </c>
      <c r="X294" s="245">
        <v>0</v>
      </c>
      <c r="Y294" s="233">
        <v>2</v>
      </c>
      <c r="Z294" s="225">
        <v>1</v>
      </c>
      <c r="AA294" s="221">
        <v>6.71</v>
      </c>
      <c r="AB294" s="246">
        <v>4</v>
      </c>
      <c r="AC294" s="233">
        <v>0</v>
      </c>
      <c r="AD294" s="19">
        <v>4</v>
      </c>
      <c r="AE294" s="225">
        <v>0</v>
      </c>
      <c r="AF294" s="254" t="s">
        <v>1506</v>
      </c>
    </row>
    <row r="295" spans="1:40" ht="27.6" customHeight="1">
      <c r="A295" s="186" t="s">
        <v>989</v>
      </c>
      <c r="B295" s="94">
        <v>14</v>
      </c>
      <c r="C295" s="186" t="s">
        <v>990</v>
      </c>
      <c r="D295" s="95">
        <v>76</v>
      </c>
      <c r="E295" s="94" t="s">
        <v>456</v>
      </c>
      <c r="F295" s="189">
        <v>45241</v>
      </c>
      <c r="G295" s="204" t="s">
        <v>1272</v>
      </c>
      <c r="H295" s="191" t="s">
        <v>1111</v>
      </c>
      <c r="I295" s="248">
        <v>15</v>
      </c>
      <c r="J295" s="443">
        <v>10</v>
      </c>
      <c r="K295" s="685">
        <v>10</v>
      </c>
      <c r="L295" s="684">
        <v>10</v>
      </c>
      <c r="M295" s="687">
        <f t="shared" ref="M295:M312" si="8">K295-L295</f>
        <v>0</v>
      </c>
      <c r="N295" s="210">
        <v>55</v>
      </c>
      <c r="O295" s="210">
        <v>42.5</v>
      </c>
      <c r="P295" s="697">
        <v>0</v>
      </c>
      <c r="Q295" s="697">
        <v>0</v>
      </c>
      <c r="R295" s="95" t="s">
        <v>1094</v>
      </c>
      <c r="S295" s="179" t="s">
        <v>1137</v>
      </c>
      <c r="T295" s="241">
        <v>13</v>
      </c>
      <c r="U295" s="658">
        <v>0</v>
      </c>
      <c r="V295" s="67" t="s">
        <v>714</v>
      </c>
      <c r="W295" s="191" t="s">
        <v>714</v>
      </c>
      <c r="X295" s="245">
        <v>0</v>
      </c>
      <c r="Y295" s="233">
        <v>2</v>
      </c>
      <c r="Z295" s="225">
        <v>1</v>
      </c>
      <c r="AA295" s="221">
        <v>7.46</v>
      </c>
      <c r="AB295" s="246">
        <v>4</v>
      </c>
      <c r="AC295" s="233">
        <v>0</v>
      </c>
      <c r="AD295" s="19">
        <v>0</v>
      </c>
      <c r="AE295" s="225">
        <v>0</v>
      </c>
      <c r="AF295" s="254" t="s">
        <v>1506</v>
      </c>
    </row>
    <row r="296" spans="1:40" s="147" customFormat="1" ht="27.6" customHeight="1">
      <c r="A296" s="186" t="s">
        <v>989</v>
      </c>
      <c r="B296" s="94">
        <v>14</v>
      </c>
      <c r="C296" s="186" t="s">
        <v>990</v>
      </c>
      <c r="D296" s="95">
        <v>77</v>
      </c>
      <c r="E296" s="94" t="s">
        <v>457</v>
      </c>
      <c r="F296" s="189">
        <v>45242</v>
      </c>
      <c r="G296" s="204" t="s">
        <v>1272</v>
      </c>
      <c r="H296" s="191" t="s">
        <v>1111</v>
      </c>
      <c r="I296" s="248">
        <v>15</v>
      </c>
      <c r="J296" s="443" t="s">
        <v>1155</v>
      </c>
      <c r="K296" s="685">
        <v>10</v>
      </c>
      <c r="L296" s="684">
        <v>10</v>
      </c>
      <c r="M296" s="687">
        <f t="shared" si="8"/>
        <v>0</v>
      </c>
      <c r="N296" s="210">
        <v>77.5</v>
      </c>
      <c r="O296" s="210">
        <v>65</v>
      </c>
      <c r="P296" s="697">
        <v>0</v>
      </c>
      <c r="Q296" s="697">
        <v>0</v>
      </c>
      <c r="R296" s="95" t="s">
        <v>944</v>
      </c>
      <c r="S296" s="179" t="s">
        <v>1142</v>
      </c>
      <c r="T296" s="241">
        <v>11.9</v>
      </c>
      <c r="U296" s="658">
        <v>0</v>
      </c>
      <c r="V296" s="67" t="s">
        <v>714</v>
      </c>
      <c r="W296" s="191" t="s">
        <v>714</v>
      </c>
      <c r="X296" s="245">
        <v>0</v>
      </c>
      <c r="Y296" s="233">
        <v>2</v>
      </c>
      <c r="Z296" s="225">
        <v>1</v>
      </c>
      <c r="AA296" s="221">
        <v>10.76</v>
      </c>
      <c r="AB296" s="246" t="s">
        <v>973</v>
      </c>
      <c r="AC296" s="233">
        <v>0</v>
      </c>
      <c r="AD296" s="19">
        <v>0</v>
      </c>
      <c r="AE296" s="225">
        <v>0</v>
      </c>
      <c r="AF296" s="254" t="s">
        <v>1482</v>
      </c>
    </row>
    <row r="297" spans="1:40" s="147" customFormat="1" ht="27.6" customHeight="1">
      <c r="A297" s="186" t="s">
        <v>989</v>
      </c>
      <c r="B297" s="94">
        <v>14</v>
      </c>
      <c r="C297" s="186" t="s">
        <v>990</v>
      </c>
      <c r="D297" s="95">
        <v>78</v>
      </c>
      <c r="E297" s="94" t="s">
        <v>458</v>
      </c>
      <c r="F297" s="189">
        <v>45236</v>
      </c>
      <c r="G297" s="204" t="s">
        <v>1272</v>
      </c>
      <c r="H297" s="191" t="s">
        <v>1111</v>
      </c>
      <c r="I297" s="248">
        <v>15</v>
      </c>
      <c r="J297" s="446" t="s">
        <v>948</v>
      </c>
      <c r="K297" s="621">
        <v>2.5</v>
      </c>
      <c r="L297" s="625">
        <v>2.5</v>
      </c>
      <c r="M297" s="687">
        <f t="shared" si="8"/>
        <v>0</v>
      </c>
      <c r="N297" s="210">
        <v>37.5</v>
      </c>
      <c r="O297" s="210">
        <v>22.5</v>
      </c>
      <c r="P297" s="697">
        <v>0</v>
      </c>
      <c r="Q297" s="697">
        <v>0</v>
      </c>
      <c r="R297" s="95" t="s">
        <v>944</v>
      </c>
      <c r="S297" s="179" t="s">
        <v>1456</v>
      </c>
      <c r="T297" s="241">
        <v>12</v>
      </c>
      <c r="U297" s="658">
        <v>0</v>
      </c>
      <c r="V297" s="67" t="s">
        <v>714</v>
      </c>
      <c r="W297" s="191" t="s">
        <v>714</v>
      </c>
      <c r="X297" s="245">
        <v>0</v>
      </c>
      <c r="Y297" s="233">
        <v>2</v>
      </c>
      <c r="Z297" s="225">
        <v>1</v>
      </c>
      <c r="AA297" s="221">
        <v>6.78</v>
      </c>
      <c r="AB297" s="246">
        <v>4</v>
      </c>
      <c r="AC297" s="233">
        <v>0</v>
      </c>
      <c r="AD297" s="19">
        <v>0</v>
      </c>
      <c r="AE297" s="225">
        <v>1</v>
      </c>
      <c r="AF297" s="254" t="s">
        <v>1482</v>
      </c>
    </row>
    <row r="298" spans="1:40" s="147" customFormat="1" ht="27.6" customHeight="1">
      <c r="A298" s="186" t="s">
        <v>989</v>
      </c>
      <c r="B298" s="94">
        <v>14</v>
      </c>
      <c r="C298" s="186" t="s">
        <v>990</v>
      </c>
      <c r="D298" s="95">
        <v>79</v>
      </c>
      <c r="E298" s="94" t="s">
        <v>459</v>
      </c>
      <c r="F298" s="189">
        <v>45236</v>
      </c>
      <c r="G298" s="204" t="s">
        <v>1272</v>
      </c>
      <c r="H298" s="191" t="s">
        <v>1111</v>
      </c>
      <c r="I298" s="248">
        <v>15</v>
      </c>
      <c r="J298" s="710" t="s">
        <v>1155</v>
      </c>
      <c r="K298" s="685">
        <v>10</v>
      </c>
      <c r="L298" s="625">
        <v>2.5</v>
      </c>
      <c r="M298" s="617">
        <f t="shared" si="8"/>
        <v>7.5</v>
      </c>
      <c r="N298" s="210">
        <v>30</v>
      </c>
      <c r="O298" s="210">
        <v>27.5</v>
      </c>
      <c r="P298" s="697">
        <v>0</v>
      </c>
      <c r="Q298" s="697">
        <v>0</v>
      </c>
      <c r="R298" s="95" t="s">
        <v>944</v>
      </c>
      <c r="S298" s="179" t="s">
        <v>1457</v>
      </c>
      <c r="T298" s="241">
        <v>23.9</v>
      </c>
      <c r="U298" s="658">
        <v>0</v>
      </c>
      <c r="V298" s="16" t="s">
        <v>714</v>
      </c>
      <c r="W298" s="191" t="s">
        <v>714</v>
      </c>
      <c r="X298" s="245">
        <v>0</v>
      </c>
      <c r="Y298" s="233">
        <v>2</v>
      </c>
      <c r="Z298" s="225">
        <v>1</v>
      </c>
      <c r="AA298" s="221"/>
      <c r="AB298" s="246"/>
      <c r="AC298" s="233">
        <v>2</v>
      </c>
      <c r="AD298" s="19">
        <v>0</v>
      </c>
      <c r="AE298" s="225">
        <v>2</v>
      </c>
      <c r="AF298" s="254" t="s">
        <v>1482</v>
      </c>
    </row>
    <row r="299" spans="1:40" s="147" customFormat="1" ht="27.6" customHeight="1">
      <c r="A299" s="186" t="s">
        <v>989</v>
      </c>
      <c r="B299" s="94">
        <v>14</v>
      </c>
      <c r="C299" s="186" t="s">
        <v>990</v>
      </c>
      <c r="D299" s="95">
        <v>80</v>
      </c>
      <c r="E299" s="94" t="s">
        <v>460</v>
      </c>
      <c r="F299" s="189">
        <v>45242</v>
      </c>
      <c r="G299" s="204" t="s">
        <v>1272</v>
      </c>
      <c r="H299" s="191" t="s">
        <v>1111</v>
      </c>
      <c r="I299" s="248">
        <v>15</v>
      </c>
      <c r="J299" s="443">
        <v>20</v>
      </c>
      <c r="K299" s="685">
        <v>20</v>
      </c>
      <c r="L299" s="684">
        <v>10</v>
      </c>
      <c r="M299" s="687">
        <f t="shared" si="8"/>
        <v>10</v>
      </c>
      <c r="N299" s="210">
        <v>50</v>
      </c>
      <c r="O299" s="210">
        <v>42.5</v>
      </c>
      <c r="P299" s="697">
        <v>0</v>
      </c>
      <c r="Q299" s="697">
        <v>0</v>
      </c>
      <c r="R299" s="95" t="s">
        <v>1089</v>
      </c>
      <c r="S299" s="179" t="s">
        <v>1126</v>
      </c>
      <c r="T299" s="241">
        <v>34.4</v>
      </c>
      <c r="U299" s="658">
        <v>0</v>
      </c>
      <c r="V299" s="67" t="s">
        <v>714</v>
      </c>
      <c r="W299" s="191" t="s">
        <v>714</v>
      </c>
      <c r="X299" s="245">
        <v>0</v>
      </c>
      <c r="Y299" s="233">
        <v>2</v>
      </c>
      <c r="Z299" s="225">
        <v>1</v>
      </c>
      <c r="AA299" s="221">
        <v>20.100000000000001</v>
      </c>
      <c r="AB299" s="246" t="s">
        <v>973</v>
      </c>
      <c r="AC299" s="233">
        <v>2</v>
      </c>
      <c r="AD299" s="19">
        <v>0</v>
      </c>
      <c r="AE299" s="225">
        <v>1</v>
      </c>
      <c r="AF299" s="254" t="s">
        <v>1482</v>
      </c>
      <c r="AG299" s="150"/>
      <c r="AH299" s="150"/>
      <c r="AI299" s="150"/>
      <c r="AJ299" s="150"/>
      <c r="AK299" s="150"/>
      <c r="AL299" s="150"/>
      <c r="AM299" s="150"/>
      <c r="AN299" s="150"/>
    </row>
    <row r="300" spans="1:40" ht="27.6" customHeight="1">
      <c r="A300" s="186" t="s">
        <v>989</v>
      </c>
      <c r="B300" s="94">
        <v>14</v>
      </c>
      <c r="C300" s="186" t="s">
        <v>990</v>
      </c>
      <c r="D300" s="95">
        <v>81</v>
      </c>
      <c r="E300" s="94" t="s">
        <v>461</v>
      </c>
      <c r="F300" s="189">
        <v>45242</v>
      </c>
      <c r="G300" s="204" t="s">
        <v>1272</v>
      </c>
      <c r="H300" s="191" t="s">
        <v>1111</v>
      </c>
      <c r="I300" s="248">
        <v>15</v>
      </c>
      <c r="J300" s="446" t="s">
        <v>948</v>
      </c>
      <c r="K300" s="621">
        <v>2.5</v>
      </c>
      <c r="L300" s="625">
        <v>2.5</v>
      </c>
      <c r="M300" s="687">
        <f t="shared" si="8"/>
        <v>0</v>
      </c>
      <c r="N300" s="210">
        <v>52.5</v>
      </c>
      <c r="O300" s="210">
        <v>67.5</v>
      </c>
      <c r="P300" s="697">
        <v>0</v>
      </c>
      <c r="Q300" s="697">
        <v>0</v>
      </c>
      <c r="R300" s="95" t="s">
        <v>944</v>
      </c>
      <c r="S300" s="179" t="s">
        <v>1128</v>
      </c>
      <c r="T300" s="241">
        <v>7.5</v>
      </c>
      <c r="U300" s="658">
        <v>0</v>
      </c>
      <c r="V300" s="67" t="s">
        <v>714</v>
      </c>
      <c r="W300" s="191" t="s">
        <v>714</v>
      </c>
      <c r="X300" s="245">
        <v>0</v>
      </c>
      <c r="Y300" s="233">
        <v>2</v>
      </c>
      <c r="Z300" s="225">
        <v>1</v>
      </c>
      <c r="AA300" s="221">
        <v>17.649999999999999</v>
      </c>
      <c r="AB300" s="246" t="s">
        <v>973</v>
      </c>
      <c r="AC300" s="233">
        <v>0</v>
      </c>
      <c r="AD300" s="19">
        <v>0</v>
      </c>
      <c r="AE300" s="225">
        <v>0</v>
      </c>
      <c r="AF300" s="254" t="s">
        <v>1482</v>
      </c>
    </row>
    <row r="301" spans="1:40" s="147" customFormat="1" ht="27.6" customHeight="1">
      <c r="A301" s="186" t="s">
        <v>989</v>
      </c>
      <c r="B301" s="94">
        <v>14</v>
      </c>
      <c r="C301" s="186" t="s">
        <v>990</v>
      </c>
      <c r="D301" s="95">
        <v>82</v>
      </c>
      <c r="E301" s="94" t="s">
        <v>462</v>
      </c>
      <c r="F301" s="189">
        <v>45242</v>
      </c>
      <c r="G301" s="204" t="s">
        <v>1272</v>
      </c>
      <c r="H301" s="191" t="s">
        <v>1111</v>
      </c>
      <c r="I301" s="248">
        <v>15</v>
      </c>
      <c r="J301" s="443">
        <v>30</v>
      </c>
      <c r="K301" s="685">
        <v>30</v>
      </c>
      <c r="L301" s="684">
        <v>10</v>
      </c>
      <c r="M301" s="687">
        <f t="shared" si="8"/>
        <v>20</v>
      </c>
      <c r="N301" s="210">
        <v>47.5</v>
      </c>
      <c r="O301" s="210">
        <v>47.5</v>
      </c>
      <c r="P301" s="697">
        <v>0</v>
      </c>
      <c r="Q301" s="179">
        <v>0.5</v>
      </c>
      <c r="R301" s="95" t="s">
        <v>944</v>
      </c>
      <c r="S301" s="179" t="s">
        <v>1138</v>
      </c>
      <c r="T301" s="241">
        <v>89.5</v>
      </c>
      <c r="U301" s="658">
        <v>0</v>
      </c>
      <c r="V301" s="67" t="s">
        <v>714</v>
      </c>
      <c r="W301" s="191" t="s">
        <v>714</v>
      </c>
      <c r="X301" s="245">
        <v>0</v>
      </c>
      <c r="Y301" s="233">
        <v>2</v>
      </c>
      <c r="Z301" s="225">
        <v>1</v>
      </c>
      <c r="AA301" s="221">
        <v>76.150000000000006</v>
      </c>
      <c r="AB301" s="246">
        <v>6</v>
      </c>
      <c r="AC301" s="233">
        <v>1</v>
      </c>
      <c r="AD301" s="19">
        <v>0</v>
      </c>
      <c r="AE301" s="225">
        <v>1</v>
      </c>
      <c r="AF301" s="254" t="s">
        <v>1482</v>
      </c>
      <c r="AG301" s="150"/>
      <c r="AH301" s="150"/>
      <c r="AI301" s="150"/>
      <c r="AJ301" s="150"/>
      <c r="AK301" s="150"/>
      <c r="AL301" s="150"/>
      <c r="AM301" s="150"/>
      <c r="AN301" s="150"/>
    </row>
    <row r="302" spans="1:40" s="147" customFormat="1" ht="27.6" customHeight="1">
      <c r="A302" s="186" t="s">
        <v>989</v>
      </c>
      <c r="B302" s="94">
        <v>14</v>
      </c>
      <c r="C302" s="186" t="s">
        <v>990</v>
      </c>
      <c r="D302" s="95">
        <v>83</v>
      </c>
      <c r="E302" s="94" t="s">
        <v>463</v>
      </c>
      <c r="F302" s="189">
        <v>45242</v>
      </c>
      <c r="G302" s="204" t="s">
        <v>1272</v>
      </c>
      <c r="H302" s="191" t="s">
        <v>1111</v>
      </c>
      <c r="I302" s="248">
        <v>15</v>
      </c>
      <c r="J302" s="710" t="s">
        <v>1155</v>
      </c>
      <c r="K302" s="685">
        <v>10</v>
      </c>
      <c r="L302" s="625">
        <v>2.5</v>
      </c>
      <c r="M302" s="617">
        <f t="shared" si="8"/>
        <v>7.5</v>
      </c>
      <c r="N302" s="210">
        <v>62.5</v>
      </c>
      <c r="O302" s="210">
        <v>56</v>
      </c>
      <c r="P302" s="179">
        <v>1</v>
      </c>
      <c r="Q302" s="179">
        <v>2.5</v>
      </c>
      <c r="R302" s="95" t="s">
        <v>944</v>
      </c>
      <c r="S302" s="179" t="s">
        <v>1447</v>
      </c>
      <c r="T302" s="241">
        <v>47</v>
      </c>
      <c r="U302" s="658">
        <v>0</v>
      </c>
      <c r="V302" s="16" t="s">
        <v>714</v>
      </c>
      <c r="W302" s="191" t="s">
        <v>714</v>
      </c>
      <c r="X302" s="245">
        <v>0</v>
      </c>
      <c r="Y302" s="233">
        <v>2</v>
      </c>
      <c r="Z302" s="225">
        <v>1</v>
      </c>
      <c r="AA302" s="221">
        <v>18.23</v>
      </c>
      <c r="AB302" s="246" t="s">
        <v>973</v>
      </c>
      <c r="AC302" s="233">
        <v>0</v>
      </c>
      <c r="AD302" s="19">
        <v>0</v>
      </c>
      <c r="AE302" s="225">
        <v>0</v>
      </c>
      <c r="AF302" s="254" t="s">
        <v>1482</v>
      </c>
      <c r="AG302" s="150"/>
      <c r="AH302" s="150"/>
      <c r="AI302" s="150"/>
      <c r="AJ302" s="150"/>
      <c r="AK302" s="150"/>
      <c r="AL302" s="150"/>
      <c r="AM302" s="150"/>
      <c r="AN302" s="150"/>
    </row>
    <row r="303" spans="1:40" s="147" customFormat="1" ht="27.6" customHeight="1">
      <c r="A303" s="186" t="s">
        <v>989</v>
      </c>
      <c r="B303" s="94">
        <v>14</v>
      </c>
      <c r="C303" s="186" t="s">
        <v>990</v>
      </c>
      <c r="D303" s="95">
        <v>84</v>
      </c>
      <c r="E303" s="94" t="s">
        <v>464</v>
      </c>
      <c r="F303" s="189">
        <v>45236</v>
      </c>
      <c r="G303" s="204" t="s">
        <v>1272</v>
      </c>
      <c r="H303" s="191" t="s">
        <v>1111</v>
      </c>
      <c r="I303" s="248">
        <v>15</v>
      </c>
      <c r="J303" s="443">
        <v>30</v>
      </c>
      <c r="K303" s="685">
        <v>30</v>
      </c>
      <c r="L303" s="684">
        <v>30</v>
      </c>
      <c r="M303" s="687">
        <f t="shared" si="8"/>
        <v>0</v>
      </c>
      <c r="N303" s="210">
        <v>35.5</v>
      </c>
      <c r="O303" s="210">
        <v>32.5</v>
      </c>
      <c r="P303" s="697">
        <v>0</v>
      </c>
      <c r="Q303" s="697">
        <v>0</v>
      </c>
      <c r="R303" s="95" t="s">
        <v>944</v>
      </c>
      <c r="S303" s="179" t="s">
        <v>1458</v>
      </c>
      <c r="T303" s="241">
        <v>42</v>
      </c>
      <c r="U303" s="658">
        <v>1</v>
      </c>
      <c r="V303" s="16" t="s">
        <v>955</v>
      </c>
      <c r="W303" s="191" t="s">
        <v>955</v>
      </c>
      <c r="X303" s="245">
        <v>1</v>
      </c>
      <c r="Y303" s="233">
        <v>2</v>
      </c>
      <c r="Z303" s="225">
        <v>1</v>
      </c>
      <c r="AA303" s="221"/>
      <c r="AB303" s="246"/>
      <c r="AC303" s="233">
        <v>1</v>
      </c>
      <c r="AD303" s="19">
        <v>0</v>
      </c>
      <c r="AE303" s="225">
        <v>19</v>
      </c>
      <c r="AF303" s="254" t="s">
        <v>1482</v>
      </c>
    </row>
    <row r="304" spans="1:40" s="147" customFormat="1" ht="27.6" customHeight="1">
      <c r="A304" s="186" t="s">
        <v>989</v>
      </c>
      <c r="B304" s="94">
        <v>14</v>
      </c>
      <c r="C304" s="186" t="s">
        <v>990</v>
      </c>
      <c r="D304" s="95">
        <v>87</v>
      </c>
      <c r="E304" s="94" t="s">
        <v>465</v>
      </c>
      <c r="F304" s="189">
        <v>45241</v>
      </c>
      <c r="G304" s="204" t="s">
        <v>1272</v>
      </c>
      <c r="H304" s="191" t="s">
        <v>1111</v>
      </c>
      <c r="I304" s="248">
        <v>15</v>
      </c>
      <c r="J304" s="443" t="s">
        <v>1155</v>
      </c>
      <c r="K304" s="685">
        <v>10</v>
      </c>
      <c r="L304" s="684">
        <v>10</v>
      </c>
      <c r="M304" s="687">
        <f t="shared" si="8"/>
        <v>0</v>
      </c>
      <c r="N304" s="210">
        <v>62.5</v>
      </c>
      <c r="O304" s="210">
        <v>55</v>
      </c>
      <c r="P304" s="697">
        <v>0</v>
      </c>
      <c r="Q304" s="179">
        <v>1</v>
      </c>
      <c r="R304" s="95" t="s">
        <v>1094</v>
      </c>
      <c r="S304" s="179" t="s">
        <v>1122</v>
      </c>
      <c r="T304" s="241">
        <v>16.3</v>
      </c>
      <c r="U304" s="658">
        <v>0</v>
      </c>
      <c r="V304" s="67" t="s">
        <v>714</v>
      </c>
      <c r="W304" s="191" t="s">
        <v>714</v>
      </c>
      <c r="X304" s="245">
        <v>0</v>
      </c>
      <c r="Y304" s="233">
        <v>2</v>
      </c>
      <c r="Z304" s="225">
        <v>1</v>
      </c>
      <c r="AA304" s="221">
        <v>11.71</v>
      </c>
      <c r="AB304" s="246" t="s">
        <v>973</v>
      </c>
      <c r="AC304" s="233">
        <v>1</v>
      </c>
      <c r="AD304" s="19">
        <v>1</v>
      </c>
      <c r="AE304" s="225">
        <v>0</v>
      </c>
      <c r="AF304" s="254" t="s">
        <v>1482</v>
      </c>
    </row>
    <row r="305" spans="1:40" s="147" customFormat="1" ht="27.6" customHeight="1">
      <c r="A305" s="186" t="s">
        <v>989</v>
      </c>
      <c r="B305" s="94">
        <v>14</v>
      </c>
      <c r="C305" s="186" t="s">
        <v>990</v>
      </c>
      <c r="D305" s="95">
        <v>88</v>
      </c>
      <c r="E305" s="94" t="s">
        <v>466</v>
      </c>
      <c r="F305" s="189">
        <v>45250</v>
      </c>
      <c r="G305" s="204" t="s">
        <v>1272</v>
      </c>
      <c r="H305" s="191" t="s">
        <v>1111</v>
      </c>
      <c r="I305" s="248">
        <v>15</v>
      </c>
      <c r="J305" s="443">
        <v>10</v>
      </c>
      <c r="K305" s="685">
        <v>10</v>
      </c>
      <c r="L305" s="684">
        <v>10</v>
      </c>
      <c r="M305" s="687">
        <f t="shared" si="8"/>
        <v>0</v>
      </c>
      <c r="N305" s="210">
        <v>60</v>
      </c>
      <c r="O305" s="210">
        <v>57.5</v>
      </c>
      <c r="P305" s="697">
        <v>0</v>
      </c>
      <c r="Q305" s="697">
        <v>0</v>
      </c>
      <c r="R305" s="95" t="s">
        <v>944</v>
      </c>
      <c r="S305" s="179" t="s">
        <v>1127</v>
      </c>
      <c r="T305" s="241">
        <v>7</v>
      </c>
      <c r="U305" s="658">
        <v>0</v>
      </c>
      <c r="V305" s="67" t="s">
        <v>714</v>
      </c>
      <c r="W305" s="191" t="s">
        <v>714</v>
      </c>
      <c r="X305" s="245">
        <v>0</v>
      </c>
      <c r="Y305" s="233">
        <v>2</v>
      </c>
      <c r="Z305" s="225">
        <v>1</v>
      </c>
      <c r="AA305" s="221">
        <v>13.97</v>
      </c>
      <c r="AB305" s="246" t="s">
        <v>973</v>
      </c>
      <c r="AC305" s="233">
        <v>0</v>
      </c>
      <c r="AD305" s="19">
        <v>2</v>
      </c>
      <c r="AE305" s="225">
        <v>0</v>
      </c>
      <c r="AF305" s="254" t="s">
        <v>1482</v>
      </c>
      <c r="AG305" s="150"/>
      <c r="AH305" s="150"/>
      <c r="AI305" s="150"/>
      <c r="AJ305" s="150"/>
      <c r="AK305" s="150"/>
      <c r="AL305" s="150"/>
      <c r="AM305" s="150"/>
      <c r="AN305" s="150"/>
    </row>
    <row r="306" spans="1:40" s="147" customFormat="1" ht="27.6" customHeight="1">
      <c r="A306" s="186" t="s">
        <v>989</v>
      </c>
      <c r="B306" s="94">
        <v>14</v>
      </c>
      <c r="C306" s="186" t="s">
        <v>990</v>
      </c>
      <c r="D306" s="95">
        <v>89</v>
      </c>
      <c r="E306" s="94" t="s">
        <v>467</v>
      </c>
      <c r="F306" s="189">
        <v>45251</v>
      </c>
      <c r="G306" s="204" t="s">
        <v>1272</v>
      </c>
      <c r="H306" s="191" t="s">
        <v>1111</v>
      </c>
      <c r="I306" s="248">
        <v>15</v>
      </c>
      <c r="J306" s="446" t="s">
        <v>948</v>
      </c>
      <c r="K306" s="621">
        <v>2.5</v>
      </c>
      <c r="L306" s="625">
        <v>2.5</v>
      </c>
      <c r="M306" s="687">
        <f t="shared" si="8"/>
        <v>0</v>
      </c>
      <c r="N306" s="210">
        <v>47.5</v>
      </c>
      <c r="O306" s="210">
        <v>30</v>
      </c>
      <c r="P306" s="697">
        <v>0</v>
      </c>
      <c r="Q306" s="697">
        <v>0</v>
      </c>
      <c r="R306" s="95" t="s">
        <v>944</v>
      </c>
      <c r="S306" s="179" t="s">
        <v>1459</v>
      </c>
      <c r="T306" s="241">
        <v>6</v>
      </c>
      <c r="U306" s="658">
        <v>0</v>
      </c>
      <c r="V306" s="16" t="s">
        <v>714</v>
      </c>
      <c r="W306" s="191" t="s">
        <v>714</v>
      </c>
      <c r="X306" s="245">
        <v>0</v>
      </c>
      <c r="Y306" s="233">
        <v>2</v>
      </c>
      <c r="Z306" s="225">
        <v>1</v>
      </c>
      <c r="AA306" s="221">
        <v>29.64</v>
      </c>
      <c r="AB306" s="246" t="s">
        <v>973</v>
      </c>
      <c r="AC306" s="233">
        <v>2</v>
      </c>
      <c r="AD306" s="19">
        <v>1</v>
      </c>
      <c r="AE306" s="225">
        <v>0</v>
      </c>
      <c r="AF306" s="254" t="s">
        <v>1482</v>
      </c>
    </row>
    <row r="307" spans="1:40" s="147" customFormat="1" ht="27.6" customHeight="1">
      <c r="A307" s="186" t="s">
        <v>989</v>
      </c>
      <c r="B307" s="94">
        <v>14</v>
      </c>
      <c r="C307" s="186" t="s">
        <v>990</v>
      </c>
      <c r="D307" s="95">
        <v>90</v>
      </c>
      <c r="E307" s="94" t="s">
        <v>468</v>
      </c>
      <c r="F307" s="189">
        <v>45251</v>
      </c>
      <c r="G307" s="204" t="s">
        <v>1272</v>
      </c>
      <c r="H307" s="191" t="s">
        <v>1111</v>
      </c>
      <c r="I307" s="248">
        <v>15</v>
      </c>
      <c r="J307" s="443" t="s">
        <v>1155</v>
      </c>
      <c r="K307" s="685">
        <v>10</v>
      </c>
      <c r="L307" s="684">
        <v>10</v>
      </c>
      <c r="M307" s="687">
        <f t="shared" si="8"/>
        <v>0</v>
      </c>
      <c r="N307" s="210">
        <v>25</v>
      </c>
      <c r="O307" s="210">
        <v>30</v>
      </c>
      <c r="P307" s="697">
        <v>0</v>
      </c>
      <c r="Q307" s="697">
        <v>0</v>
      </c>
      <c r="R307" s="95" t="s">
        <v>944</v>
      </c>
      <c r="S307" s="179" t="s">
        <v>1123</v>
      </c>
      <c r="T307" s="241">
        <v>22.5</v>
      </c>
      <c r="U307" s="658">
        <v>0</v>
      </c>
      <c r="V307" s="67" t="s">
        <v>714</v>
      </c>
      <c r="W307" s="191" t="s">
        <v>714</v>
      </c>
      <c r="X307" s="245">
        <v>0</v>
      </c>
      <c r="Y307" s="233">
        <v>2</v>
      </c>
      <c r="Z307" s="225">
        <v>1</v>
      </c>
      <c r="AA307" s="221">
        <v>16.420000000000002</v>
      </c>
      <c r="AB307" s="246" t="s">
        <v>973</v>
      </c>
      <c r="AC307" s="233">
        <v>0</v>
      </c>
      <c r="AD307" s="19">
        <v>0</v>
      </c>
      <c r="AE307" s="225">
        <v>0</v>
      </c>
      <c r="AF307" s="254" t="s">
        <v>1506</v>
      </c>
    </row>
    <row r="308" spans="1:40" s="147" customFormat="1" ht="27.6" customHeight="1">
      <c r="A308" s="186" t="s">
        <v>989</v>
      </c>
      <c r="B308" s="94">
        <v>14</v>
      </c>
      <c r="C308" s="186" t="s">
        <v>990</v>
      </c>
      <c r="D308" s="95">
        <v>93</v>
      </c>
      <c r="E308" s="94" t="s">
        <v>469</v>
      </c>
      <c r="F308" s="189">
        <v>45236</v>
      </c>
      <c r="G308" s="204" t="s">
        <v>1272</v>
      </c>
      <c r="H308" s="191" t="s">
        <v>1111</v>
      </c>
      <c r="I308" s="248">
        <v>15</v>
      </c>
      <c r="J308" s="710">
        <v>20</v>
      </c>
      <c r="K308" s="685">
        <v>20</v>
      </c>
      <c r="L308" s="694">
        <v>10</v>
      </c>
      <c r="M308" s="687">
        <f t="shared" si="8"/>
        <v>10</v>
      </c>
      <c r="N308" s="210">
        <v>25</v>
      </c>
      <c r="O308" s="210">
        <v>20</v>
      </c>
      <c r="P308" s="697">
        <v>0</v>
      </c>
      <c r="Q308" s="697">
        <v>0</v>
      </c>
      <c r="R308" s="95" t="s">
        <v>944</v>
      </c>
      <c r="S308" s="179" t="s">
        <v>1460</v>
      </c>
      <c r="T308" s="241">
        <v>21.5</v>
      </c>
      <c r="U308" s="658">
        <v>0</v>
      </c>
      <c r="V308" s="67" t="s">
        <v>714</v>
      </c>
      <c r="W308" s="191" t="s">
        <v>714</v>
      </c>
      <c r="X308" s="245">
        <v>0</v>
      </c>
      <c r="Y308" s="233">
        <v>2</v>
      </c>
      <c r="Z308" s="225">
        <v>1</v>
      </c>
      <c r="AA308" s="221"/>
      <c r="AB308" s="246"/>
      <c r="AC308" s="233">
        <v>0</v>
      </c>
      <c r="AD308" s="19">
        <v>1</v>
      </c>
      <c r="AE308" s="225">
        <v>5</v>
      </c>
      <c r="AF308" s="254" t="s">
        <v>1482</v>
      </c>
    </row>
    <row r="309" spans="1:40" s="147" customFormat="1" ht="27.6" customHeight="1">
      <c r="A309" s="186" t="s">
        <v>989</v>
      </c>
      <c r="B309" s="94">
        <v>14</v>
      </c>
      <c r="C309" s="186" t="s">
        <v>990</v>
      </c>
      <c r="D309" s="95">
        <v>109</v>
      </c>
      <c r="E309" s="94" t="s">
        <v>470</v>
      </c>
      <c r="F309" s="189">
        <v>45252</v>
      </c>
      <c r="G309" s="204" t="s">
        <v>1272</v>
      </c>
      <c r="H309" s="191" t="s">
        <v>1111</v>
      </c>
      <c r="I309" s="248">
        <v>15</v>
      </c>
      <c r="J309" s="443">
        <v>30</v>
      </c>
      <c r="K309" s="685">
        <v>30</v>
      </c>
      <c r="L309" s="684">
        <v>20</v>
      </c>
      <c r="M309" s="687">
        <f t="shared" si="8"/>
        <v>10</v>
      </c>
      <c r="N309" s="210">
        <v>42.5</v>
      </c>
      <c r="O309" s="210">
        <v>45</v>
      </c>
      <c r="P309" s="697">
        <v>0</v>
      </c>
      <c r="Q309" s="697">
        <v>0</v>
      </c>
      <c r="R309" s="95" t="s">
        <v>944</v>
      </c>
      <c r="S309" s="179" t="s">
        <v>1469</v>
      </c>
      <c r="T309" s="241">
        <v>89.5</v>
      </c>
      <c r="U309" s="658">
        <v>0</v>
      </c>
      <c r="V309" s="67" t="s">
        <v>714</v>
      </c>
      <c r="W309" s="191" t="s">
        <v>714</v>
      </c>
      <c r="X309" s="245">
        <v>0</v>
      </c>
      <c r="Y309" s="233">
        <v>2</v>
      </c>
      <c r="Z309" s="225">
        <v>1</v>
      </c>
      <c r="AA309" s="221">
        <v>70.64</v>
      </c>
      <c r="AB309" s="246">
        <v>6</v>
      </c>
      <c r="AC309" s="233">
        <v>4</v>
      </c>
      <c r="AD309" s="19">
        <v>0</v>
      </c>
      <c r="AE309" s="225">
        <v>16</v>
      </c>
      <c r="AF309" s="254" t="s">
        <v>1482</v>
      </c>
    </row>
    <row r="310" spans="1:40" s="147" customFormat="1" ht="27.6" customHeight="1">
      <c r="A310" s="186" t="s">
        <v>989</v>
      </c>
      <c r="B310" s="94">
        <v>14</v>
      </c>
      <c r="C310" s="186" t="s">
        <v>990</v>
      </c>
      <c r="D310" s="95">
        <v>114</v>
      </c>
      <c r="E310" s="94" t="s">
        <v>471</v>
      </c>
      <c r="F310" s="189">
        <v>45252</v>
      </c>
      <c r="G310" s="204" t="s">
        <v>1272</v>
      </c>
      <c r="H310" s="191" t="s">
        <v>1111</v>
      </c>
      <c r="I310" s="248">
        <v>15</v>
      </c>
      <c r="J310" s="443">
        <v>20</v>
      </c>
      <c r="K310" s="685">
        <v>20</v>
      </c>
      <c r="L310" s="684">
        <v>10</v>
      </c>
      <c r="M310" s="687">
        <f t="shared" si="8"/>
        <v>10</v>
      </c>
      <c r="N310" s="210">
        <v>37.5</v>
      </c>
      <c r="O310" s="210">
        <v>35</v>
      </c>
      <c r="P310" s="697">
        <v>0</v>
      </c>
      <c r="Q310" s="697">
        <v>0</v>
      </c>
      <c r="R310" s="95" t="s">
        <v>944</v>
      </c>
      <c r="S310" s="179" t="s">
        <v>1471</v>
      </c>
      <c r="T310" s="241">
        <v>34.5</v>
      </c>
      <c r="U310" s="658">
        <v>2</v>
      </c>
      <c r="V310" s="16" t="s">
        <v>949</v>
      </c>
      <c r="W310" s="191" t="s">
        <v>1660</v>
      </c>
      <c r="X310" s="245">
        <v>1</v>
      </c>
      <c r="Y310" s="233">
        <v>2</v>
      </c>
      <c r="Z310" s="225">
        <v>1</v>
      </c>
      <c r="AA310" s="221"/>
      <c r="AB310" s="246"/>
      <c r="AC310" s="233">
        <v>2</v>
      </c>
      <c r="AD310" s="19">
        <v>0</v>
      </c>
      <c r="AE310" s="225">
        <v>5</v>
      </c>
      <c r="AF310" s="254" t="s">
        <v>1482</v>
      </c>
    </row>
    <row r="311" spans="1:40" ht="27.6" customHeight="1" thickBot="1">
      <c r="A311" s="264" t="s">
        <v>989</v>
      </c>
      <c r="B311" s="102">
        <v>14</v>
      </c>
      <c r="C311" s="264" t="s">
        <v>990</v>
      </c>
      <c r="D311" s="103">
        <v>115</v>
      </c>
      <c r="E311" s="102" t="s">
        <v>472</v>
      </c>
      <c r="F311" s="278">
        <v>45242</v>
      </c>
      <c r="G311" s="326" t="s">
        <v>1272</v>
      </c>
      <c r="H311" s="360" t="s">
        <v>1111</v>
      </c>
      <c r="I311" s="296">
        <v>15</v>
      </c>
      <c r="J311" s="693" t="s">
        <v>1155</v>
      </c>
      <c r="K311" s="720">
        <v>10</v>
      </c>
      <c r="L311" s="686">
        <v>10</v>
      </c>
      <c r="M311" s="686">
        <f t="shared" si="8"/>
        <v>0</v>
      </c>
      <c r="N311" s="370">
        <v>77.5</v>
      </c>
      <c r="O311" s="370">
        <v>77.5</v>
      </c>
      <c r="P311" s="281">
        <v>1</v>
      </c>
      <c r="Q311" s="281">
        <v>2</v>
      </c>
      <c r="R311" s="103" t="s">
        <v>944</v>
      </c>
      <c r="S311" s="281" t="s">
        <v>1472</v>
      </c>
      <c r="T311" s="282">
        <v>43.5</v>
      </c>
      <c r="U311" s="659">
        <v>0</v>
      </c>
      <c r="V311" s="375" t="s">
        <v>714</v>
      </c>
      <c r="W311" s="360" t="s">
        <v>714</v>
      </c>
      <c r="X311" s="674">
        <v>0</v>
      </c>
      <c r="Y311" s="285">
        <v>2</v>
      </c>
      <c r="Z311" s="286">
        <v>1</v>
      </c>
      <c r="AA311" s="283">
        <v>6.45</v>
      </c>
      <c r="AB311" s="284">
        <v>4</v>
      </c>
      <c r="AC311" s="285">
        <v>0</v>
      </c>
      <c r="AD311" s="84">
        <v>0</v>
      </c>
      <c r="AE311" s="286">
        <v>1</v>
      </c>
      <c r="AF311" s="297" t="s">
        <v>1482</v>
      </c>
    </row>
    <row r="312" spans="1:40" s="147" customFormat="1" ht="27.6" customHeight="1" thickTop="1">
      <c r="A312" s="256" t="s">
        <v>991</v>
      </c>
      <c r="B312" s="92">
        <v>15</v>
      </c>
      <c r="C312" s="256" t="s">
        <v>992</v>
      </c>
      <c r="D312" s="93">
        <v>4</v>
      </c>
      <c r="E312" s="92" t="s">
        <v>473</v>
      </c>
      <c r="F312" s="258">
        <v>45251</v>
      </c>
      <c r="G312" s="259" t="s">
        <v>1272</v>
      </c>
      <c r="H312" s="361" t="s">
        <v>1111</v>
      </c>
      <c r="I312" s="262">
        <v>15</v>
      </c>
      <c r="J312" s="691" t="s">
        <v>1155</v>
      </c>
      <c r="K312" s="717">
        <v>10</v>
      </c>
      <c r="L312" s="683">
        <v>10</v>
      </c>
      <c r="M312" s="687">
        <f t="shared" si="8"/>
        <v>0</v>
      </c>
      <c r="N312" s="367">
        <v>65</v>
      </c>
      <c r="O312" s="367">
        <v>35</v>
      </c>
      <c r="P312" s="727">
        <v>0</v>
      </c>
      <c r="Q312" s="727">
        <v>0</v>
      </c>
      <c r="R312" s="93" t="s">
        <v>944</v>
      </c>
      <c r="S312" s="269" t="s">
        <v>1141</v>
      </c>
      <c r="T312" s="270">
        <v>23.9</v>
      </c>
      <c r="U312" s="657">
        <v>0</v>
      </c>
      <c r="V312" s="46" t="s">
        <v>714</v>
      </c>
      <c r="W312" s="361" t="s">
        <v>714</v>
      </c>
      <c r="X312" s="673">
        <v>0</v>
      </c>
      <c r="Y312" s="261">
        <v>2</v>
      </c>
      <c r="Z312" s="260">
        <v>1</v>
      </c>
      <c r="AA312" s="271">
        <v>60.29</v>
      </c>
      <c r="AB312" s="272">
        <v>6</v>
      </c>
      <c r="AC312" s="261">
        <v>1</v>
      </c>
      <c r="AD312" s="49">
        <v>0</v>
      </c>
      <c r="AE312" s="260">
        <v>6</v>
      </c>
      <c r="AF312" s="301" t="s">
        <v>1482</v>
      </c>
      <c r="AG312" s="150"/>
      <c r="AH312" s="150"/>
      <c r="AI312" s="150"/>
      <c r="AJ312" s="150"/>
      <c r="AK312" s="150"/>
      <c r="AL312" s="150"/>
      <c r="AM312" s="150"/>
      <c r="AN312" s="150"/>
    </row>
    <row r="313" spans="1:40" s="147" customFormat="1" ht="27.6" customHeight="1">
      <c r="A313" s="186" t="s">
        <v>991</v>
      </c>
      <c r="B313" s="94">
        <v>15</v>
      </c>
      <c r="C313" s="186" t="s">
        <v>992</v>
      </c>
      <c r="D313" s="95">
        <v>5</v>
      </c>
      <c r="E313" s="94" t="s">
        <v>474</v>
      </c>
      <c r="F313" s="189">
        <v>45251</v>
      </c>
      <c r="G313" s="204" t="s">
        <v>1272</v>
      </c>
      <c r="H313" s="191" t="s">
        <v>1111</v>
      </c>
      <c r="I313" s="248">
        <v>15</v>
      </c>
      <c r="J313" s="443" t="s">
        <v>1155</v>
      </c>
      <c r="K313" s="685">
        <v>10</v>
      </c>
      <c r="L313" s="620">
        <v>2.5</v>
      </c>
      <c r="M313" s="617">
        <v>7.5</v>
      </c>
      <c r="N313" s="210">
        <v>57.5</v>
      </c>
      <c r="O313" s="210">
        <v>45</v>
      </c>
      <c r="P313" s="697">
        <v>0</v>
      </c>
      <c r="Q313" s="697">
        <v>0</v>
      </c>
      <c r="R313" s="95" t="s">
        <v>944</v>
      </c>
      <c r="S313" s="179" t="s">
        <v>1131</v>
      </c>
      <c r="T313" s="241">
        <v>11.5</v>
      </c>
      <c r="U313" s="658">
        <v>0</v>
      </c>
      <c r="V313" s="67" t="s">
        <v>714</v>
      </c>
      <c r="W313" s="191" t="s">
        <v>714</v>
      </c>
      <c r="X313" s="245">
        <v>0</v>
      </c>
      <c r="Y313" s="233">
        <v>2</v>
      </c>
      <c r="Z313" s="225">
        <v>1</v>
      </c>
      <c r="AA313" s="221">
        <v>95.23</v>
      </c>
      <c r="AB313" s="246">
        <v>6</v>
      </c>
      <c r="AC313" s="233">
        <v>1</v>
      </c>
      <c r="AD313" s="19">
        <v>0</v>
      </c>
      <c r="AE313" s="225">
        <v>1</v>
      </c>
      <c r="AF313" s="254" t="s">
        <v>1482</v>
      </c>
    </row>
    <row r="314" spans="1:40" s="147" customFormat="1" ht="27.6" customHeight="1">
      <c r="A314" s="186" t="s">
        <v>991</v>
      </c>
      <c r="B314" s="94">
        <v>15</v>
      </c>
      <c r="C314" s="186" t="s">
        <v>992</v>
      </c>
      <c r="D314" s="95">
        <v>19</v>
      </c>
      <c r="E314" s="94" t="s">
        <v>475</v>
      </c>
      <c r="F314" s="189">
        <v>45257</v>
      </c>
      <c r="G314" s="204" t="s">
        <v>1272</v>
      </c>
      <c r="H314" s="191" t="s">
        <v>1111</v>
      </c>
      <c r="I314" s="248">
        <v>15</v>
      </c>
      <c r="J314" s="443">
        <v>20</v>
      </c>
      <c r="K314" s="685">
        <v>20</v>
      </c>
      <c r="L314" s="684">
        <v>10</v>
      </c>
      <c r="M314" s="687">
        <f t="shared" ref="M314:M345" si="9">K314-L314</f>
        <v>10</v>
      </c>
      <c r="N314" s="210">
        <v>70.5</v>
      </c>
      <c r="O314" s="210">
        <v>37.5</v>
      </c>
      <c r="P314" s="697">
        <v>0</v>
      </c>
      <c r="Q314" s="697">
        <v>0</v>
      </c>
      <c r="R314" s="95" t="s">
        <v>944</v>
      </c>
      <c r="S314" s="179" t="s">
        <v>1434</v>
      </c>
      <c r="T314" s="241">
        <v>49.5</v>
      </c>
      <c r="U314" s="658">
        <v>0</v>
      </c>
      <c r="V314" s="67" t="s">
        <v>714</v>
      </c>
      <c r="W314" s="191" t="s">
        <v>714</v>
      </c>
      <c r="X314" s="245">
        <v>0</v>
      </c>
      <c r="Y314" s="233">
        <v>2</v>
      </c>
      <c r="Z314" s="225">
        <v>1</v>
      </c>
      <c r="AA314" s="221">
        <v>5.13</v>
      </c>
      <c r="AB314" s="246">
        <v>4</v>
      </c>
      <c r="AC314" s="233">
        <v>2</v>
      </c>
      <c r="AD314" s="19">
        <v>0</v>
      </c>
      <c r="AE314" s="225">
        <v>12</v>
      </c>
      <c r="AF314" s="254" t="s">
        <v>1482</v>
      </c>
    </row>
    <row r="315" spans="1:40" s="147" customFormat="1" ht="27.6" customHeight="1">
      <c r="A315" s="186" t="s">
        <v>991</v>
      </c>
      <c r="B315" s="94">
        <v>15</v>
      </c>
      <c r="C315" s="186" t="s">
        <v>992</v>
      </c>
      <c r="D315" s="95">
        <v>20</v>
      </c>
      <c r="E315" s="94" t="s">
        <v>476</v>
      </c>
      <c r="F315" s="189">
        <v>45251</v>
      </c>
      <c r="G315" s="204" t="s">
        <v>1272</v>
      </c>
      <c r="H315" s="191" t="s">
        <v>1111</v>
      </c>
      <c r="I315" s="248">
        <v>15</v>
      </c>
      <c r="J315" s="443">
        <v>40</v>
      </c>
      <c r="K315" s="685">
        <v>40</v>
      </c>
      <c r="L315" s="684">
        <v>20</v>
      </c>
      <c r="M315" s="687">
        <f t="shared" si="9"/>
        <v>20</v>
      </c>
      <c r="N315" s="210">
        <v>35</v>
      </c>
      <c r="O315" s="210">
        <v>35</v>
      </c>
      <c r="P315" s="697">
        <v>0</v>
      </c>
      <c r="Q315" s="697">
        <v>0</v>
      </c>
      <c r="R315" s="95" t="s">
        <v>944</v>
      </c>
      <c r="S315" s="179" t="s">
        <v>1435</v>
      </c>
      <c r="T315" s="241">
        <v>63</v>
      </c>
      <c r="U315" s="658">
        <v>1</v>
      </c>
      <c r="V315" s="16" t="s">
        <v>949</v>
      </c>
      <c r="W315" s="191" t="s">
        <v>949</v>
      </c>
      <c r="X315" s="245">
        <v>1</v>
      </c>
      <c r="Y315" s="233">
        <v>2</v>
      </c>
      <c r="Z315" s="225">
        <v>1</v>
      </c>
      <c r="AA315" s="221">
        <v>7.7</v>
      </c>
      <c r="AB315" s="246">
        <v>4</v>
      </c>
      <c r="AC315" s="233">
        <v>0</v>
      </c>
      <c r="AD315" s="19">
        <v>0</v>
      </c>
      <c r="AE315" s="225">
        <v>8</v>
      </c>
      <c r="AF315" s="254" t="s">
        <v>1482</v>
      </c>
      <c r="AG315" s="150"/>
      <c r="AH315" s="150"/>
      <c r="AI315" s="150"/>
      <c r="AJ315" s="150"/>
      <c r="AK315" s="150"/>
      <c r="AL315" s="150"/>
      <c r="AM315" s="150"/>
      <c r="AN315" s="150"/>
    </row>
    <row r="316" spans="1:40" s="147" customFormat="1" ht="27.6" customHeight="1">
      <c r="A316" s="186" t="s">
        <v>991</v>
      </c>
      <c r="B316" s="94">
        <v>15</v>
      </c>
      <c r="C316" s="186" t="s">
        <v>992</v>
      </c>
      <c r="D316" s="95">
        <v>22</v>
      </c>
      <c r="E316" s="94" t="s">
        <v>477</v>
      </c>
      <c r="F316" s="189">
        <v>45241</v>
      </c>
      <c r="G316" s="204" t="s">
        <v>1272</v>
      </c>
      <c r="H316" s="191" t="s">
        <v>1111</v>
      </c>
      <c r="I316" s="248">
        <v>15</v>
      </c>
      <c r="J316" s="443">
        <v>20</v>
      </c>
      <c r="K316" s="685">
        <v>20</v>
      </c>
      <c r="L316" s="684">
        <v>10</v>
      </c>
      <c r="M316" s="687">
        <f t="shared" si="9"/>
        <v>10</v>
      </c>
      <c r="N316" s="210">
        <v>40</v>
      </c>
      <c r="O316" s="210">
        <v>70</v>
      </c>
      <c r="P316" s="697">
        <v>0</v>
      </c>
      <c r="Q316" s="179">
        <v>1.5</v>
      </c>
      <c r="R316" s="95" t="s">
        <v>944</v>
      </c>
      <c r="S316" s="179" t="s">
        <v>1431</v>
      </c>
      <c r="T316" s="241">
        <v>105</v>
      </c>
      <c r="U316" s="658">
        <v>0</v>
      </c>
      <c r="V316" s="67" t="s">
        <v>714</v>
      </c>
      <c r="W316" s="191" t="s">
        <v>714</v>
      </c>
      <c r="X316" s="245">
        <v>0</v>
      </c>
      <c r="Y316" s="233">
        <v>2</v>
      </c>
      <c r="Z316" s="225">
        <v>1</v>
      </c>
      <c r="AA316" s="221">
        <v>67.8</v>
      </c>
      <c r="AB316" s="246">
        <v>6</v>
      </c>
      <c r="AC316" s="233">
        <v>0</v>
      </c>
      <c r="AD316" s="19">
        <v>0</v>
      </c>
      <c r="AE316" s="225">
        <v>1</v>
      </c>
      <c r="AF316" s="254" t="s">
        <v>1482</v>
      </c>
    </row>
    <row r="317" spans="1:40" ht="27.6" customHeight="1">
      <c r="A317" s="186" t="s">
        <v>991</v>
      </c>
      <c r="B317" s="94">
        <v>15</v>
      </c>
      <c r="C317" s="186" t="s">
        <v>992</v>
      </c>
      <c r="D317" s="95">
        <v>23</v>
      </c>
      <c r="E317" s="94" t="s">
        <v>478</v>
      </c>
      <c r="F317" s="189">
        <v>45237</v>
      </c>
      <c r="G317" s="204" t="s">
        <v>1272</v>
      </c>
      <c r="H317" s="191" t="s">
        <v>1111</v>
      </c>
      <c r="I317" s="248">
        <v>15</v>
      </c>
      <c r="J317" s="446" t="s">
        <v>948</v>
      </c>
      <c r="K317" s="621">
        <v>2.5</v>
      </c>
      <c r="L317" s="625">
        <v>2.5</v>
      </c>
      <c r="M317" s="687">
        <f t="shared" si="9"/>
        <v>0</v>
      </c>
      <c r="N317" s="210">
        <v>15</v>
      </c>
      <c r="O317" s="210">
        <v>17.5</v>
      </c>
      <c r="P317" s="697">
        <v>0</v>
      </c>
      <c r="Q317" s="697">
        <v>0</v>
      </c>
      <c r="R317" s="95" t="s">
        <v>944</v>
      </c>
      <c r="S317" s="697">
        <v>0</v>
      </c>
      <c r="T317" s="241"/>
      <c r="U317" s="658">
        <v>0</v>
      </c>
      <c r="V317" s="67" t="s">
        <v>714</v>
      </c>
      <c r="W317" s="191" t="s">
        <v>714</v>
      </c>
      <c r="X317" s="245">
        <v>0</v>
      </c>
      <c r="Y317" s="233">
        <v>1</v>
      </c>
      <c r="Z317" s="225">
        <v>0</v>
      </c>
      <c r="AA317" s="221">
        <v>10.58</v>
      </c>
      <c r="AB317" s="246" t="s">
        <v>973</v>
      </c>
      <c r="AC317" s="233">
        <v>0</v>
      </c>
      <c r="AD317" s="19">
        <v>0</v>
      </c>
      <c r="AE317" s="225">
        <v>0</v>
      </c>
      <c r="AF317" s="254" t="s">
        <v>1506</v>
      </c>
    </row>
    <row r="318" spans="1:40" s="147" customFormat="1" ht="27.6" customHeight="1">
      <c r="A318" s="186" t="s">
        <v>991</v>
      </c>
      <c r="B318" s="94">
        <v>15</v>
      </c>
      <c r="C318" s="186" t="s">
        <v>992</v>
      </c>
      <c r="D318" s="95">
        <v>24</v>
      </c>
      <c r="E318" s="94" t="s">
        <v>479</v>
      </c>
      <c r="F318" s="189">
        <v>45237</v>
      </c>
      <c r="G318" s="204" t="s">
        <v>1272</v>
      </c>
      <c r="H318" s="191" t="s">
        <v>1111</v>
      </c>
      <c r="I318" s="248">
        <v>15</v>
      </c>
      <c r="J318" s="443">
        <v>10</v>
      </c>
      <c r="K318" s="685">
        <v>10</v>
      </c>
      <c r="L318" s="684">
        <v>20</v>
      </c>
      <c r="M318" s="687">
        <f t="shared" si="9"/>
        <v>-10</v>
      </c>
      <c r="N318" s="210">
        <v>57.5</v>
      </c>
      <c r="O318" s="210">
        <v>37.5</v>
      </c>
      <c r="P318" s="697">
        <v>0</v>
      </c>
      <c r="Q318" s="697">
        <v>0</v>
      </c>
      <c r="R318" s="95" t="s">
        <v>944</v>
      </c>
      <c r="S318" s="179" t="s">
        <v>1126</v>
      </c>
      <c r="T318" s="241">
        <v>14.3</v>
      </c>
      <c r="U318" s="658">
        <v>0</v>
      </c>
      <c r="V318" s="67" t="s">
        <v>714</v>
      </c>
      <c r="W318" s="191" t="s">
        <v>714</v>
      </c>
      <c r="X318" s="245">
        <v>0</v>
      </c>
      <c r="Y318" s="233">
        <v>1</v>
      </c>
      <c r="Z318" s="225">
        <v>0</v>
      </c>
      <c r="AA318" s="221"/>
      <c r="AB318" s="246"/>
      <c r="AC318" s="233">
        <v>0</v>
      </c>
      <c r="AD318" s="19">
        <v>0</v>
      </c>
      <c r="AE318" s="225">
        <v>0</v>
      </c>
      <c r="AF318" s="254" t="s">
        <v>1482</v>
      </c>
    </row>
    <row r="319" spans="1:40" ht="27.6" customHeight="1">
      <c r="A319" s="186" t="s">
        <v>991</v>
      </c>
      <c r="B319" s="94">
        <v>15</v>
      </c>
      <c r="C319" s="186" t="s">
        <v>992</v>
      </c>
      <c r="D319" s="95">
        <v>25</v>
      </c>
      <c r="E319" s="94" t="s">
        <v>480</v>
      </c>
      <c r="F319" s="189">
        <v>45237</v>
      </c>
      <c r="G319" s="204" t="s">
        <v>1272</v>
      </c>
      <c r="H319" s="191" t="s">
        <v>1111</v>
      </c>
      <c r="I319" s="248">
        <v>15</v>
      </c>
      <c r="J319" s="443" t="s">
        <v>1155</v>
      </c>
      <c r="K319" s="685">
        <v>10</v>
      </c>
      <c r="L319" s="684">
        <v>10</v>
      </c>
      <c r="M319" s="687">
        <f t="shared" si="9"/>
        <v>0</v>
      </c>
      <c r="N319" s="210">
        <v>40</v>
      </c>
      <c r="O319" s="210">
        <v>32.5</v>
      </c>
      <c r="P319" s="697">
        <v>0</v>
      </c>
      <c r="Q319" s="697">
        <v>0</v>
      </c>
      <c r="R319" s="95" t="s">
        <v>944</v>
      </c>
      <c r="S319" s="179" t="s">
        <v>1129</v>
      </c>
      <c r="T319" s="245"/>
      <c r="U319" s="658">
        <v>0</v>
      </c>
      <c r="V319" s="67" t="s">
        <v>714</v>
      </c>
      <c r="W319" s="191" t="s">
        <v>714</v>
      </c>
      <c r="X319" s="245">
        <v>0</v>
      </c>
      <c r="Y319" s="233">
        <v>2</v>
      </c>
      <c r="Z319" s="225">
        <v>1</v>
      </c>
      <c r="AA319" s="221">
        <v>24.53</v>
      </c>
      <c r="AB319" s="246" t="s">
        <v>973</v>
      </c>
      <c r="AC319" s="233">
        <v>1</v>
      </c>
      <c r="AD319" s="19">
        <v>2</v>
      </c>
      <c r="AE319" s="225">
        <v>0</v>
      </c>
      <c r="AF319" s="254" t="s">
        <v>1506</v>
      </c>
      <c r="AG319" s="147"/>
      <c r="AH319" s="147"/>
      <c r="AI319" s="147"/>
      <c r="AJ319" s="147"/>
      <c r="AK319" s="147"/>
      <c r="AL319" s="147"/>
      <c r="AM319" s="147"/>
      <c r="AN319" s="147"/>
    </row>
    <row r="320" spans="1:40" s="147" customFormat="1" ht="27.6" customHeight="1">
      <c r="A320" s="186" t="s">
        <v>991</v>
      </c>
      <c r="B320" s="94">
        <v>15</v>
      </c>
      <c r="C320" s="186" t="s">
        <v>992</v>
      </c>
      <c r="D320" s="95">
        <v>37</v>
      </c>
      <c r="E320" s="94" t="s">
        <v>481</v>
      </c>
      <c r="F320" s="189">
        <v>45228</v>
      </c>
      <c r="G320" s="204" t="s">
        <v>1272</v>
      </c>
      <c r="H320" s="191" t="s">
        <v>1111</v>
      </c>
      <c r="I320" s="248">
        <v>15</v>
      </c>
      <c r="J320" s="443">
        <v>40</v>
      </c>
      <c r="K320" s="685">
        <v>40</v>
      </c>
      <c r="L320" s="684">
        <v>30</v>
      </c>
      <c r="M320" s="687">
        <f t="shared" si="9"/>
        <v>10</v>
      </c>
      <c r="N320" s="210">
        <v>37.5</v>
      </c>
      <c r="O320" s="210">
        <v>35</v>
      </c>
      <c r="P320" s="697">
        <v>0</v>
      </c>
      <c r="Q320" s="697">
        <v>0</v>
      </c>
      <c r="R320" s="95" t="s">
        <v>944</v>
      </c>
      <c r="S320" s="179" t="s">
        <v>1122</v>
      </c>
      <c r="T320" s="241">
        <v>163</v>
      </c>
      <c r="U320" s="658">
        <v>0</v>
      </c>
      <c r="V320" s="67" t="s">
        <v>714</v>
      </c>
      <c r="W320" s="191" t="s">
        <v>714</v>
      </c>
      <c r="X320" s="245">
        <v>0</v>
      </c>
      <c r="Y320" s="233">
        <v>2</v>
      </c>
      <c r="Z320" s="225">
        <v>1</v>
      </c>
      <c r="AA320" s="221">
        <v>20.47</v>
      </c>
      <c r="AB320" s="246" t="s">
        <v>973</v>
      </c>
      <c r="AC320" s="233">
        <v>0</v>
      </c>
      <c r="AD320" s="19">
        <v>0</v>
      </c>
      <c r="AE320" s="225">
        <v>2</v>
      </c>
      <c r="AF320" s="254" t="s">
        <v>1482</v>
      </c>
    </row>
    <row r="321" spans="1:40" ht="27.6" customHeight="1">
      <c r="A321" s="186" t="s">
        <v>991</v>
      </c>
      <c r="B321" s="94">
        <v>15</v>
      </c>
      <c r="C321" s="186" t="s">
        <v>992</v>
      </c>
      <c r="D321" s="95">
        <v>38</v>
      </c>
      <c r="E321" s="94" t="s">
        <v>482</v>
      </c>
      <c r="F321" s="189">
        <v>45228</v>
      </c>
      <c r="G321" s="204" t="s">
        <v>1272</v>
      </c>
      <c r="H321" s="191" t="s">
        <v>1111</v>
      </c>
      <c r="I321" s="248">
        <v>15</v>
      </c>
      <c r="J321" s="443" t="s">
        <v>1155</v>
      </c>
      <c r="K321" s="685">
        <v>10</v>
      </c>
      <c r="L321" s="684">
        <v>10</v>
      </c>
      <c r="M321" s="687">
        <f t="shared" si="9"/>
        <v>0</v>
      </c>
      <c r="N321" s="210">
        <v>32.5</v>
      </c>
      <c r="O321" s="210">
        <v>30</v>
      </c>
      <c r="P321" s="697">
        <v>0</v>
      </c>
      <c r="Q321" s="697">
        <v>0</v>
      </c>
      <c r="R321" s="95" t="s">
        <v>944</v>
      </c>
      <c r="S321" s="179" t="s">
        <v>1137</v>
      </c>
      <c r="T321" s="241">
        <v>131</v>
      </c>
      <c r="U321" s="658">
        <v>0</v>
      </c>
      <c r="V321" s="67" t="s">
        <v>714</v>
      </c>
      <c r="W321" s="191" t="s">
        <v>714</v>
      </c>
      <c r="X321" s="245">
        <v>0</v>
      </c>
      <c r="Y321" s="233">
        <v>2</v>
      </c>
      <c r="Z321" s="225">
        <v>1</v>
      </c>
      <c r="AA321" s="221">
        <v>7.26</v>
      </c>
      <c r="AB321" s="246">
        <v>4</v>
      </c>
      <c r="AC321" s="233">
        <v>0</v>
      </c>
      <c r="AD321" s="19">
        <v>0</v>
      </c>
      <c r="AE321" s="225">
        <v>5</v>
      </c>
      <c r="AF321" s="254" t="s">
        <v>1482</v>
      </c>
      <c r="AG321" s="147"/>
      <c r="AH321" s="147"/>
      <c r="AI321" s="147"/>
      <c r="AJ321" s="147"/>
      <c r="AK321" s="147"/>
      <c r="AL321" s="147"/>
      <c r="AM321" s="147"/>
      <c r="AN321" s="147"/>
    </row>
    <row r="322" spans="1:40" s="147" customFormat="1" ht="27.6" customHeight="1">
      <c r="A322" s="186" t="s">
        <v>991</v>
      </c>
      <c r="B322" s="94">
        <v>15</v>
      </c>
      <c r="C322" s="186" t="s">
        <v>992</v>
      </c>
      <c r="D322" s="95">
        <v>39</v>
      </c>
      <c r="E322" s="94" t="s">
        <v>483</v>
      </c>
      <c r="F322" s="189">
        <v>45241</v>
      </c>
      <c r="G322" s="204" t="s">
        <v>1272</v>
      </c>
      <c r="H322" s="191" t="s">
        <v>1111</v>
      </c>
      <c r="I322" s="248">
        <v>15</v>
      </c>
      <c r="J322" s="443">
        <v>30</v>
      </c>
      <c r="K322" s="685">
        <v>30</v>
      </c>
      <c r="L322" s="684">
        <v>20</v>
      </c>
      <c r="M322" s="687">
        <f t="shared" si="9"/>
        <v>10</v>
      </c>
      <c r="N322" s="210">
        <v>80</v>
      </c>
      <c r="O322" s="210">
        <v>72.5</v>
      </c>
      <c r="P322" s="697">
        <v>0</v>
      </c>
      <c r="Q322" s="697">
        <v>0</v>
      </c>
      <c r="R322" s="95" t="s">
        <v>1094</v>
      </c>
      <c r="S322" s="179" t="s">
        <v>1124</v>
      </c>
      <c r="T322" s="241">
        <v>33.5</v>
      </c>
      <c r="U322" s="658">
        <v>0</v>
      </c>
      <c r="V322" s="67" t="s">
        <v>714</v>
      </c>
      <c r="W322" s="191" t="s">
        <v>714</v>
      </c>
      <c r="X322" s="245">
        <v>0</v>
      </c>
      <c r="Y322" s="233">
        <v>2</v>
      </c>
      <c r="Z322" s="225">
        <v>1</v>
      </c>
      <c r="AA322" s="221">
        <v>49.13</v>
      </c>
      <c r="AB322" s="246" t="s">
        <v>988</v>
      </c>
      <c r="AC322" s="233">
        <v>0</v>
      </c>
      <c r="AD322" s="19">
        <v>0</v>
      </c>
      <c r="AE322" s="225">
        <v>0</v>
      </c>
      <c r="AF322" s="254" t="s">
        <v>1482</v>
      </c>
      <c r="AG322" s="150"/>
      <c r="AH322" s="150"/>
      <c r="AI322" s="150"/>
      <c r="AJ322" s="150"/>
      <c r="AK322" s="150"/>
      <c r="AL322" s="150"/>
      <c r="AM322" s="150"/>
      <c r="AN322" s="150"/>
    </row>
    <row r="323" spans="1:40" s="147" customFormat="1" ht="27.6" customHeight="1">
      <c r="A323" s="186" t="s">
        <v>991</v>
      </c>
      <c r="B323" s="94">
        <v>15</v>
      </c>
      <c r="C323" s="186" t="s">
        <v>992</v>
      </c>
      <c r="D323" s="95">
        <v>40</v>
      </c>
      <c r="E323" s="94" t="s">
        <v>484</v>
      </c>
      <c r="F323" s="189">
        <v>45237</v>
      </c>
      <c r="G323" s="204" t="s">
        <v>1272</v>
      </c>
      <c r="H323" s="191" t="s">
        <v>1111</v>
      </c>
      <c r="I323" s="248">
        <v>15</v>
      </c>
      <c r="J323" s="443">
        <v>20</v>
      </c>
      <c r="K323" s="685">
        <v>20</v>
      </c>
      <c r="L323" s="684">
        <v>20</v>
      </c>
      <c r="M323" s="687">
        <f t="shared" si="9"/>
        <v>0</v>
      </c>
      <c r="N323" s="210">
        <v>55</v>
      </c>
      <c r="O323" s="210">
        <v>47.5</v>
      </c>
      <c r="P323" s="697">
        <v>0</v>
      </c>
      <c r="Q323" s="697">
        <v>0</v>
      </c>
      <c r="R323" s="95" t="s">
        <v>944</v>
      </c>
      <c r="S323" s="179" t="s">
        <v>1126</v>
      </c>
      <c r="T323" s="241">
        <v>38</v>
      </c>
      <c r="U323" s="658">
        <v>0</v>
      </c>
      <c r="V323" s="67" t="s">
        <v>714</v>
      </c>
      <c r="W323" s="191" t="s">
        <v>714</v>
      </c>
      <c r="X323" s="245">
        <v>0</v>
      </c>
      <c r="Y323" s="233">
        <v>1</v>
      </c>
      <c r="Z323" s="225">
        <v>0</v>
      </c>
      <c r="AA323" s="221">
        <v>50.21</v>
      </c>
      <c r="AB323" s="246">
        <v>6</v>
      </c>
      <c r="AC323" s="233">
        <v>0</v>
      </c>
      <c r="AD323" s="19">
        <v>0</v>
      </c>
      <c r="AE323" s="225">
        <v>0</v>
      </c>
      <c r="AF323" s="254" t="s">
        <v>1482</v>
      </c>
    </row>
    <row r="324" spans="1:40" ht="27.6" customHeight="1">
      <c r="A324" s="186" t="s">
        <v>991</v>
      </c>
      <c r="B324" s="94">
        <v>15</v>
      </c>
      <c r="C324" s="186" t="s">
        <v>992</v>
      </c>
      <c r="D324" s="95">
        <v>41</v>
      </c>
      <c r="E324" s="94" t="s">
        <v>485</v>
      </c>
      <c r="F324" s="189">
        <v>45237</v>
      </c>
      <c r="G324" s="204" t="s">
        <v>1272</v>
      </c>
      <c r="H324" s="191" t="s">
        <v>1111</v>
      </c>
      <c r="I324" s="248">
        <v>15</v>
      </c>
      <c r="J324" s="443">
        <v>20</v>
      </c>
      <c r="K324" s="685">
        <v>20</v>
      </c>
      <c r="L324" s="684">
        <v>20</v>
      </c>
      <c r="M324" s="687">
        <f t="shared" si="9"/>
        <v>0</v>
      </c>
      <c r="N324" s="210">
        <v>37.5</v>
      </c>
      <c r="O324" s="210">
        <v>32.5</v>
      </c>
      <c r="P324" s="697">
        <v>0</v>
      </c>
      <c r="Q324" s="697">
        <v>0</v>
      </c>
      <c r="R324" s="95" t="s">
        <v>944</v>
      </c>
      <c r="S324" s="179" t="s">
        <v>1137</v>
      </c>
      <c r="T324" s="241">
        <v>25.8</v>
      </c>
      <c r="U324" s="658">
        <v>1</v>
      </c>
      <c r="V324" s="67" t="s">
        <v>955</v>
      </c>
      <c r="W324" s="191" t="s">
        <v>955</v>
      </c>
      <c r="X324" s="245">
        <v>1</v>
      </c>
      <c r="Y324" s="233">
        <v>1</v>
      </c>
      <c r="Z324" s="225">
        <v>0</v>
      </c>
      <c r="AA324" s="221"/>
      <c r="AB324" s="246"/>
      <c r="AC324" s="233">
        <v>0</v>
      </c>
      <c r="AD324" s="19">
        <v>0</v>
      </c>
      <c r="AE324" s="225">
        <v>0</v>
      </c>
      <c r="AF324" s="254" t="s">
        <v>1482</v>
      </c>
      <c r="AG324" s="147"/>
      <c r="AH324" s="147"/>
      <c r="AI324" s="147"/>
      <c r="AJ324" s="147"/>
      <c r="AK324" s="147"/>
      <c r="AL324" s="147"/>
      <c r="AM324" s="147"/>
      <c r="AN324" s="147"/>
    </row>
    <row r="325" spans="1:40" s="147" customFormat="1" ht="27.6" customHeight="1">
      <c r="A325" s="186" t="s">
        <v>991</v>
      </c>
      <c r="B325" s="94">
        <v>15</v>
      </c>
      <c r="C325" s="186" t="s">
        <v>992</v>
      </c>
      <c r="D325" s="95">
        <v>58</v>
      </c>
      <c r="E325" s="94" t="s">
        <v>486</v>
      </c>
      <c r="F325" s="189">
        <v>45228</v>
      </c>
      <c r="G325" s="204" t="s">
        <v>1272</v>
      </c>
      <c r="H325" s="191" t="s">
        <v>1111</v>
      </c>
      <c r="I325" s="248">
        <v>15</v>
      </c>
      <c r="J325" s="443">
        <v>40</v>
      </c>
      <c r="K325" s="685">
        <v>40</v>
      </c>
      <c r="L325" s="684">
        <v>50</v>
      </c>
      <c r="M325" s="687">
        <f t="shared" si="9"/>
        <v>-10</v>
      </c>
      <c r="N325" s="210">
        <v>35</v>
      </c>
      <c r="O325" s="210">
        <v>50</v>
      </c>
      <c r="P325" s="697">
        <v>0</v>
      </c>
      <c r="Q325" s="179">
        <v>2.5</v>
      </c>
      <c r="R325" s="95" t="s">
        <v>943</v>
      </c>
      <c r="S325" s="179" t="s">
        <v>1125</v>
      </c>
      <c r="T325" s="241">
        <v>37</v>
      </c>
      <c r="U325" s="658">
        <v>0</v>
      </c>
      <c r="V325" s="67" t="s">
        <v>714</v>
      </c>
      <c r="W325" s="191" t="s">
        <v>714</v>
      </c>
      <c r="X325" s="245">
        <v>0</v>
      </c>
      <c r="Y325" s="233">
        <v>4</v>
      </c>
      <c r="Z325" s="225">
        <v>2</v>
      </c>
      <c r="AA325" s="221"/>
      <c r="AB325" s="246"/>
      <c r="AC325" s="233">
        <v>1</v>
      </c>
      <c r="AD325" s="19">
        <v>0</v>
      </c>
      <c r="AE325" s="225">
        <v>4</v>
      </c>
      <c r="AF325" s="254" t="s">
        <v>1482</v>
      </c>
    </row>
    <row r="326" spans="1:40" s="147" customFormat="1" ht="27.6" customHeight="1">
      <c r="A326" s="186" t="s">
        <v>991</v>
      </c>
      <c r="B326" s="94">
        <v>15</v>
      </c>
      <c r="C326" s="186" t="s">
        <v>992</v>
      </c>
      <c r="D326" s="95">
        <v>59</v>
      </c>
      <c r="E326" s="94" t="s">
        <v>487</v>
      </c>
      <c r="F326" s="189">
        <v>45228</v>
      </c>
      <c r="G326" s="204" t="s">
        <v>1272</v>
      </c>
      <c r="H326" s="191" t="s">
        <v>1111</v>
      </c>
      <c r="I326" s="248">
        <v>15</v>
      </c>
      <c r="J326" s="443">
        <v>50</v>
      </c>
      <c r="K326" s="685">
        <v>50</v>
      </c>
      <c r="L326" s="684">
        <v>60</v>
      </c>
      <c r="M326" s="687">
        <f t="shared" si="9"/>
        <v>-10</v>
      </c>
      <c r="N326" s="210">
        <v>50</v>
      </c>
      <c r="O326" s="210">
        <v>55</v>
      </c>
      <c r="P326" s="697">
        <v>0</v>
      </c>
      <c r="Q326" s="179">
        <v>2.5</v>
      </c>
      <c r="R326" s="95" t="s">
        <v>943</v>
      </c>
      <c r="S326" s="697">
        <v>0</v>
      </c>
      <c r="T326" s="245"/>
      <c r="U326" s="658">
        <v>0</v>
      </c>
      <c r="V326" s="67" t="s">
        <v>714</v>
      </c>
      <c r="W326" s="191" t="s">
        <v>714</v>
      </c>
      <c r="X326" s="245">
        <v>0</v>
      </c>
      <c r="Y326" s="233">
        <v>2</v>
      </c>
      <c r="Z326" s="225">
        <v>1</v>
      </c>
      <c r="AA326" s="221">
        <v>77</v>
      </c>
      <c r="AB326" s="246">
        <v>6</v>
      </c>
      <c r="AC326" s="233">
        <v>1</v>
      </c>
      <c r="AD326" s="19">
        <v>0</v>
      </c>
      <c r="AE326" s="225">
        <v>1</v>
      </c>
      <c r="AF326" s="254" t="s">
        <v>1482</v>
      </c>
      <c r="AG326" s="150"/>
      <c r="AH326" s="150"/>
      <c r="AI326" s="150"/>
      <c r="AJ326" s="150"/>
      <c r="AK326" s="150"/>
      <c r="AL326" s="150"/>
      <c r="AM326" s="150"/>
      <c r="AN326" s="150"/>
    </row>
    <row r="327" spans="1:40" s="147" customFormat="1" ht="27.6" customHeight="1">
      <c r="A327" s="186" t="s">
        <v>991</v>
      </c>
      <c r="B327" s="94">
        <v>15</v>
      </c>
      <c r="C327" s="186" t="s">
        <v>992</v>
      </c>
      <c r="D327" s="95">
        <v>60</v>
      </c>
      <c r="E327" s="94" t="s">
        <v>488</v>
      </c>
      <c r="F327" s="189">
        <v>45228</v>
      </c>
      <c r="G327" s="204" t="s">
        <v>1272</v>
      </c>
      <c r="H327" s="191" t="s">
        <v>1111</v>
      </c>
      <c r="I327" s="248">
        <v>15</v>
      </c>
      <c r="J327" s="443">
        <v>50</v>
      </c>
      <c r="K327" s="685">
        <v>50</v>
      </c>
      <c r="L327" s="684">
        <v>60</v>
      </c>
      <c r="M327" s="687">
        <f t="shared" si="9"/>
        <v>-10</v>
      </c>
      <c r="N327" s="210">
        <v>55</v>
      </c>
      <c r="O327" s="210">
        <v>55</v>
      </c>
      <c r="P327" s="697">
        <v>0</v>
      </c>
      <c r="Q327" s="179">
        <v>2.5</v>
      </c>
      <c r="R327" s="95" t="s">
        <v>943</v>
      </c>
      <c r="S327" s="697">
        <v>0</v>
      </c>
      <c r="T327" s="245"/>
      <c r="U327" s="658">
        <v>0</v>
      </c>
      <c r="V327" s="67" t="s">
        <v>714</v>
      </c>
      <c r="W327" s="191" t="s">
        <v>714</v>
      </c>
      <c r="X327" s="245">
        <v>0</v>
      </c>
      <c r="Y327" s="233">
        <v>2</v>
      </c>
      <c r="Z327" s="225">
        <v>1</v>
      </c>
      <c r="AA327" s="221">
        <v>74.5</v>
      </c>
      <c r="AB327" s="246">
        <v>6</v>
      </c>
      <c r="AC327" s="233">
        <v>0</v>
      </c>
      <c r="AD327" s="19">
        <v>0</v>
      </c>
      <c r="AE327" s="225">
        <v>0</v>
      </c>
      <c r="AF327" s="254" t="s">
        <v>1506</v>
      </c>
    </row>
    <row r="328" spans="1:40" ht="27.6" customHeight="1">
      <c r="A328" s="186" t="s">
        <v>991</v>
      </c>
      <c r="B328" s="94">
        <v>15</v>
      </c>
      <c r="C328" s="186" t="s">
        <v>992</v>
      </c>
      <c r="D328" s="95">
        <v>61</v>
      </c>
      <c r="E328" s="94" t="s">
        <v>489</v>
      </c>
      <c r="F328" s="189">
        <v>45228</v>
      </c>
      <c r="G328" s="204" t="s">
        <v>1272</v>
      </c>
      <c r="H328" s="191" t="s">
        <v>1111</v>
      </c>
      <c r="I328" s="248">
        <v>15</v>
      </c>
      <c r="J328" s="443" t="s">
        <v>1155</v>
      </c>
      <c r="K328" s="685">
        <v>10</v>
      </c>
      <c r="L328" s="684">
        <v>10</v>
      </c>
      <c r="M328" s="687">
        <f t="shared" si="9"/>
        <v>0</v>
      </c>
      <c r="N328" s="210">
        <v>37.5</v>
      </c>
      <c r="O328" s="210"/>
      <c r="P328" s="697">
        <v>0</v>
      </c>
      <c r="Q328" s="179"/>
      <c r="R328" s="95" t="s">
        <v>1095</v>
      </c>
      <c r="S328" s="697">
        <v>0</v>
      </c>
      <c r="T328" s="245"/>
      <c r="U328" s="658">
        <v>0</v>
      </c>
      <c r="V328" s="67" t="s">
        <v>714</v>
      </c>
      <c r="W328" s="191" t="s">
        <v>714</v>
      </c>
      <c r="X328" s="245">
        <v>0</v>
      </c>
      <c r="Y328" s="233">
        <v>1</v>
      </c>
      <c r="Z328" s="225">
        <v>0</v>
      </c>
      <c r="AA328" s="221">
        <v>180.5</v>
      </c>
      <c r="AB328" s="246">
        <v>6</v>
      </c>
      <c r="AC328" s="233">
        <v>0</v>
      </c>
      <c r="AD328" s="19">
        <v>4</v>
      </c>
      <c r="AE328" s="225">
        <v>0</v>
      </c>
      <c r="AF328" s="255" t="s">
        <v>1506</v>
      </c>
      <c r="AG328" s="147"/>
      <c r="AH328" s="147"/>
      <c r="AI328" s="147"/>
      <c r="AJ328" s="147"/>
      <c r="AK328" s="147"/>
      <c r="AL328" s="147"/>
      <c r="AM328" s="147"/>
      <c r="AN328" s="147"/>
    </row>
    <row r="329" spans="1:40" s="147" customFormat="1" ht="27.6" customHeight="1">
      <c r="A329" s="186" t="s">
        <v>991</v>
      </c>
      <c r="B329" s="94">
        <v>15</v>
      </c>
      <c r="C329" s="186" t="s">
        <v>992</v>
      </c>
      <c r="D329" s="95">
        <v>66</v>
      </c>
      <c r="E329" s="94" t="s">
        <v>491</v>
      </c>
      <c r="F329" s="189">
        <v>45256</v>
      </c>
      <c r="G329" s="204" t="s">
        <v>1272</v>
      </c>
      <c r="H329" s="191" t="s">
        <v>1111</v>
      </c>
      <c r="I329" s="248">
        <v>15</v>
      </c>
      <c r="J329" s="443">
        <v>10</v>
      </c>
      <c r="K329" s="685">
        <v>10</v>
      </c>
      <c r="L329" s="684">
        <v>10</v>
      </c>
      <c r="M329" s="687">
        <f t="shared" si="9"/>
        <v>0</v>
      </c>
      <c r="N329" s="210">
        <v>80</v>
      </c>
      <c r="O329" s="210">
        <v>62.5</v>
      </c>
      <c r="P329" s="697">
        <v>0</v>
      </c>
      <c r="Q329" s="697">
        <v>0</v>
      </c>
      <c r="R329" s="95" t="s">
        <v>944</v>
      </c>
      <c r="S329" s="179" t="s">
        <v>1125</v>
      </c>
      <c r="T329" s="241">
        <v>46</v>
      </c>
      <c r="U329" s="658">
        <v>0</v>
      </c>
      <c r="V329" s="67" t="s">
        <v>714</v>
      </c>
      <c r="W329" s="191" t="s">
        <v>714</v>
      </c>
      <c r="X329" s="245">
        <v>0</v>
      </c>
      <c r="Y329" s="233">
        <v>2</v>
      </c>
      <c r="Z329" s="225">
        <v>1</v>
      </c>
      <c r="AA329" s="221">
        <v>77</v>
      </c>
      <c r="AB329" s="246">
        <v>6</v>
      </c>
      <c r="AC329" s="233">
        <v>1</v>
      </c>
      <c r="AD329" s="19">
        <v>0</v>
      </c>
      <c r="AE329" s="225">
        <v>0</v>
      </c>
      <c r="AF329" s="254" t="s">
        <v>1482</v>
      </c>
    </row>
    <row r="330" spans="1:40" s="147" customFormat="1" ht="27.6" customHeight="1">
      <c r="A330" s="186" t="s">
        <v>991</v>
      </c>
      <c r="B330" s="94">
        <v>15</v>
      </c>
      <c r="C330" s="186" t="s">
        <v>992</v>
      </c>
      <c r="D330" s="95">
        <v>104</v>
      </c>
      <c r="E330" s="94" t="s">
        <v>492</v>
      </c>
      <c r="F330" s="189">
        <v>45239</v>
      </c>
      <c r="G330" s="204" t="s">
        <v>1272</v>
      </c>
      <c r="H330" s="191" t="s">
        <v>1111</v>
      </c>
      <c r="I330" s="248">
        <v>15</v>
      </c>
      <c r="J330" s="443">
        <v>10</v>
      </c>
      <c r="K330" s="685">
        <v>10</v>
      </c>
      <c r="L330" s="684">
        <v>10</v>
      </c>
      <c r="M330" s="687">
        <f t="shared" si="9"/>
        <v>0</v>
      </c>
      <c r="N330" s="210">
        <v>60</v>
      </c>
      <c r="O330" s="210">
        <v>50</v>
      </c>
      <c r="P330" s="697">
        <v>0</v>
      </c>
      <c r="Q330" s="697">
        <v>0</v>
      </c>
      <c r="R330" s="95" t="s">
        <v>944</v>
      </c>
      <c r="S330" s="179" t="s">
        <v>1128</v>
      </c>
      <c r="T330" s="241">
        <v>23.5</v>
      </c>
      <c r="U330" s="658">
        <v>0</v>
      </c>
      <c r="V330" s="67" t="s">
        <v>714</v>
      </c>
      <c r="W330" s="191" t="s">
        <v>714</v>
      </c>
      <c r="X330" s="245">
        <v>0</v>
      </c>
      <c r="Y330" s="233">
        <v>2</v>
      </c>
      <c r="Z330" s="225">
        <v>1</v>
      </c>
      <c r="AA330" s="221">
        <v>4.84</v>
      </c>
      <c r="AB330" s="246">
        <v>3</v>
      </c>
      <c r="AC330" s="233">
        <v>0</v>
      </c>
      <c r="AD330" s="19">
        <v>0</v>
      </c>
      <c r="AE330" s="225">
        <v>0</v>
      </c>
      <c r="AF330" s="254" t="s">
        <v>1482</v>
      </c>
    </row>
    <row r="331" spans="1:40" s="147" customFormat="1" ht="27.6" customHeight="1">
      <c r="A331" s="186" t="s">
        <v>991</v>
      </c>
      <c r="B331" s="94">
        <v>15</v>
      </c>
      <c r="C331" s="186" t="s">
        <v>992</v>
      </c>
      <c r="D331" s="95">
        <v>106</v>
      </c>
      <c r="E331" s="94" t="s">
        <v>493</v>
      </c>
      <c r="F331" s="189">
        <v>45239</v>
      </c>
      <c r="G331" s="204" t="s">
        <v>1272</v>
      </c>
      <c r="H331" s="191" t="s">
        <v>1111</v>
      </c>
      <c r="I331" s="248">
        <v>15</v>
      </c>
      <c r="J331" s="443">
        <v>20</v>
      </c>
      <c r="K331" s="685">
        <v>20</v>
      </c>
      <c r="L331" s="684">
        <v>20</v>
      </c>
      <c r="M331" s="687">
        <f t="shared" si="9"/>
        <v>0</v>
      </c>
      <c r="N331" s="210">
        <v>47.5</v>
      </c>
      <c r="O331" s="210">
        <v>35</v>
      </c>
      <c r="P331" s="697">
        <v>0</v>
      </c>
      <c r="Q331" s="697">
        <v>0</v>
      </c>
      <c r="R331" s="95" t="s">
        <v>944</v>
      </c>
      <c r="S331" s="179" t="s">
        <v>1467</v>
      </c>
      <c r="T331" s="241">
        <v>86</v>
      </c>
      <c r="U331" s="658">
        <v>0</v>
      </c>
      <c r="V331" s="67" t="s">
        <v>714</v>
      </c>
      <c r="W331" s="191" t="s">
        <v>714</v>
      </c>
      <c r="X331" s="245">
        <v>0</v>
      </c>
      <c r="Y331" s="233">
        <v>2</v>
      </c>
      <c r="Z331" s="225">
        <v>1</v>
      </c>
      <c r="AA331" s="221">
        <v>25.07</v>
      </c>
      <c r="AB331" s="246" t="s">
        <v>973</v>
      </c>
      <c r="AC331" s="233">
        <v>0</v>
      </c>
      <c r="AD331" s="19">
        <v>1</v>
      </c>
      <c r="AE331" s="225">
        <v>4</v>
      </c>
      <c r="AF331" s="254" t="s">
        <v>1482</v>
      </c>
    </row>
    <row r="332" spans="1:40" ht="27.6" customHeight="1">
      <c r="A332" s="186" t="s">
        <v>991</v>
      </c>
      <c r="B332" s="94">
        <v>15</v>
      </c>
      <c r="C332" s="186" t="s">
        <v>992</v>
      </c>
      <c r="D332" s="95">
        <v>107</v>
      </c>
      <c r="E332" s="94" t="s">
        <v>494</v>
      </c>
      <c r="F332" s="189">
        <v>45241</v>
      </c>
      <c r="G332" s="204" t="s">
        <v>1272</v>
      </c>
      <c r="H332" s="191" t="s">
        <v>1111</v>
      </c>
      <c r="I332" s="248">
        <v>15</v>
      </c>
      <c r="J332" s="443">
        <v>40</v>
      </c>
      <c r="K332" s="685">
        <v>40</v>
      </c>
      <c r="L332" s="684">
        <v>30</v>
      </c>
      <c r="M332" s="687">
        <f t="shared" si="9"/>
        <v>10</v>
      </c>
      <c r="N332" s="210">
        <v>35</v>
      </c>
      <c r="O332" s="210">
        <v>37.5</v>
      </c>
      <c r="P332" s="697">
        <v>0</v>
      </c>
      <c r="Q332" s="697">
        <v>0</v>
      </c>
      <c r="R332" s="95" t="s">
        <v>944</v>
      </c>
      <c r="S332" s="179" t="s">
        <v>1462</v>
      </c>
      <c r="T332" s="241">
        <v>272</v>
      </c>
      <c r="U332" s="658">
        <v>0</v>
      </c>
      <c r="V332" s="67" t="s">
        <v>714</v>
      </c>
      <c r="W332" s="191" t="s">
        <v>714</v>
      </c>
      <c r="X332" s="245">
        <v>0</v>
      </c>
      <c r="Y332" s="233">
        <v>2</v>
      </c>
      <c r="Z332" s="225">
        <v>1</v>
      </c>
      <c r="AA332" s="221">
        <v>116.42</v>
      </c>
      <c r="AB332" s="246">
        <v>6</v>
      </c>
      <c r="AC332" s="233">
        <v>3</v>
      </c>
      <c r="AD332" s="19">
        <v>0</v>
      </c>
      <c r="AE332" s="225">
        <v>2</v>
      </c>
      <c r="AF332" s="254" t="s">
        <v>1482</v>
      </c>
      <c r="AG332" s="147"/>
      <c r="AH332" s="147"/>
      <c r="AI332" s="147"/>
      <c r="AJ332" s="147"/>
      <c r="AK332" s="147"/>
      <c r="AL332" s="147"/>
      <c r="AM332" s="147"/>
      <c r="AN332" s="147"/>
    </row>
    <row r="333" spans="1:40" ht="27.6" customHeight="1">
      <c r="A333" s="186" t="s">
        <v>991</v>
      </c>
      <c r="B333" s="94">
        <v>15</v>
      </c>
      <c r="C333" s="186" t="s">
        <v>992</v>
      </c>
      <c r="D333" s="95">
        <v>108</v>
      </c>
      <c r="E333" s="94" t="s">
        <v>495</v>
      </c>
      <c r="F333" s="189">
        <v>45236</v>
      </c>
      <c r="G333" s="204" t="s">
        <v>1272</v>
      </c>
      <c r="H333" s="191" t="s">
        <v>1111</v>
      </c>
      <c r="I333" s="248">
        <v>15</v>
      </c>
      <c r="J333" s="443">
        <v>30</v>
      </c>
      <c r="K333" s="685">
        <v>30</v>
      </c>
      <c r="L333" s="684">
        <v>30</v>
      </c>
      <c r="M333" s="687">
        <f t="shared" si="9"/>
        <v>0</v>
      </c>
      <c r="N333" s="210">
        <v>55</v>
      </c>
      <c r="O333" s="210">
        <v>55</v>
      </c>
      <c r="P333" s="179">
        <v>2.5</v>
      </c>
      <c r="Q333" s="179">
        <v>2.5</v>
      </c>
      <c r="R333" s="95" t="s">
        <v>944</v>
      </c>
      <c r="S333" s="179" t="s">
        <v>1468</v>
      </c>
      <c r="T333" s="241">
        <v>63</v>
      </c>
      <c r="U333" s="658">
        <v>0</v>
      </c>
      <c r="V333" s="67" t="s">
        <v>714</v>
      </c>
      <c r="W333" s="191" t="s">
        <v>714</v>
      </c>
      <c r="X333" s="245">
        <v>0</v>
      </c>
      <c r="Y333" s="233">
        <v>4</v>
      </c>
      <c r="Z333" s="225">
        <v>2</v>
      </c>
      <c r="AA333" s="221">
        <v>60.37</v>
      </c>
      <c r="AB333" s="246">
        <v>6</v>
      </c>
      <c r="AC333" s="233">
        <v>1</v>
      </c>
      <c r="AD333" s="19">
        <v>0</v>
      </c>
      <c r="AE333" s="225">
        <v>1</v>
      </c>
      <c r="AF333" s="254" t="s">
        <v>1482</v>
      </c>
      <c r="AG333" s="147"/>
      <c r="AH333" s="147"/>
      <c r="AI333" s="147"/>
      <c r="AJ333" s="147"/>
      <c r="AK333" s="147"/>
      <c r="AL333" s="147"/>
      <c r="AM333" s="147"/>
      <c r="AN333" s="147"/>
    </row>
    <row r="334" spans="1:40" ht="27.6" customHeight="1">
      <c r="A334" s="186" t="s">
        <v>991</v>
      </c>
      <c r="B334" s="94">
        <v>15</v>
      </c>
      <c r="C334" s="186" t="s">
        <v>992</v>
      </c>
      <c r="D334" s="95">
        <v>111</v>
      </c>
      <c r="E334" s="94" t="s">
        <v>497</v>
      </c>
      <c r="F334" s="189">
        <v>45237</v>
      </c>
      <c r="G334" s="204" t="s">
        <v>1272</v>
      </c>
      <c r="H334" s="191" t="s">
        <v>1111</v>
      </c>
      <c r="I334" s="248">
        <v>15</v>
      </c>
      <c r="J334" s="443">
        <v>30</v>
      </c>
      <c r="K334" s="685">
        <v>30</v>
      </c>
      <c r="L334" s="684">
        <v>20</v>
      </c>
      <c r="M334" s="687">
        <f t="shared" si="9"/>
        <v>10</v>
      </c>
      <c r="N334" s="210">
        <v>55</v>
      </c>
      <c r="O334" s="210">
        <v>55</v>
      </c>
      <c r="P334" s="697">
        <v>0</v>
      </c>
      <c r="Q334" s="697">
        <v>0</v>
      </c>
      <c r="R334" s="95" t="s">
        <v>944</v>
      </c>
      <c r="S334" s="179" t="s">
        <v>1122</v>
      </c>
      <c r="T334" s="245"/>
      <c r="U334" s="658">
        <v>0</v>
      </c>
      <c r="V334" s="67" t="s">
        <v>714</v>
      </c>
      <c r="W334" s="191" t="s">
        <v>714</v>
      </c>
      <c r="X334" s="245">
        <v>0</v>
      </c>
      <c r="Y334" s="233">
        <v>2</v>
      </c>
      <c r="Z334" s="225">
        <v>1</v>
      </c>
      <c r="AA334" s="221"/>
      <c r="AB334" s="246"/>
      <c r="AC334" s="233">
        <v>0</v>
      </c>
      <c r="AD334" s="19">
        <v>0</v>
      </c>
      <c r="AE334" s="225">
        <v>0</v>
      </c>
      <c r="AF334" s="254" t="s">
        <v>1482</v>
      </c>
      <c r="AG334" s="147"/>
      <c r="AH334" s="147"/>
      <c r="AI334" s="147"/>
      <c r="AJ334" s="147"/>
      <c r="AK334" s="147"/>
      <c r="AL334" s="147"/>
      <c r="AM334" s="147"/>
      <c r="AN334" s="147"/>
    </row>
    <row r="335" spans="1:40" ht="27.6" customHeight="1" thickBot="1">
      <c r="A335" s="264" t="s">
        <v>991</v>
      </c>
      <c r="B335" s="102">
        <v>15</v>
      </c>
      <c r="C335" s="264" t="s">
        <v>992</v>
      </c>
      <c r="D335" s="103">
        <v>113</v>
      </c>
      <c r="E335" s="102" t="s">
        <v>498</v>
      </c>
      <c r="F335" s="278">
        <v>45239</v>
      </c>
      <c r="G335" s="326" t="s">
        <v>1272</v>
      </c>
      <c r="H335" s="360" t="s">
        <v>1111</v>
      </c>
      <c r="I335" s="296">
        <v>15</v>
      </c>
      <c r="J335" s="693">
        <v>30</v>
      </c>
      <c r="K335" s="720">
        <v>30</v>
      </c>
      <c r="L335" s="686">
        <v>20</v>
      </c>
      <c r="M335" s="686">
        <f t="shared" si="9"/>
        <v>10</v>
      </c>
      <c r="N335" s="370">
        <v>80</v>
      </c>
      <c r="O335" s="370">
        <v>50</v>
      </c>
      <c r="P335" s="728">
        <v>0</v>
      </c>
      <c r="Q335" s="728">
        <v>0</v>
      </c>
      <c r="R335" s="103" t="s">
        <v>944</v>
      </c>
      <c r="S335" s="281" t="s">
        <v>1140</v>
      </c>
      <c r="T335" s="282">
        <v>23.3</v>
      </c>
      <c r="U335" s="659">
        <v>0</v>
      </c>
      <c r="V335" s="375" t="s">
        <v>714</v>
      </c>
      <c r="W335" s="360" t="s">
        <v>714</v>
      </c>
      <c r="X335" s="674">
        <v>0</v>
      </c>
      <c r="Y335" s="285">
        <v>2</v>
      </c>
      <c r="Z335" s="286">
        <v>1</v>
      </c>
      <c r="AA335" s="283">
        <v>96.73</v>
      </c>
      <c r="AB335" s="284">
        <v>6</v>
      </c>
      <c r="AC335" s="285">
        <v>2</v>
      </c>
      <c r="AD335" s="84">
        <v>1</v>
      </c>
      <c r="AE335" s="286">
        <v>2</v>
      </c>
      <c r="AF335" s="297" t="s">
        <v>1506</v>
      </c>
      <c r="AG335" s="147"/>
      <c r="AH335" s="147"/>
      <c r="AI335" s="147"/>
      <c r="AJ335" s="147"/>
      <c r="AK335" s="147"/>
      <c r="AL335" s="147"/>
      <c r="AM335" s="147"/>
      <c r="AN335" s="147"/>
    </row>
    <row r="336" spans="1:40" s="147" customFormat="1" ht="27.6" customHeight="1" thickTop="1">
      <c r="A336" s="256" t="s">
        <v>993</v>
      </c>
      <c r="B336" s="92">
        <v>16</v>
      </c>
      <c r="C336" s="256" t="s">
        <v>1273</v>
      </c>
      <c r="D336" s="93">
        <v>1</v>
      </c>
      <c r="E336" s="92" t="s">
        <v>500</v>
      </c>
      <c r="F336" s="258">
        <v>45227</v>
      </c>
      <c r="G336" s="259" t="s">
        <v>1272</v>
      </c>
      <c r="H336" s="361" t="s">
        <v>1111</v>
      </c>
      <c r="I336" s="262">
        <v>15</v>
      </c>
      <c r="J336" s="743">
        <v>10</v>
      </c>
      <c r="K336" s="717">
        <v>10</v>
      </c>
      <c r="L336" s="742">
        <v>10</v>
      </c>
      <c r="M336" s="687">
        <f t="shared" si="9"/>
        <v>0</v>
      </c>
      <c r="N336" s="367">
        <v>35</v>
      </c>
      <c r="O336" s="367">
        <v>35</v>
      </c>
      <c r="P336" s="727">
        <v>0</v>
      </c>
      <c r="Q336" s="727">
        <v>0</v>
      </c>
      <c r="R336" s="93" t="s">
        <v>944</v>
      </c>
      <c r="S336" s="269" t="s">
        <v>1427</v>
      </c>
      <c r="T336" s="270">
        <v>37.5</v>
      </c>
      <c r="U336" s="657">
        <v>1</v>
      </c>
      <c r="V336" s="374" t="s">
        <v>949</v>
      </c>
      <c r="W336" s="361" t="s">
        <v>949</v>
      </c>
      <c r="X336" s="673">
        <v>1</v>
      </c>
      <c r="Y336" s="261">
        <v>2</v>
      </c>
      <c r="Z336" s="260">
        <v>1</v>
      </c>
      <c r="AA336" s="271">
        <v>31.01</v>
      </c>
      <c r="AB336" s="272" t="s">
        <v>988</v>
      </c>
      <c r="AC336" s="261">
        <v>1</v>
      </c>
      <c r="AD336" s="49">
        <v>0</v>
      </c>
      <c r="AE336" s="260">
        <v>1</v>
      </c>
      <c r="AF336" s="301" t="s">
        <v>1482</v>
      </c>
      <c r="AG336" s="150"/>
      <c r="AH336" s="150"/>
      <c r="AI336" s="150"/>
      <c r="AJ336" s="150"/>
      <c r="AK336" s="150"/>
      <c r="AL336" s="150"/>
      <c r="AM336" s="150"/>
      <c r="AN336" s="150"/>
    </row>
    <row r="337" spans="1:40" s="147" customFormat="1" ht="27.6" customHeight="1">
      <c r="A337" s="186" t="s">
        <v>993</v>
      </c>
      <c r="B337" s="94">
        <v>16</v>
      </c>
      <c r="C337" s="186" t="s">
        <v>1273</v>
      </c>
      <c r="D337" s="95">
        <v>2</v>
      </c>
      <c r="E337" s="94" t="s">
        <v>502</v>
      </c>
      <c r="F337" s="189">
        <v>45227</v>
      </c>
      <c r="G337" s="204" t="s">
        <v>1272</v>
      </c>
      <c r="H337" s="191" t="s">
        <v>1111</v>
      </c>
      <c r="I337" s="248">
        <v>15</v>
      </c>
      <c r="J337" s="443">
        <v>60</v>
      </c>
      <c r="K337" s="685">
        <v>60</v>
      </c>
      <c r="L337" s="684">
        <v>40</v>
      </c>
      <c r="M337" s="687">
        <f t="shared" si="9"/>
        <v>20</v>
      </c>
      <c r="N337" s="210">
        <v>40</v>
      </c>
      <c r="O337" s="210">
        <v>28</v>
      </c>
      <c r="P337" s="179">
        <v>0.5</v>
      </c>
      <c r="Q337" s="179">
        <v>1</v>
      </c>
      <c r="R337" s="95" t="s">
        <v>944</v>
      </c>
      <c r="S337" s="179" t="s">
        <v>1428</v>
      </c>
      <c r="T337" s="241">
        <v>78</v>
      </c>
      <c r="U337" s="658">
        <v>0</v>
      </c>
      <c r="V337" s="67" t="s">
        <v>1640</v>
      </c>
      <c r="W337" s="191" t="s">
        <v>1640</v>
      </c>
      <c r="X337" s="245">
        <v>0</v>
      </c>
      <c r="Y337" s="233">
        <v>2</v>
      </c>
      <c r="Z337" s="225">
        <v>1</v>
      </c>
      <c r="AA337" s="221"/>
      <c r="AB337" s="246"/>
      <c r="AC337" s="233">
        <v>4</v>
      </c>
      <c r="AD337" s="19">
        <v>1</v>
      </c>
      <c r="AE337" s="225">
        <v>6</v>
      </c>
      <c r="AF337" s="254" t="s">
        <v>1482</v>
      </c>
      <c r="AG337" s="150"/>
      <c r="AH337" s="150"/>
      <c r="AI337" s="150"/>
      <c r="AJ337" s="150"/>
      <c r="AK337" s="150"/>
      <c r="AL337" s="150"/>
      <c r="AM337" s="150"/>
      <c r="AN337" s="150"/>
    </row>
    <row r="338" spans="1:40" s="147" customFormat="1" ht="27.6" customHeight="1">
      <c r="A338" s="186" t="s">
        <v>993</v>
      </c>
      <c r="B338" s="94">
        <v>16</v>
      </c>
      <c r="C338" s="186" t="s">
        <v>1273</v>
      </c>
      <c r="D338" s="95">
        <v>3</v>
      </c>
      <c r="E338" s="94" t="s">
        <v>503</v>
      </c>
      <c r="F338" s="189">
        <v>45227</v>
      </c>
      <c r="G338" s="204" t="s">
        <v>1272</v>
      </c>
      <c r="H338" s="191" t="s">
        <v>1111</v>
      </c>
      <c r="I338" s="248">
        <v>15</v>
      </c>
      <c r="J338" s="443">
        <v>20</v>
      </c>
      <c r="K338" s="685">
        <v>20</v>
      </c>
      <c r="L338" s="684">
        <v>20</v>
      </c>
      <c r="M338" s="687">
        <f t="shared" si="9"/>
        <v>0</v>
      </c>
      <c r="N338" s="210">
        <v>30</v>
      </c>
      <c r="O338" s="210">
        <v>17.5</v>
      </c>
      <c r="P338" s="697">
        <v>0</v>
      </c>
      <c r="Q338" s="697">
        <v>0</v>
      </c>
      <c r="R338" s="95" t="s">
        <v>944</v>
      </c>
      <c r="S338" s="179" t="s">
        <v>1429</v>
      </c>
      <c r="T338" s="241">
        <v>57.5</v>
      </c>
      <c r="U338" s="658">
        <v>0</v>
      </c>
      <c r="V338" s="16" t="s">
        <v>714</v>
      </c>
      <c r="W338" s="191" t="s">
        <v>714</v>
      </c>
      <c r="X338" s="245">
        <v>0</v>
      </c>
      <c r="Y338" s="233">
        <v>2</v>
      </c>
      <c r="Z338" s="225">
        <v>1</v>
      </c>
      <c r="AA338" s="221"/>
      <c r="AB338" s="246"/>
      <c r="AC338" s="233">
        <v>1</v>
      </c>
      <c r="AD338" s="19">
        <v>0</v>
      </c>
      <c r="AE338" s="225">
        <v>9</v>
      </c>
      <c r="AF338" s="254" t="s">
        <v>1482</v>
      </c>
    </row>
    <row r="339" spans="1:40" ht="27.6" customHeight="1">
      <c r="A339" s="186" t="s">
        <v>993</v>
      </c>
      <c r="B339" s="94">
        <v>16</v>
      </c>
      <c r="C339" s="186" t="s">
        <v>1273</v>
      </c>
      <c r="D339" s="95">
        <v>6</v>
      </c>
      <c r="E339" s="94" t="s">
        <v>504</v>
      </c>
      <c r="F339" s="189">
        <v>45230</v>
      </c>
      <c r="G339" s="204" t="s">
        <v>1272</v>
      </c>
      <c r="H339" s="191" t="s">
        <v>1111</v>
      </c>
      <c r="I339" s="248">
        <v>15</v>
      </c>
      <c r="J339" s="443" t="s">
        <v>1155</v>
      </c>
      <c r="K339" s="685">
        <v>10</v>
      </c>
      <c r="L339" s="684">
        <v>10</v>
      </c>
      <c r="M339" s="687">
        <f t="shared" si="9"/>
        <v>0</v>
      </c>
      <c r="N339" s="210">
        <v>50</v>
      </c>
      <c r="O339" s="210">
        <v>32.5</v>
      </c>
      <c r="P339" s="697">
        <v>0</v>
      </c>
      <c r="Q339" s="697">
        <v>0</v>
      </c>
      <c r="R339" s="95" t="s">
        <v>944</v>
      </c>
      <c r="S339" s="179" t="s">
        <v>1430</v>
      </c>
      <c r="T339" s="241">
        <v>45</v>
      </c>
      <c r="U339" s="658">
        <v>0</v>
      </c>
      <c r="V339" s="16" t="s">
        <v>714</v>
      </c>
      <c r="W339" s="191" t="s">
        <v>714</v>
      </c>
      <c r="X339" s="245">
        <v>0</v>
      </c>
      <c r="Y339" s="233">
        <v>2</v>
      </c>
      <c r="Z339" s="225">
        <v>1</v>
      </c>
      <c r="AA339" s="221">
        <v>17.649999999999999</v>
      </c>
      <c r="AB339" s="246" t="s">
        <v>973</v>
      </c>
      <c r="AC339" s="233">
        <v>2</v>
      </c>
      <c r="AD339" s="19">
        <v>0</v>
      </c>
      <c r="AE339" s="225">
        <v>11</v>
      </c>
      <c r="AF339" s="254" t="s">
        <v>1482</v>
      </c>
    </row>
    <row r="340" spans="1:40" s="147" customFormat="1" ht="27.6" customHeight="1">
      <c r="A340" s="186" t="s">
        <v>993</v>
      </c>
      <c r="B340" s="94">
        <v>16</v>
      </c>
      <c r="C340" s="186" t="s">
        <v>1273</v>
      </c>
      <c r="D340" s="95">
        <v>7</v>
      </c>
      <c r="E340" s="94" t="s">
        <v>505</v>
      </c>
      <c r="F340" s="189">
        <v>45229</v>
      </c>
      <c r="G340" s="204" t="s">
        <v>1272</v>
      </c>
      <c r="H340" s="191" t="s">
        <v>1111</v>
      </c>
      <c r="I340" s="248">
        <v>15</v>
      </c>
      <c r="J340" s="443" t="s">
        <v>1155</v>
      </c>
      <c r="K340" s="685">
        <v>10</v>
      </c>
      <c r="L340" s="684">
        <v>10</v>
      </c>
      <c r="M340" s="687">
        <f t="shared" si="9"/>
        <v>0</v>
      </c>
      <c r="N340" s="210">
        <v>75</v>
      </c>
      <c r="O340" s="210">
        <v>60</v>
      </c>
      <c r="P340" s="697">
        <v>0</v>
      </c>
      <c r="Q340" s="697">
        <v>0</v>
      </c>
      <c r="R340" s="95" t="s">
        <v>944</v>
      </c>
      <c r="S340" s="697">
        <v>0</v>
      </c>
      <c r="T340" s="245"/>
      <c r="U340" s="658">
        <v>1</v>
      </c>
      <c r="V340" s="67" t="s">
        <v>955</v>
      </c>
      <c r="W340" s="191" t="s">
        <v>955</v>
      </c>
      <c r="X340" s="245">
        <v>1</v>
      </c>
      <c r="Y340" s="233">
        <v>2</v>
      </c>
      <c r="Z340" s="225">
        <v>1</v>
      </c>
      <c r="AA340" s="221">
        <v>6.03</v>
      </c>
      <c r="AB340" s="246">
        <v>4</v>
      </c>
      <c r="AC340" s="233">
        <v>0</v>
      </c>
      <c r="AD340" s="19">
        <v>0</v>
      </c>
      <c r="AE340" s="225">
        <v>1</v>
      </c>
      <c r="AF340" s="254" t="s">
        <v>1482</v>
      </c>
    </row>
    <row r="341" spans="1:40" s="147" customFormat="1" ht="27.6" customHeight="1">
      <c r="A341" s="186" t="s">
        <v>993</v>
      </c>
      <c r="B341" s="94">
        <v>16</v>
      </c>
      <c r="C341" s="186" t="s">
        <v>1273</v>
      </c>
      <c r="D341" s="95">
        <v>8</v>
      </c>
      <c r="E341" s="94" t="s">
        <v>506</v>
      </c>
      <c r="F341" s="189">
        <v>45229</v>
      </c>
      <c r="G341" s="204" t="s">
        <v>1272</v>
      </c>
      <c r="H341" s="191" t="s">
        <v>1111</v>
      </c>
      <c r="I341" s="248">
        <v>15</v>
      </c>
      <c r="J341" s="443" t="s">
        <v>1155</v>
      </c>
      <c r="K341" s="685">
        <v>10</v>
      </c>
      <c r="L341" s="684">
        <v>10</v>
      </c>
      <c r="M341" s="687">
        <f t="shared" si="9"/>
        <v>0</v>
      </c>
      <c r="N341" s="210">
        <v>65</v>
      </c>
      <c r="O341" s="210">
        <v>60</v>
      </c>
      <c r="P341" s="697">
        <v>0</v>
      </c>
      <c r="Q341" s="697">
        <v>0</v>
      </c>
      <c r="R341" s="95" t="s">
        <v>944</v>
      </c>
      <c r="S341" s="179" t="s">
        <v>1125</v>
      </c>
      <c r="T341" s="241">
        <v>35</v>
      </c>
      <c r="U341" s="658">
        <v>0</v>
      </c>
      <c r="V341" s="67" t="s">
        <v>714</v>
      </c>
      <c r="W341" s="191" t="s">
        <v>714</v>
      </c>
      <c r="X341" s="245">
        <v>0</v>
      </c>
      <c r="Y341" s="233">
        <v>2</v>
      </c>
      <c r="Z341" s="225">
        <v>1</v>
      </c>
      <c r="AA341" s="221">
        <v>11.24</v>
      </c>
      <c r="AB341" s="246" t="s">
        <v>973</v>
      </c>
      <c r="AC341" s="233">
        <v>0</v>
      </c>
      <c r="AD341" s="19">
        <v>0</v>
      </c>
      <c r="AE341" s="225">
        <v>1</v>
      </c>
      <c r="AF341" s="254" t="s">
        <v>1482</v>
      </c>
      <c r="AG341" s="150"/>
      <c r="AH341" s="150"/>
      <c r="AI341" s="150"/>
      <c r="AJ341" s="150"/>
      <c r="AK341" s="150"/>
      <c r="AL341" s="150"/>
      <c r="AM341" s="150"/>
      <c r="AN341" s="150"/>
    </row>
    <row r="342" spans="1:40" s="147" customFormat="1" ht="27.6" customHeight="1">
      <c r="A342" s="186" t="s">
        <v>993</v>
      </c>
      <c r="B342" s="94">
        <v>16</v>
      </c>
      <c r="C342" s="186" t="s">
        <v>1273</v>
      </c>
      <c r="D342" s="95">
        <v>9</v>
      </c>
      <c r="E342" s="94" t="s">
        <v>507</v>
      </c>
      <c r="F342" s="189">
        <v>45229</v>
      </c>
      <c r="G342" s="204" t="s">
        <v>1272</v>
      </c>
      <c r="H342" s="191" t="s">
        <v>1111</v>
      </c>
      <c r="I342" s="248">
        <v>15</v>
      </c>
      <c r="J342" s="443">
        <v>30</v>
      </c>
      <c r="K342" s="685">
        <v>30</v>
      </c>
      <c r="L342" s="684">
        <v>30</v>
      </c>
      <c r="M342" s="687">
        <f t="shared" si="9"/>
        <v>0</v>
      </c>
      <c r="N342" s="210">
        <v>60</v>
      </c>
      <c r="O342" s="210">
        <v>55</v>
      </c>
      <c r="P342" s="697">
        <v>0</v>
      </c>
      <c r="Q342" s="697">
        <v>0</v>
      </c>
      <c r="R342" s="95" t="s">
        <v>944</v>
      </c>
      <c r="S342" s="179" t="s">
        <v>1123</v>
      </c>
      <c r="T342" s="241">
        <v>114.5</v>
      </c>
      <c r="U342" s="658">
        <v>1</v>
      </c>
      <c r="V342" s="67" t="s">
        <v>955</v>
      </c>
      <c r="W342" s="191" t="s">
        <v>955</v>
      </c>
      <c r="X342" s="245">
        <v>1</v>
      </c>
      <c r="Y342" s="233">
        <v>2</v>
      </c>
      <c r="Z342" s="225">
        <v>1</v>
      </c>
      <c r="AA342" s="221">
        <v>5.0999999999999996</v>
      </c>
      <c r="AB342" s="246">
        <v>4</v>
      </c>
      <c r="AC342" s="233">
        <v>1</v>
      </c>
      <c r="AD342" s="19">
        <v>0</v>
      </c>
      <c r="AE342" s="225">
        <v>1</v>
      </c>
      <c r="AF342" s="254" t="s">
        <v>1482</v>
      </c>
    </row>
    <row r="343" spans="1:40" s="147" customFormat="1" ht="27.6" customHeight="1">
      <c r="A343" s="186" t="s">
        <v>993</v>
      </c>
      <c r="B343" s="94">
        <v>16</v>
      </c>
      <c r="C343" s="186" t="s">
        <v>1273</v>
      </c>
      <c r="D343" s="95">
        <v>10</v>
      </c>
      <c r="E343" s="94" t="s">
        <v>508</v>
      </c>
      <c r="F343" s="189">
        <v>45229</v>
      </c>
      <c r="G343" s="204" t="s">
        <v>1272</v>
      </c>
      <c r="H343" s="191" t="s">
        <v>1111</v>
      </c>
      <c r="I343" s="248">
        <v>15</v>
      </c>
      <c r="J343" s="443">
        <v>40</v>
      </c>
      <c r="K343" s="685">
        <v>40</v>
      </c>
      <c r="L343" s="684">
        <v>40</v>
      </c>
      <c r="M343" s="687">
        <f t="shared" si="9"/>
        <v>0</v>
      </c>
      <c r="N343" s="210">
        <v>30</v>
      </c>
      <c r="O343" s="210">
        <v>30</v>
      </c>
      <c r="P343" s="697">
        <v>0</v>
      </c>
      <c r="Q343" s="697">
        <v>0</v>
      </c>
      <c r="R343" s="95" t="s">
        <v>1092</v>
      </c>
      <c r="S343" s="697">
        <v>0</v>
      </c>
      <c r="T343" s="245"/>
      <c r="U343" s="658">
        <v>0</v>
      </c>
      <c r="V343" s="67" t="s">
        <v>714</v>
      </c>
      <c r="W343" s="191" t="s">
        <v>714</v>
      </c>
      <c r="X343" s="245">
        <v>0</v>
      </c>
      <c r="Y343" s="233">
        <v>2</v>
      </c>
      <c r="Z343" s="225">
        <v>1</v>
      </c>
      <c r="AA343" s="221">
        <v>15.53</v>
      </c>
      <c r="AB343" s="246" t="s">
        <v>973</v>
      </c>
      <c r="AC343" s="233">
        <v>0</v>
      </c>
      <c r="AD343" s="19">
        <v>0</v>
      </c>
      <c r="AE343" s="225">
        <v>0</v>
      </c>
      <c r="AF343" s="254" t="s">
        <v>1482</v>
      </c>
    </row>
    <row r="344" spans="1:40" s="147" customFormat="1" ht="27.6" customHeight="1">
      <c r="A344" s="186" t="s">
        <v>993</v>
      </c>
      <c r="B344" s="94">
        <v>16</v>
      </c>
      <c r="C344" s="186" t="s">
        <v>1273</v>
      </c>
      <c r="D344" s="95">
        <v>11</v>
      </c>
      <c r="E344" s="94" t="s">
        <v>509</v>
      </c>
      <c r="F344" s="189">
        <v>45227</v>
      </c>
      <c r="G344" s="204" t="s">
        <v>1272</v>
      </c>
      <c r="H344" s="191" t="s">
        <v>1111</v>
      </c>
      <c r="I344" s="248">
        <v>15</v>
      </c>
      <c r="J344" s="446" t="s">
        <v>948</v>
      </c>
      <c r="K344" s="621">
        <v>2.5</v>
      </c>
      <c r="L344" s="625">
        <v>2.5</v>
      </c>
      <c r="M344" s="687">
        <f t="shared" si="9"/>
        <v>0</v>
      </c>
      <c r="N344" s="210">
        <v>43</v>
      </c>
      <c r="O344" s="210">
        <v>35</v>
      </c>
      <c r="P344" s="179">
        <v>0.5</v>
      </c>
      <c r="Q344" s="697">
        <v>0</v>
      </c>
      <c r="R344" s="95" t="s">
        <v>944</v>
      </c>
      <c r="S344" s="179" t="s">
        <v>1143</v>
      </c>
      <c r="T344" s="241">
        <v>25.5</v>
      </c>
      <c r="U344" s="658">
        <v>0</v>
      </c>
      <c r="V344" s="16" t="s">
        <v>714</v>
      </c>
      <c r="W344" s="191" t="s">
        <v>714</v>
      </c>
      <c r="X344" s="245">
        <v>0</v>
      </c>
      <c r="Y344" s="233">
        <v>2</v>
      </c>
      <c r="Z344" s="225">
        <v>1</v>
      </c>
      <c r="AA344" s="221">
        <v>9.16</v>
      </c>
      <c r="AB344" s="246">
        <v>4</v>
      </c>
      <c r="AC344" s="233">
        <v>3</v>
      </c>
      <c r="AD344" s="19">
        <v>0</v>
      </c>
      <c r="AE344" s="225">
        <v>6</v>
      </c>
      <c r="AF344" s="254" t="s">
        <v>1482</v>
      </c>
    </row>
    <row r="345" spans="1:40" s="147" customFormat="1" ht="27.6" customHeight="1">
      <c r="A345" s="186" t="s">
        <v>993</v>
      </c>
      <c r="B345" s="94">
        <v>16</v>
      </c>
      <c r="C345" s="186" t="s">
        <v>1273</v>
      </c>
      <c r="D345" s="95">
        <v>12</v>
      </c>
      <c r="E345" s="94" t="s">
        <v>510</v>
      </c>
      <c r="F345" s="189">
        <v>45230</v>
      </c>
      <c r="G345" s="204" t="s">
        <v>1272</v>
      </c>
      <c r="H345" s="191" t="s">
        <v>1111</v>
      </c>
      <c r="I345" s="248">
        <v>15</v>
      </c>
      <c r="J345" s="443">
        <v>10</v>
      </c>
      <c r="K345" s="685">
        <v>10</v>
      </c>
      <c r="L345" s="684">
        <v>10</v>
      </c>
      <c r="M345" s="687">
        <f t="shared" si="9"/>
        <v>0</v>
      </c>
      <c r="N345" s="210">
        <v>70</v>
      </c>
      <c r="O345" s="210">
        <v>45</v>
      </c>
      <c r="P345" s="697">
        <v>0</v>
      </c>
      <c r="Q345" s="697">
        <v>0</v>
      </c>
      <c r="R345" s="95" t="s">
        <v>944</v>
      </c>
      <c r="S345" s="179" t="s">
        <v>1141</v>
      </c>
      <c r="T345" s="241">
        <v>36</v>
      </c>
      <c r="U345" s="658">
        <v>0</v>
      </c>
      <c r="V345" s="67" t="s">
        <v>714</v>
      </c>
      <c r="W345" s="191" t="s">
        <v>714</v>
      </c>
      <c r="X345" s="245">
        <v>0</v>
      </c>
      <c r="Y345" s="233">
        <v>2</v>
      </c>
      <c r="Z345" s="225">
        <v>1</v>
      </c>
      <c r="AA345" s="221">
        <v>11.51</v>
      </c>
      <c r="AB345" s="246" t="s">
        <v>973</v>
      </c>
      <c r="AC345" s="233">
        <v>0</v>
      </c>
      <c r="AD345" s="19">
        <v>0</v>
      </c>
      <c r="AE345" s="225">
        <v>3</v>
      </c>
      <c r="AF345" s="254" t="s">
        <v>1482</v>
      </c>
    </row>
    <row r="346" spans="1:40" s="147" customFormat="1" ht="27.6" customHeight="1">
      <c r="A346" s="186" t="s">
        <v>993</v>
      </c>
      <c r="B346" s="94">
        <v>16</v>
      </c>
      <c r="C346" s="186" t="s">
        <v>1273</v>
      </c>
      <c r="D346" s="95">
        <v>13</v>
      </c>
      <c r="E346" s="94" t="s">
        <v>511</v>
      </c>
      <c r="F346" s="189">
        <v>45239</v>
      </c>
      <c r="G346" s="204" t="s">
        <v>1272</v>
      </c>
      <c r="H346" s="191" t="s">
        <v>1111</v>
      </c>
      <c r="I346" s="248">
        <v>15</v>
      </c>
      <c r="J346" s="443">
        <v>20</v>
      </c>
      <c r="K346" s="685">
        <v>20</v>
      </c>
      <c r="L346" s="684">
        <v>10</v>
      </c>
      <c r="M346" s="687">
        <f t="shared" ref="M346:M377" si="10">K346-L346</f>
        <v>10</v>
      </c>
      <c r="N346" s="210">
        <v>52.5</v>
      </c>
      <c r="O346" s="210">
        <v>57.5</v>
      </c>
      <c r="P346" s="697">
        <v>0</v>
      </c>
      <c r="Q346" s="697">
        <v>0</v>
      </c>
      <c r="R346" s="95" t="s">
        <v>1096</v>
      </c>
      <c r="S346" s="179" t="s">
        <v>1431</v>
      </c>
      <c r="T346" s="241">
        <v>32</v>
      </c>
      <c r="U346" s="658">
        <v>1</v>
      </c>
      <c r="V346" s="67" t="s">
        <v>955</v>
      </c>
      <c r="W346" s="191" t="s">
        <v>955</v>
      </c>
      <c r="X346" s="245">
        <v>1</v>
      </c>
      <c r="Y346" s="233">
        <v>2</v>
      </c>
      <c r="Z346" s="225">
        <v>1</v>
      </c>
      <c r="AA346" s="221">
        <v>16.53</v>
      </c>
      <c r="AB346" s="246" t="s">
        <v>973</v>
      </c>
      <c r="AC346" s="233">
        <v>0</v>
      </c>
      <c r="AD346" s="19">
        <v>0</v>
      </c>
      <c r="AE346" s="225">
        <v>9</v>
      </c>
      <c r="AF346" s="254" t="s">
        <v>1482</v>
      </c>
    </row>
    <row r="347" spans="1:40" s="147" customFormat="1" ht="27.6" customHeight="1">
      <c r="A347" s="186" t="s">
        <v>993</v>
      </c>
      <c r="B347" s="94">
        <v>16</v>
      </c>
      <c r="C347" s="186" t="s">
        <v>1273</v>
      </c>
      <c r="D347" s="95">
        <v>14</v>
      </c>
      <c r="E347" s="94" t="s">
        <v>512</v>
      </c>
      <c r="F347" s="189">
        <v>45230</v>
      </c>
      <c r="G347" s="204" t="s">
        <v>1272</v>
      </c>
      <c r="H347" s="191" t="s">
        <v>1111</v>
      </c>
      <c r="I347" s="248">
        <v>15</v>
      </c>
      <c r="J347" s="446" t="s">
        <v>948</v>
      </c>
      <c r="K347" s="621">
        <v>2.5</v>
      </c>
      <c r="L347" s="625">
        <v>2.5</v>
      </c>
      <c r="M347" s="687">
        <f t="shared" si="10"/>
        <v>0</v>
      </c>
      <c r="N347" s="210">
        <v>55</v>
      </c>
      <c r="O347" s="210">
        <v>45</v>
      </c>
      <c r="P347" s="697">
        <v>0</v>
      </c>
      <c r="Q347" s="697">
        <v>0</v>
      </c>
      <c r="R347" s="95" t="s">
        <v>944</v>
      </c>
      <c r="S347" s="179" t="s">
        <v>1132</v>
      </c>
      <c r="T347" s="241">
        <v>33.9</v>
      </c>
      <c r="U347" s="658">
        <v>0</v>
      </c>
      <c r="V347" s="16" t="s">
        <v>714</v>
      </c>
      <c r="W347" s="191" t="s">
        <v>714</v>
      </c>
      <c r="X347" s="245">
        <v>0</v>
      </c>
      <c r="Y347" s="233">
        <v>2</v>
      </c>
      <c r="Z347" s="225">
        <v>1</v>
      </c>
      <c r="AA347" s="221">
        <v>7.26</v>
      </c>
      <c r="AB347" s="246">
        <v>4</v>
      </c>
      <c r="AC347" s="233">
        <v>0</v>
      </c>
      <c r="AD347" s="19">
        <v>0</v>
      </c>
      <c r="AE347" s="225">
        <v>1</v>
      </c>
      <c r="AF347" s="254" t="s">
        <v>1482</v>
      </c>
    </row>
    <row r="348" spans="1:40" ht="27.6" customHeight="1">
      <c r="A348" s="186" t="s">
        <v>993</v>
      </c>
      <c r="B348" s="94">
        <v>16</v>
      </c>
      <c r="C348" s="186" t="s">
        <v>1273</v>
      </c>
      <c r="D348" s="95">
        <v>15</v>
      </c>
      <c r="E348" s="94" t="s">
        <v>513</v>
      </c>
      <c r="F348" s="189">
        <v>45230</v>
      </c>
      <c r="G348" s="204" t="s">
        <v>1272</v>
      </c>
      <c r="H348" s="191" t="s">
        <v>1111</v>
      </c>
      <c r="I348" s="248">
        <v>15</v>
      </c>
      <c r="J348" s="443">
        <v>20</v>
      </c>
      <c r="K348" s="685">
        <v>20</v>
      </c>
      <c r="L348" s="684">
        <v>10</v>
      </c>
      <c r="M348" s="687">
        <f t="shared" si="10"/>
        <v>10</v>
      </c>
      <c r="N348" s="210">
        <v>50</v>
      </c>
      <c r="O348" s="210">
        <v>40</v>
      </c>
      <c r="P348" s="697">
        <v>0</v>
      </c>
      <c r="Q348" s="697">
        <v>0</v>
      </c>
      <c r="R348" s="95" t="s">
        <v>944</v>
      </c>
      <c r="S348" s="179" t="s">
        <v>1124</v>
      </c>
      <c r="T348" s="241">
        <v>26.7</v>
      </c>
      <c r="U348" s="658">
        <v>0</v>
      </c>
      <c r="V348" s="16" t="s">
        <v>714</v>
      </c>
      <c r="W348" s="191" t="s">
        <v>714</v>
      </c>
      <c r="X348" s="245">
        <v>0</v>
      </c>
      <c r="Y348" s="233">
        <v>2</v>
      </c>
      <c r="Z348" s="225">
        <v>1</v>
      </c>
      <c r="AA348" s="221">
        <v>34.97</v>
      </c>
      <c r="AB348" s="246" t="s">
        <v>988</v>
      </c>
      <c r="AC348" s="233">
        <v>0</v>
      </c>
      <c r="AD348" s="19">
        <v>1</v>
      </c>
      <c r="AE348" s="225">
        <v>1</v>
      </c>
      <c r="AF348" s="254" t="s">
        <v>1482</v>
      </c>
      <c r="AG348" s="147"/>
      <c r="AH348" s="147"/>
      <c r="AI348" s="147"/>
      <c r="AJ348" s="147"/>
      <c r="AK348" s="147"/>
      <c r="AL348" s="147"/>
      <c r="AM348" s="147"/>
      <c r="AN348" s="147"/>
    </row>
    <row r="349" spans="1:40" ht="27.6" customHeight="1">
      <c r="A349" s="186" t="s">
        <v>993</v>
      </c>
      <c r="B349" s="94">
        <v>16</v>
      </c>
      <c r="C349" s="186" t="s">
        <v>1273</v>
      </c>
      <c r="D349" s="95">
        <v>16</v>
      </c>
      <c r="E349" s="94" t="s">
        <v>514</v>
      </c>
      <c r="F349" s="189">
        <v>45239</v>
      </c>
      <c r="G349" s="204" t="s">
        <v>1272</v>
      </c>
      <c r="H349" s="191" t="s">
        <v>1111</v>
      </c>
      <c r="I349" s="248">
        <v>15</v>
      </c>
      <c r="J349" s="405" t="s">
        <v>948</v>
      </c>
      <c r="K349" s="621">
        <v>2.5</v>
      </c>
      <c r="L349" s="620">
        <v>2.5</v>
      </c>
      <c r="M349" s="687">
        <f t="shared" si="10"/>
        <v>0</v>
      </c>
      <c r="N349" s="210">
        <v>57.5</v>
      </c>
      <c r="O349" s="210">
        <v>50</v>
      </c>
      <c r="P349" s="697">
        <v>0</v>
      </c>
      <c r="Q349" s="697">
        <v>0</v>
      </c>
      <c r="R349" s="95" t="s">
        <v>944</v>
      </c>
      <c r="S349" s="179" t="s">
        <v>1432</v>
      </c>
      <c r="T349" s="241">
        <v>39.5</v>
      </c>
      <c r="U349" s="658">
        <v>0</v>
      </c>
      <c r="V349" s="16" t="s">
        <v>714</v>
      </c>
      <c r="W349" s="191" t="s">
        <v>714</v>
      </c>
      <c r="X349" s="245">
        <v>0</v>
      </c>
      <c r="Y349" s="233">
        <v>2</v>
      </c>
      <c r="Z349" s="225">
        <v>1</v>
      </c>
      <c r="AA349" s="221">
        <v>13.62</v>
      </c>
      <c r="AB349" s="246" t="s">
        <v>973</v>
      </c>
      <c r="AC349" s="233">
        <v>2</v>
      </c>
      <c r="AD349" s="19">
        <v>2</v>
      </c>
      <c r="AE349" s="225">
        <v>6</v>
      </c>
      <c r="AF349" s="254" t="s">
        <v>1482</v>
      </c>
      <c r="AG349" s="147"/>
      <c r="AH349" s="147"/>
      <c r="AI349" s="147"/>
      <c r="AJ349" s="147"/>
      <c r="AK349" s="147"/>
      <c r="AL349" s="147"/>
      <c r="AM349" s="147"/>
      <c r="AN349" s="147"/>
    </row>
    <row r="350" spans="1:40" ht="27.6" customHeight="1">
      <c r="A350" s="186" t="s">
        <v>993</v>
      </c>
      <c r="B350" s="94">
        <v>16</v>
      </c>
      <c r="C350" s="186" t="s">
        <v>1273</v>
      </c>
      <c r="D350" s="95">
        <v>17</v>
      </c>
      <c r="E350" s="94" t="s">
        <v>515</v>
      </c>
      <c r="F350" s="189">
        <v>45239</v>
      </c>
      <c r="G350" s="204" t="s">
        <v>1272</v>
      </c>
      <c r="H350" s="191" t="s">
        <v>1111</v>
      </c>
      <c r="I350" s="248">
        <v>15</v>
      </c>
      <c r="J350" s="443" t="s">
        <v>1155</v>
      </c>
      <c r="K350" s="685">
        <v>10</v>
      </c>
      <c r="L350" s="620">
        <v>2.5</v>
      </c>
      <c r="M350" s="617">
        <f t="shared" si="10"/>
        <v>7.5</v>
      </c>
      <c r="N350" s="210">
        <v>47.5</v>
      </c>
      <c r="O350" s="210">
        <v>35</v>
      </c>
      <c r="P350" s="697">
        <v>0</v>
      </c>
      <c r="Q350" s="697">
        <v>0</v>
      </c>
      <c r="R350" s="95" t="s">
        <v>944</v>
      </c>
      <c r="S350" s="179" t="s">
        <v>1433</v>
      </c>
      <c r="T350" s="241">
        <v>45.5</v>
      </c>
      <c r="U350" s="658">
        <v>0</v>
      </c>
      <c r="V350" s="16" t="s">
        <v>714</v>
      </c>
      <c r="W350" s="191" t="s">
        <v>714</v>
      </c>
      <c r="X350" s="245">
        <v>0</v>
      </c>
      <c r="Y350" s="233">
        <v>2</v>
      </c>
      <c r="Z350" s="225">
        <v>1</v>
      </c>
      <c r="AA350" s="221">
        <v>13.84</v>
      </c>
      <c r="AB350" s="246" t="s">
        <v>973</v>
      </c>
      <c r="AC350" s="233">
        <v>2</v>
      </c>
      <c r="AD350" s="19">
        <v>0</v>
      </c>
      <c r="AE350" s="225">
        <v>10</v>
      </c>
      <c r="AF350" s="254" t="s">
        <v>1482</v>
      </c>
      <c r="AG350" s="147"/>
      <c r="AH350" s="147"/>
      <c r="AI350" s="147"/>
      <c r="AJ350" s="147"/>
      <c r="AK350" s="147"/>
      <c r="AL350" s="147"/>
      <c r="AM350" s="147"/>
      <c r="AN350" s="147"/>
    </row>
    <row r="351" spans="1:40" s="147" customFormat="1" ht="27.6" customHeight="1">
      <c r="A351" s="186" t="s">
        <v>993</v>
      </c>
      <c r="B351" s="94">
        <v>16</v>
      </c>
      <c r="C351" s="186" t="s">
        <v>1273</v>
      </c>
      <c r="D351" s="95">
        <v>45</v>
      </c>
      <c r="E351" s="94" t="s">
        <v>516</v>
      </c>
      <c r="F351" s="189">
        <v>45227</v>
      </c>
      <c r="G351" s="204" t="s">
        <v>1272</v>
      </c>
      <c r="H351" s="191" t="s">
        <v>1111</v>
      </c>
      <c r="I351" s="248">
        <v>15</v>
      </c>
      <c r="J351" s="443">
        <v>20</v>
      </c>
      <c r="K351" s="685">
        <v>20</v>
      </c>
      <c r="L351" s="684">
        <v>10</v>
      </c>
      <c r="M351" s="687">
        <f t="shared" si="10"/>
        <v>10</v>
      </c>
      <c r="N351" s="210">
        <v>40</v>
      </c>
      <c r="O351" s="210">
        <v>30</v>
      </c>
      <c r="P351" s="179">
        <v>0.5</v>
      </c>
      <c r="Q351" s="697">
        <v>0</v>
      </c>
      <c r="R351" s="95" t="s">
        <v>944</v>
      </c>
      <c r="S351" s="179" t="s">
        <v>1437</v>
      </c>
      <c r="T351" s="241">
        <v>48.5</v>
      </c>
      <c r="U351" s="658">
        <v>0</v>
      </c>
      <c r="V351" s="67" t="s">
        <v>714</v>
      </c>
      <c r="W351" s="191" t="s">
        <v>714</v>
      </c>
      <c r="X351" s="245">
        <v>0</v>
      </c>
      <c r="Y351" s="233">
        <v>2</v>
      </c>
      <c r="Z351" s="225">
        <v>1</v>
      </c>
      <c r="AA351" s="221"/>
      <c r="AB351" s="246"/>
      <c r="AC351" s="233">
        <v>8</v>
      </c>
      <c r="AD351" s="19">
        <v>0</v>
      </c>
      <c r="AE351" s="225">
        <v>15</v>
      </c>
      <c r="AF351" s="254" t="s">
        <v>1482</v>
      </c>
    </row>
    <row r="352" spans="1:40" s="147" customFormat="1" ht="27.6" customHeight="1">
      <c r="A352" s="186" t="s">
        <v>993</v>
      </c>
      <c r="B352" s="94">
        <v>16</v>
      </c>
      <c r="C352" s="186" t="s">
        <v>1273</v>
      </c>
      <c r="D352" s="95">
        <v>69</v>
      </c>
      <c r="E352" s="94" t="s">
        <v>517</v>
      </c>
      <c r="F352" s="189">
        <v>45229</v>
      </c>
      <c r="G352" s="204" t="s">
        <v>1272</v>
      </c>
      <c r="H352" s="191" t="s">
        <v>1111</v>
      </c>
      <c r="I352" s="248">
        <v>15</v>
      </c>
      <c r="J352" s="443">
        <v>40</v>
      </c>
      <c r="K352" s="685">
        <v>40</v>
      </c>
      <c r="L352" s="684">
        <v>40</v>
      </c>
      <c r="M352" s="687">
        <f t="shared" si="10"/>
        <v>0</v>
      </c>
      <c r="N352" s="210">
        <v>47.5</v>
      </c>
      <c r="O352" s="210">
        <v>40</v>
      </c>
      <c r="P352" s="697">
        <v>0</v>
      </c>
      <c r="Q352" s="697">
        <v>0</v>
      </c>
      <c r="R352" s="95" t="s">
        <v>944</v>
      </c>
      <c r="S352" s="179" t="s">
        <v>1125</v>
      </c>
      <c r="T352" s="241">
        <v>38.299999999999997</v>
      </c>
      <c r="U352" s="658">
        <v>0</v>
      </c>
      <c r="V352" s="67" t="s">
        <v>714</v>
      </c>
      <c r="W352" s="191" t="s">
        <v>714</v>
      </c>
      <c r="X352" s="245">
        <v>0</v>
      </c>
      <c r="Y352" s="233">
        <v>2</v>
      </c>
      <c r="Z352" s="225">
        <v>1</v>
      </c>
      <c r="AA352" s="221">
        <v>5.52</v>
      </c>
      <c r="AB352" s="246">
        <v>4</v>
      </c>
      <c r="AC352" s="233">
        <v>0</v>
      </c>
      <c r="AD352" s="19">
        <v>0</v>
      </c>
      <c r="AE352" s="225">
        <v>0</v>
      </c>
      <c r="AF352" s="254" t="s">
        <v>1482</v>
      </c>
      <c r="AG352" s="150"/>
      <c r="AH352" s="150"/>
      <c r="AI352" s="150"/>
      <c r="AJ352" s="150"/>
      <c r="AK352" s="150"/>
      <c r="AL352" s="150"/>
      <c r="AM352" s="150"/>
      <c r="AN352" s="150"/>
    </row>
    <row r="353" spans="1:40" s="147" customFormat="1" ht="27.6" customHeight="1">
      <c r="A353" s="186" t="s">
        <v>993</v>
      </c>
      <c r="B353" s="94">
        <v>16</v>
      </c>
      <c r="C353" s="186" t="s">
        <v>1273</v>
      </c>
      <c r="D353" s="95">
        <v>70</v>
      </c>
      <c r="E353" s="94" t="s">
        <v>518</v>
      </c>
      <c r="F353" s="189">
        <v>45229</v>
      </c>
      <c r="G353" s="204" t="s">
        <v>1272</v>
      </c>
      <c r="H353" s="191" t="s">
        <v>1111</v>
      </c>
      <c r="I353" s="248">
        <v>15</v>
      </c>
      <c r="J353" s="443" t="s">
        <v>1155</v>
      </c>
      <c r="K353" s="685">
        <v>10</v>
      </c>
      <c r="L353" s="684">
        <v>10</v>
      </c>
      <c r="M353" s="687">
        <f t="shared" si="10"/>
        <v>0</v>
      </c>
      <c r="N353" s="210">
        <v>80</v>
      </c>
      <c r="O353" s="210">
        <v>85</v>
      </c>
      <c r="P353" s="697">
        <v>0</v>
      </c>
      <c r="Q353" s="697">
        <v>0</v>
      </c>
      <c r="R353" s="95" t="s">
        <v>944</v>
      </c>
      <c r="S353" s="179" t="s">
        <v>1125</v>
      </c>
      <c r="T353" s="245"/>
      <c r="U353" s="658">
        <v>0</v>
      </c>
      <c r="V353" s="67" t="s">
        <v>714</v>
      </c>
      <c r="W353" s="191" t="s">
        <v>714</v>
      </c>
      <c r="X353" s="245">
        <v>0</v>
      </c>
      <c r="Y353" s="233">
        <v>2</v>
      </c>
      <c r="Z353" s="225">
        <v>1</v>
      </c>
      <c r="AA353" s="221">
        <v>19.98</v>
      </c>
      <c r="AB353" s="246" t="s">
        <v>973</v>
      </c>
      <c r="AC353" s="233">
        <v>0</v>
      </c>
      <c r="AD353" s="19">
        <v>0</v>
      </c>
      <c r="AE353" s="225">
        <v>1</v>
      </c>
      <c r="AF353" s="254" t="s">
        <v>1482</v>
      </c>
    </row>
    <row r="354" spans="1:40" s="147" customFormat="1" ht="27.6" customHeight="1">
      <c r="A354" s="186" t="s">
        <v>993</v>
      </c>
      <c r="B354" s="94">
        <v>16</v>
      </c>
      <c r="C354" s="186" t="s">
        <v>1273</v>
      </c>
      <c r="D354" s="95">
        <v>85</v>
      </c>
      <c r="E354" s="94" t="s">
        <v>519</v>
      </c>
      <c r="F354" s="189">
        <v>45230</v>
      </c>
      <c r="G354" s="204" t="s">
        <v>1272</v>
      </c>
      <c r="H354" s="191" t="s">
        <v>1111</v>
      </c>
      <c r="I354" s="248">
        <v>15</v>
      </c>
      <c r="J354" s="443">
        <v>50</v>
      </c>
      <c r="K354" s="685">
        <v>50</v>
      </c>
      <c r="L354" s="684">
        <v>60</v>
      </c>
      <c r="M354" s="687">
        <f t="shared" si="10"/>
        <v>-10</v>
      </c>
      <c r="N354" s="210">
        <v>45</v>
      </c>
      <c r="O354" s="210">
        <v>42.5</v>
      </c>
      <c r="P354" s="697">
        <v>0</v>
      </c>
      <c r="Q354" s="697">
        <v>0</v>
      </c>
      <c r="R354" s="95" t="s">
        <v>1274</v>
      </c>
      <c r="S354" s="179" t="s">
        <v>1129</v>
      </c>
      <c r="T354" s="241">
        <v>25</v>
      </c>
      <c r="U354" s="658">
        <v>0</v>
      </c>
      <c r="V354" s="16" t="s">
        <v>714</v>
      </c>
      <c r="W354" s="191" t="s">
        <v>714</v>
      </c>
      <c r="X354" s="245">
        <v>0</v>
      </c>
      <c r="Y354" s="233">
        <v>2</v>
      </c>
      <c r="Z354" s="225">
        <v>1</v>
      </c>
      <c r="AA354" s="221">
        <v>10.039999999999999</v>
      </c>
      <c r="AB354" s="246" t="s">
        <v>973</v>
      </c>
      <c r="AC354" s="233">
        <v>0</v>
      </c>
      <c r="AD354" s="19">
        <v>1</v>
      </c>
      <c r="AE354" s="225">
        <v>0</v>
      </c>
      <c r="AF354" s="254" t="s">
        <v>1482</v>
      </c>
    </row>
    <row r="355" spans="1:40" s="147" customFormat="1" ht="27.6" customHeight="1">
      <c r="A355" s="186" t="s">
        <v>993</v>
      </c>
      <c r="B355" s="94">
        <v>16</v>
      </c>
      <c r="C355" s="186" t="s">
        <v>1273</v>
      </c>
      <c r="D355" s="95">
        <v>94</v>
      </c>
      <c r="E355" s="94" t="s">
        <v>520</v>
      </c>
      <c r="F355" s="189">
        <v>45226</v>
      </c>
      <c r="G355" s="204" t="s">
        <v>1272</v>
      </c>
      <c r="H355" s="191" t="s">
        <v>1111</v>
      </c>
      <c r="I355" s="248">
        <v>15</v>
      </c>
      <c r="J355" s="443">
        <v>20</v>
      </c>
      <c r="K355" s="685">
        <v>20</v>
      </c>
      <c r="L355" s="684">
        <v>20</v>
      </c>
      <c r="M355" s="687">
        <f t="shared" si="10"/>
        <v>0</v>
      </c>
      <c r="N355" s="210">
        <v>45</v>
      </c>
      <c r="O355" s="210">
        <v>27.5</v>
      </c>
      <c r="P355" s="179">
        <v>4</v>
      </c>
      <c r="Q355" s="179">
        <v>0.5</v>
      </c>
      <c r="R355" s="95" t="s">
        <v>944</v>
      </c>
      <c r="S355" s="179" t="s">
        <v>1461</v>
      </c>
      <c r="T355" s="241">
        <v>20.5</v>
      </c>
      <c r="U355" s="658">
        <v>0</v>
      </c>
      <c r="V355" s="16" t="s">
        <v>714</v>
      </c>
      <c r="W355" s="191" t="s">
        <v>714</v>
      </c>
      <c r="X355" s="245">
        <v>0</v>
      </c>
      <c r="Y355" s="233">
        <v>2</v>
      </c>
      <c r="Z355" s="225">
        <v>1</v>
      </c>
      <c r="AA355" s="221"/>
      <c r="AB355" s="246"/>
      <c r="AC355" s="233">
        <v>0</v>
      </c>
      <c r="AD355" s="19">
        <v>0</v>
      </c>
      <c r="AE355" s="225">
        <v>12</v>
      </c>
      <c r="AF355" s="254" t="s">
        <v>1482</v>
      </c>
    </row>
    <row r="356" spans="1:40" s="147" customFormat="1" ht="27.6" customHeight="1">
      <c r="A356" s="186" t="s">
        <v>993</v>
      </c>
      <c r="B356" s="94">
        <v>16</v>
      </c>
      <c r="C356" s="186" t="s">
        <v>1273</v>
      </c>
      <c r="D356" s="95">
        <v>95</v>
      </c>
      <c r="E356" s="94" t="s">
        <v>521</v>
      </c>
      <c r="F356" s="189">
        <v>45226</v>
      </c>
      <c r="G356" s="204" t="s">
        <v>1272</v>
      </c>
      <c r="H356" s="191" t="s">
        <v>1111</v>
      </c>
      <c r="I356" s="248">
        <v>15</v>
      </c>
      <c r="J356" s="443">
        <v>60</v>
      </c>
      <c r="K356" s="685">
        <v>60</v>
      </c>
      <c r="L356" s="684">
        <v>50</v>
      </c>
      <c r="M356" s="687">
        <f t="shared" si="10"/>
        <v>10</v>
      </c>
      <c r="N356" s="210">
        <v>30</v>
      </c>
      <c r="O356" s="210">
        <v>22.5</v>
      </c>
      <c r="P356" s="697">
        <v>0</v>
      </c>
      <c r="Q356" s="697">
        <v>0</v>
      </c>
      <c r="R356" s="95" t="s">
        <v>944</v>
      </c>
      <c r="S356" s="179" t="s">
        <v>1462</v>
      </c>
      <c r="T356" s="241">
        <v>19.5</v>
      </c>
      <c r="U356" s="658">
        <v>1</v>
      </c>
      <c r="V356" s="67" t="s">
        <v>949</v>
      </c>
      <c r="W356" s="191" t="s">
        <v>949</v>
      </c>
      <c r="X356" s="245">
        <v>1</v>
      </c>
      <c r="Y356" s="233">
        <v>2</v>
      </c>
      <c r="Z356" s="225">
        <v>1</v>
      </c>
      <c r="AA356" s="221"/>
      <c r="AB356" s="246"/>
      <c r="AC356" s="233">
        <v>0</v>
      </c>
      <c r="AD356" s="19">
        <v>0</v>
      </c>
      <c r="AE356" s="225">
        <v>2</v>
      </c>
      <c r="AF356" s="254" t="s">
        <v>1482</v>
      </c>
    </row>
    <row r="357" spans="1:40" s="147" customFormat="1" ht="27.6" customHeight="1">
      <c r="A357" s="186" t="s">
        <v>993</v>
      </c>
      <c r="B357" s="94">
        <v>16</v>
      </c>
      <c r="C357" s="186" t="s">
        <v>1273</v>
      </c>
      <c r="D357" s="95">
        <v>96</v>
      </c>
      <c r="E357" s="94" t="s">
        <v>522</v>
      </c>
      <c r="F357" s="189">
        <v>45226</v>
      </c>
      <c r="G357" s="204" t="s">
        <v>1272</v>
      </c>
      <c r="H357" s="191" t="s">
        <v>1111</v>
      </c>
      <c r="I357" s="248">
        <v>15</v>
      </c>
      <c r="J357" s="443" t="s">
        <v>1155</v>
      </c>
      <c r="K357" s="685">
        <v>10</v>
      </c>
      <c r="L357" s="684">
        <v>10</v>
      </c>
      <c r="M357" s="687">
        <f t="shared" si="10"/>
        <v>0</v>
      </c>
      <c r="N357" s="210">
        <v>27.5</v>
      </c>
      <c r="O357" s="210">
        <v>22.5</v>
      </c>
      <c r="P357" s="697">
        <v>0</v>
      </c>
      <c r="Q357" s="697">
        <v>0</v>
      </c>
      <c r="R357" s="95" t="s">
        <v>944</v>
      </c>
      <c r="S357" s="179" t="s">
        <v>1463</v>
      </c>
      <c r="T357" s="241">
        <v>30.5</v>
      </c>
      <c r="U357" s="658">
        <v>0</v>
      </c>
      <c r="V357" s="67" t="s">
        <v>714</v>
      </c>
      <c r="W357" s="191" t="s">
        <v>714</v>
      </c>
      <c r="X357" s="245">
        <v>0</v>
      </c>
      <c r="Y357" s="233">
        <v>2</v>
      </c>
      <c r="Z357" s="225">
        <v>1</v>
      </c>
      <c r="AA357" s="221"/>
      <c r="AB357" s="246"/>
      <c r="AC357" s="233">
        <v>0</v>
      </c>
      <c r="AD357" s="19">
        <v>0</v>
      </c>
      <c r="AE357" s="225">
        <v>6</v>
      </c>
      <c r="AF357" s="254" t="s">
        <v>1482</v>
      </c>
    </row>
    <row r="358" spans="1:40" s="147" customFormat="1" ht="27.6" customHeight="1">
      <c r="A358" s="186" t="s">
        <v>993</v>
      </c>
      <c r="B358" s="94">
        <v>16</v>
      </c>
      <c r="C358" s="186" t="s">
        <v>1273</v>
      </c>
      <c r="D358" s="95">
        <v>97</v>
      </c>
      <c r="E358" s="94" t="s">
        <v>523</v>
      </c>
      <c r="F358" s="189">
        <v>45227</v>
      </c>
      <c r="G358" s="204" t="s">
        <v>1272</v>
      </c>
      <c r="H358" s="191" t="s">
        <v>1111</v>
      </c>
      <c r="I358" s="248">
        <v>15</v>
      </c>
      <c r="J358" s="710" t="s">
        <v>1155</v>
      </c>
      <c r="K358" s="685">
        <v>10</v>
      </c>
      <c r="L358" s="694">
        <v>10</v>
      </c>
      <c r="M358" s="687">
        <f t="shared" si="10"/>
        <v>0</v>
      </c>
      <c r="N358" s="210">
        <v>32.5</v>
      </c>
      <c r="O358" s="210">
        <v>27.5</v>
      </c>
      <c r="P358" s="697">
        <v>0</v>
      </c>
      <c r="Q358" s="697">
        <v>0</v>
      </c>
      <c r="R358" s="95" t="s">
        <v>944</v>
      </c>
      <c r="S358" s="179" t="s">
        <v>1121</v>
      </c>
      <c r="T358" s="241">
        <v>51</v>
      </c>
      <c r="U358" s="658">
        <v>1</v>
      </c>
      <c r="V358" s="67" t="s">
        <v>949</v>
      </c>
      <c r="W358" s="191" t="s">
        <v>949</v>
      </c>
      <c r="X358" s="245">
        <v>1</v>
      </c>
      <c r="Y358" s="233">
        <v>2</v>
      </c>
      <c r="Z358" s="225">
        <v>1</v>
      </c>
      <c r="AA358" s="221">
        <v>17.920000000000002</v>
      </c>
      <c r="AB358" s="246" t="s">
        <v>973</v>
      </c>
      <c r="AC358" s="233">
        <v>3</v>
      </c>
      <c r="AD358" s="19">
        <v>0</v>
      </c>
      <c r="AE358" s="225">
        <v>4</v>
      </c>
      <c r="AF358" s="254" t="s">
        <v>1482</v>
      </c>
    </row>
    <row r="359" spans="1:40" s="147" customFormat="1" ht="27.6" customHeight="1">
      <c r="A359" s="186" t="s">
        <v>993</v>
      </c>
      <c r="B359" s="94">
        <v>16</v>
      </c>
      <c r="C359" s="186" t="s">
        <v>1273</v>
      </c>
      <c r="D359" s="95">
        <v>98</v>
      </c>
      <c r="E359" s="94" t="s">
        <v>524</v>
      </c>
      <c r="F359" s="189">
        <v>45226</v>
      </c>
      <c r="G359" s="204" t="s">
        <v>1272</v>
      </c>
      <c r="H359" s="191" t="s">
        <v>1111</v>
      </c>
      <c r="I359" s="248">
        <v>15</v>
      </c>
      <c r="J359" s="443">
        <v>10</v>
      </c>
      <c r="K359" s="685">
        <v>10</v>
      </c>
      <c r="L359" s="684">
        <v>10</v>
      </c>
      <c r="M359" s="687">
        <f t="shared" si="10"/>
        <v>0</v>
      </c>
      <c r="N359" s="210">
        <v>42.5</v>
      </c>
      <c r="O359" s="210">
        <v>30</v>
      </c>
      <c r="P359" s="179">
        <v>0.5</v>
      </c>
      <c r="Q359" s="179">
        <v>0.5</v>
      </c>
      <c r="R359" s="95" t="s">
        <v>944</v>
      </c>
      <c r="S359" s="179" t="s">
        <v>1130</v>
      </c>
      <c r="T359" s="241">
        <v>15.5</v>
      </c>
      <c r="U359" s="658">
        <v>0</v>
      </c>
      <c r="V359" s="16" t="s">
        <v>714</v>
      </c>
      <c r="W359" s="191" t="s">
        <v>714</v>
      </c>
      <c r="X359" s="245">
        <v>0</v>
      </c>
      <c r="Y359" s="233">
        <v>2</v>
      </c>
      <c r="Z359" s="225">
        <v>1</v>
      </c>
      <c r="AA359" s="221"/>
      <c r="AB359" s="246"/>
      <c r="AC359" s="233">
        <v>0</v>
      </c>
      <c r="AD359" s="19">
        <v>0</v>
      </c>
      <c r="AE359" s="225">
        <v>35</v>
      </c>
      <c r="AF359" s="254" t="s">
        <v>1482</v>
      </c>
    </row>
    <row r="360" spans="1:40" s="147" customFormat="1" ht="27.6" customHeight="1">
      <c r="A360" s="186" t="s">
        <v>993</v>
      </c>
      <c r="B360" s="94">
        <v>16</v>
      </c>
      <c r="C360" s="186" t="s">
        <v>1273</v>
      </c>
      <c r="D360" s="95">
        <v>99</v>
      </c>
      <c r="E360" s="94" t="s">
        <v>525</v>
      </c>
      <c r="F360" s="189">
        <v>45226</v>
      </c>
      <c r="G360" s="204" t="s">
        <v>1272</v>
      </c>
      <c r="H360" s="191" t="s">
        <v>1111</v>
      </c>
      <c r="I360" s="248">
        <v>15</v>
      </c>
      <c r="J360" s="443">
        <v>30</v>
      </c>
      <c r="K360" s="685">
        <v>30</v>
      </c>
      <c r="L360" s="684">
        <v>30</v>
      </c>
      <c r="M360" s="687">
        <f t="shared" si="10"/>
        <v>0</v>
      </c>
      <c r="N360" s="210">
        <v>45</v>
      </c>
      <c r="O360" s="210">
        <v>27.5</v>
      </c>
      <c r="P360" s="697">
        <v>0</v>
      </c>
      <c r="Q360" s="697">
        <v>0</v>
      </c>
      <c r="R360" s="95" t="s">
        <v>944</v>
      </c>
      <c r="S360" s="179" t="s">
        <v>1464</v>
      </c>
      <c r="T360" s="241">
        <v>9</v>
      </c>
      <c r="U360" s="658">
        <v>0</v>
      </c>
      <c r="V360" s="16" t="s">
        <v>714</v>
      </c>
      <c r="W360" s="191" t="s">
        <v>714</v>
      </c>
      <c r="X360" s="245">
        <v>0</v>
      </c>
      <c r="Y360" s="233">
        <v>2</v>
      </c>
      <c r="Z360" s="225">
        <v>1</v>
      </c>
      <c r="AA360" s="221"/>
      <c r="AB360" s="246"/>
      <c r="AC360" s="233">
        <v>0</v>
      </c>
      <c r="AD360" s="19">
        <v>1</v>
      </c>
      <c r="AE360" s="225">
        <v>6</v>
      </c>
      <c r="AF360" s="254" t="s">
        <v>1482</v>
      </c>
      <c r="AG360" s="150"/>
      <c r="AH360" s="150"/>
      <c r="AI360" s="150"/>
      <c r="AJ360" s="150"/>
      <c r="AK360" s="150"/>
      <c r="AL360" s="150"/>
      <c r="AM360" s="150"/>
      <c r="AN360" s="150"/>
    </row>
    <row r="361" spans="1:40" s="147" customFormat="1" ht="27.6" customHeight="1">
      <c r="A361" s="186" t="s">
        <v>993</v>
      </c>
      <c r="B361" s="94">
        <v>16</v>
      </c>
      <c r="C361" s="186" t="s">
        <v>1273</v>
      </c>
      <c r="D361" s="95">
        <v>100</v>
      </c>
      <c r="E361" s="94" t="s">
        <v>526</v>
      </c>
      <c r="F361" s="189">
        <v>45226</v>
      </c>
      <c r="G361" s="204" t="s">
        <v>1272</v>
      </c>
      <c r="H361" s="191" t="s">
        <v>1111</v>
      </c>
      <c r="I361" s="248">
        <v>15</v>
      </c>
      <c r="J361" s="443">
        <v>10</v>
      </c>
      <c r="K361" s="685">
        <v>10</v>
      </c>
      <c r="L361" s="684">
        <v>10</v>
      </c>
      <c r="M361" s="687">
        <f t="shared" si="10"/>
        <v>0</v>
      </c>
      <c r="N361" s="210">
        <v>45</v>
      </c>
      <c r="O361" s="210">
        <v>39</v>
      </c>
      <c r="P361" s="697">
        <v>0</v>
      </c>
      <c r="Q361" s="697">
        <v>0</v>
      </c>
      <c r="R361" s="95" t="s">
        <v>944</v>
      </c>
      <c r="S361" s="179" t="s">
        <v>1129</v>
      </c>
      <c r="T361" s="241">
        <v>11.3</v>
      </c>
      <c r="U361" s="658">
        <v>0</v>
      </c>
      <c r="V361" s="67" t="s">
        <v>714</v>
      </c>
      <c r="W361" s="191" t="s">
        <v>714</v>
      </c>
      <c r="X361" s="245">
        <v>0</v>
      </c>
      <c r="Y361" s="233">
        <v>2</v>
      </c>
      <c r="Z361" s="225">
        <v>1</v>
      </c>
      <c r="AA361" s="221"/>
      <c r="AB361" s="246"/>
      <c r="AC361" s="233">
        <v>3</v>
      </c>
      <c r="AD361" s="19">
        <v>0</v>
      </c>
      <c r="AE361" s="225">
        <v>9</v>
      </c>
      <c r="AF361" s="254" t="s">
        <v>1482</v>
      </c>
      <c r="AG361" s="150"/>
      <c r="AH361" s="150"/>
      <c r="AI361" s="150"/>
      <c r="AJ361" s="150"/>
      <c r="AK361" s="150"/>
      <c r="AL361" s="150"/>
      <c r="AM361" s="150"/>
      <c r="AN361" s="150"/>
    </row>
    <row r="362" spans="1:40" s="147" customFormat="1" ht="27.6" customHeight="1">
      <c r="A362" s="186" t="s">
        <v>993</v>
      </c>
      <c r="B362" s="94">
        <v>16</v>
      </c>
      <c r="C362" s="186" t="s">
        <v>1273</v>
      </c>
      <c r="D362" s="95">
        <v>101</v>
      </c>
      <c r="E362" s="94" t="s">
        <v>527</v>
      </c>
      <c r="F362" s="189">
        <v>45239</v>
      </c>
      <c r="G362" s="204" t="s">
        <v>1272</v>
      </c>
      <c r="H362" s="191" t="s">
        <v>1111</v>
      </c>
      <c r="I362" s="248">
        <v>15</v>
      </c>
      <c r="J362" s="443" t="s">
        <v>1155</v>
      </c>
      <c r="K362" s="685">
        <v>10</v>
      </c>
      <c r="L362" s="684">
        <v>10</v>
      </c>
      <c r="M362" s="687">
        <f t="shared" si="10"/>
        <v>0</v>
      </c>
      <c r="N362" s="210">
        <v>52.5</v>
      </c>
      <c r="O362" s="210">
        <v>47.5</v>
      </c>
      <c r="P362" s="697">
        <v>0</v>
      </c>
      <c r="Q362" s="697">
        <v>0</v>
      </c>
      <c r="R362" s="95" t="s">
        <v>944</v>
      </c>
      <c r="S362" s="179" t="s">
        <v>1465</v>
      </c>
      <c r="T362" s="241">
        <v>34.5</v>
      </c>
      <c r="U362" s="658">
        <v>0</v>
      </c>
      <c r="V362" s="16" t="s">
        <v>714</v>
      </c>
      <c r="W362" s="191" t="s">
        <v>714</v>
      </c>
      <c r="X362" s="245">
        <v>0</v>
      </c>
      <c r="Y362" s="233">
        <v>2</v>
      </c>
      <c r="Z362" s="225">
        <v>1</v>
      </c>
      <c r="AA362" s="221">
        <v>7.06</v>
      </c>
      <c r="AB362" s="246">
        <v>4</v>
      </c>
      <c r="AC362" s="233">
        <v>1</v>
      </c>
      <c r="AD362" s="19">
        <v>0</v>
      </c>
      <c r="AE362" s="225">
        <v>2</v>
      </c>
      <c r="AF362" s="254" t="s">
        <v>1482</v>
      </c>
      <c r="AG362" s="150"/>
      <c r="AH362" s="150"/>
      <c r="AI362" s="150"/>
      <c r="AJ362" s="150"/>
      <c r="AK362" s="150"/>
      <c r="AL362" s="150"/>
      <c r="AM362" s="150"/>
      <c r="AN362" s="150"/>
    </row>
    <row r="363" spans="1:40" s="147" customFormat="1" ht="27.6" customHeight="1">
      <c r="A363" s="186" t="s">
        <v>993</v>
      </c>
      <c r="B363" s="94">
        <v>16</v>
      </c>
      <c r="C363" s="186" t="s">
        <v>1273</v>
      </c>
      <c r="D363" s="95">
        <v>102</v>
      </c>
      <c r="E363" s="94" t="s">
        <v>528</v>
      </c>
      <c r="F363" s="189">
        <v>45239</v>
      </c>
      <c r="G363" s="204" t="s">
        <v>1272</v>
      </c>
      <c r="H363" s="191" t="s">
        <v>1111</v>
      </c>
      <c r="I363" s="248">
        <v>15</v>
      </c>
      <c r="J363" s="443">
        <v>30</v>
      </c>
      <c r="K363" s="685">
        <v>30</v>
      </c>
      <c r="L363" s="684">
        <v>10</v>
      </c>
      <c r="M363" s="687">
        <f t="shared" si="10"/>
        <v>20</v>
      </c>
      <c r="N363" s="210">
        <v>35</v>
      </c>
      <c r="O363" s="210">
        <v>40</v>
      </c>
      <c r="P363" s="697">
        <v>0</v>
      </c>
      <c r="Q363" s="697">
        <v>0</v>
      </c>
      <c r="R363" s="95" t="s">
        <v>944</v>
      </c>
      <c r="S363" s="179" t="s">
        <v>1466</v>
      </c>
      <c r="T363" s="241">
        <v>18</v>
      </c>
      <c r="U363" s="658">
        <v>0</v>
      </c>
      <c r="V363" s="16" t="s">
        <v>714</v>
      </c>
      <c r="W363" s="191" t="s">
        <v>714</v>
      </c>
      <c r="X363" s="245">
        <v>0</v>
      </c>
      <c r="Y363" s="233">
        <v>2</v>
      </c>
      <c r="Z363" s="225">
        <v>1</v>
      </c>
      <c r="AA363" s="221">
        <v>29.2</v>
      </c>
      <c r="AB363" s="246" t="s">
        <v>973</v>
      </c>
      <c r="AC363" s="233">
        <v>1</v>
      </c>
      <c r="AD363" s="19">
        <v>1</v>
      </c>
      <c r="AE363" s="225">
        <v>13</v>
      </c>
      <c r="AF363" s="254" t="s">
        <v>1482</v>
      </c>
    </row>
    <row r="364" spans="1:40" ht="27.6" customHeight="1">
      <c r="A364" s="186" t="s">
        <v>993</v>
      </c>
      <c r="B364" s="94">
        <v>16</v>
      </c>
      <c r="C364" s="186" t="s">
        <v>1273</v>
      </c>
      <c r="D364" s="95">
        <v>103</v>
      </c>
      <c r="E364" s="94" t="s">
        <v>529</v>
      </c>
      <c r="F364" s="189">
        <v>45225</v>
      </c>
      <c r="G364" s="204" t="s">
        <v>1272</v>
      </c>
      <c r="H364" s="191" t="s">
        <v>1111</v>
      </c>
      <c r="I364" s="248">
        <v>15</v>
      </c>
      <c r="J364" s="443">
        <v>20</v>
      </c>
      <c r="K364" s="685">
        <v>20</v>
      </c>
      <c r="L364" s="684">
        <v>10</v>
      </c>
      <c r="M364" s="687">
        <f t="shared" si="10"/>
        <v>10</v>
      </c>
      <c r="N364" s="210">
        <v>35</v>
      </c>
      <c r="O364" s="210">
        <v>17.5</v>
      </c>
      <c r="P364" s="697">
        <v>0</v>
      </c>
      <c r="Q364" s="697">
        <v>0</v>
      </c>
      <c r="R364" s="95" t="s">
        <v>944</v>
      </c>
      <c r="S364" s="179" t="s">
        <v>1136</v>
      </c>
      <c r="T364" s="241">
        <v>40</v>
      </c>
      <c r="U364" s="658">
        <v>0</v>
      </c>
      <c r="V364" s="67" t="s">
        <v>714</v>
      </c>
      <c r="W364" s="191" t="s">
        <v>714</v>
      </c>
      <c r="X364" s="245">
        <v>0</v>
      </c>
      <c r="Y364" s="233">
        <v>2</v>
      </c>
      <c r="Z364" s="225">
        <v>1</v>
      </c>
      <c r="AA364" s="221">
        <v>2.5099999999999998</v>
      </c>
      <c r="AB364" s="246">
        <v>3</v>
      </c>
      <c r="AC364" s="233">
        <v>0</v>
      </c>
      <c r="AD364" s="19">
        <v>0</v>
      </c>
      <c r="AE364" s="225">
        <v>11</v>
      </c>
      <c r="AF364" s="254" t="s">
        <v>1482</v>
      </c>
      <c r="AG364" s="147"/>
      <c r="AH364" s="147"/>
      <c r="AI364" s="147"/>
      <c r="AJ364" s="147"/>
      <c r="AK364" s="147"/>
      <c r="AL364" s="147"/>
      <c r="AM364" s="147"/>
      <c r="AN364" s="147"/>
    </row>
    <row r="365" spans="1:40" s="147" customFormat="1" ht="27.6" customHeight="1" thickBot="1">
      <c r="A365" s="264" t="s">
        <v>993</v>
      </c>
      <c r="B365" s="102">
        <v>16</v>
      </c>
      <c r="C365" s="264" t="s">
        <v>1273</v>
      </c>
      <c r="D365" s="103">
        <v>105</v>
      </c>
      <c r="E365" s="102" t="s">
        <v>530</v>
      </c>
      <c r="F365" s="278">
        <v>45230</v>
      </c>
      <c r="G365" s="326" t="s">
        <v>1272</v>
      </c>
      <c r="H365" s="360" t="s">
        <v>1111</v>
      </c>
      <c r="I365" s="296">
        <v>15</v>
      </c>
      <c r="J365" s="693">
        <v>20</v>
      </c>
      <c r="K365" s="720">
        <v>20</v>
      </c>
      <c r="L365" s="686">
        <v>20</v>
      </c>
      <c r="M365" s="686">
        <f t="shared" si="10"/>
        <v>0</v>
      </c>
      <c r="N365" s="370">
        <v>36</v>
      </c>
      <c r="O365" s="370">
        <v>27.5</v>
      </c>
      <c r="P365" s="728">
        <v>0</v>
      </c>
      <c r="Q365" s="728">
        <v>0</v>
      </c>
      <c r="R365" s="103" t="s">
        <v>944</v>
      </c>
      <c r="S365" s="281" t="s">
        <v>1135</v>
      </c>
      <c r="T365" s="282">
        <v>25.8</v>
      </c>
      <c r="U365" s="659">
        <v>0</v>
      </c>
      <c r="V365" s="44" t="s">
        <v>714</v>
      </c>
      <c r="W365" s="360" t="s">
        <v>714</v>
      </c>
      <c r="X365" s="674">
        <v>0</v>
      </c>
      <c r="Y365" s="285">
        <v>2</v>
      </c>
      <c r="Z365" s="286">
        <v>1</v>
      </c>
      <c r="AA365" s="283"/>
      <c r="AB365" s="284"/>
      <c r="AC365" s="285">
        <v>1</v>
      </c>
      <c r="AD365" s="84">
        <v>0</v>
      </c>
      <c r="AE365" s="286">
        <v>41</v>
      </c>
      <c r="AF365" s="297" t="s">
        <v>1482</v>
      </c>
    </row>
    <row r="366" spans="1:40" ht="27.6" customHeight="1" thickTop="1">
      <c r="A366" s="771" t="s">
        <v>994</v>
      </c>
      <c r="B366" s="570">
        <v>17</v>
      </c>
      <c r="C366" s="771" t="s">
        <v>1275</v>
      </c>
      <c r="D366" s="100">
        <v>120</v>
      </c>
      <c r="E366" s="570" t="s">
        <v>532</v>
      </c>
      <c r="F366" s="772">
        <v>45234</v>
      </c>
      <c r="G366" s="773" t="s">
        <v>1272</v>
      </c>
      <c r="H366" s="385" t="s">
        <v>1111</v>
      </c>
      <c r="I366" s="404">
        <v>15</v>
      </c>
      <c r="J366" s="442">
        <v>20</v>
      </c>
      <c r="K366" s="726">
        <v>20</v>
      </c>
      <c r="L366" s="709">
        <v>20</v>
      </c>
      <c r="M366" s="732">
        <f t="shared" si="10"/>
        <v>0</v>
      </c>
      <c r="N366" s="774">
        <v>35</v>
      </c>
      <c r="O366" s="774">
        <v>25</v>
      </c>
      <c r="P366" s="744">
        <v>0</v>
      </c>
      <c r="Q366" s="744">
        <v>0</v>
      </c>
      <c r="R366" s="775" t="s">
        <v>944</v>
      </c>
      <c r="S366" s="390" t="s">
        <v>1474</v>
      </c>
      <c r="T366" s="776">
        <v>39.5</v>
      </c>
      <c r="U366" s="663">
        <v>0</v>
      </c>
      <c r="V366" s="91" t="s">
        <v>714</v>
      </c>
      <c r="W366" s="385" t="s">
        <v>714</v>
      </c>
      <c r="X366" s="675">
        <v>0</v>
      </c>
      <c r="Y366" s="402">
        <v>2</v>
      </c>
      <c r="Z366" s="403">
        <v>1</v>
      </c>
      <c r="AA366" s="777"/>
      <c r="AB366" s="401"/>
      <c r="AC366" s="402">
        <v>0</v>
      </c>
      <c r="AD366" s="71">
        <v>1</v>
      </c>
      <c r="AE366" s="403">
        <v>8</v>
      </c>
      <c r="AF366" s="778" t="s">
        <v>1482</v>
      </c>
    </row>
    <row r="367" spans="1:40" ht="27.6" customHeight="1">
      <c r="A367" s="186" t="s">
        <v>994</v>
      </c>
      <c r="B367" s="94">
        <v>17</v>
      </c>
      <c r="C367" s="186" t="s">
        <v>1275</v>
      </c>
      <c r="D367" s="95">
        <v>121</v>
      </c>
      <c r="E367" s="94" t="s">
        <v>534</v>
      </c>
      <c r="F367" s="189">
        <v>45234</v>
      </c>
      <c r="G367" s="204" t="s">
        <v>1272</v>
      </c>
      <c r="H367" s="191" t="s">
        <v>1111</v>
      </c>
      <c r="I367" s="248">
        <v>15</v>
      </c>
      <c r="J367" s="443">
        <v>10</v>
      </c>
      <c r="K367" s="685">
        <v>10</v>
      </c>
      <c r="L367" s="684">
        <v>20</v>
      </c>
      <c r="M367" s="688">
        <f t="shared" si="10"/>
        <v>-10</v>
      </c>
      <c r="N367" s="210">
        <v>28</v>
      </c>
      <c r="O367" s="210">
        <v>20</v>
      </c>
      <c r="P367" s="697">
        <v>0</v>
      </c>
      <c r="Q367" s="697">
        <v>0</v>
      </c>
      <c r="R367" s="158" t="s">
        <v>944</v>
      </c>
      <c r="S367" s="179" t="s">
        <v>1139</v>
      </c>
      <c r="T367" s="241">
        <v>56.5</v>
      </c>
      <c r="U367" s="658">
        <v>0</v>
      </c>
      <c r="V367" s="67" t="s">
        <v>714</v>
      </c>
      <c r="W367" s="191" t="s">
        <v>714</v>
      </c>
      <c r="X367" s="245">
        <v>0</v>
      </c>
      <c r="Y367" s="233">
        <v>2</v>
      </c>
      <c r="Z367" s="225">
        <v>1</v>
      </c>
      <c r="AA367" s="221"/>
      <c r="AB367" s="246"/>
      <c r="AC367" s="233">
        <v>0</v>
      </c>
      <c r="AD367" s="19">
        <v>0</v>
      </c>
      <c r="AE367" s="225">
        <v>10</v>
      </c>
      <c r="AF367" s="254" t="s">
        <v>1482</v>
      </c>
    </row>
    <row r="368" spans="1:40" s="147" customFormat="1" ht="27.6" customHeight="1">
      <c r="A368" s="186" t="s">
        <v>994</v>
      </c>
      <c r="B368" s="94">
        <v>17</v>
      </c>
      <c r="C368" s="186" t="s">
        <v>1275</v>
      </c>
      <c r="D368" s="95">
        <v>122</v>
      </c>
      <c r="E368" s="94" t="s">
        <v>535</v>
      </c>
      <c r="F368" s="189">
        <v>45234</v>
      </c>
      <c r="G368" s="204" t="s">
        <v>1272</v>
      </c>
      <c r="H368" s="191" t="s">
        <v>1111</v>
      </c>
      <c r="I368" s="248">
        <v>15</v>
      </c>
      <c r="J368" s="443">
        <v>30</v>
      </c>
      <c r="K368" s="685">
        <v>30</v>
      </c>
      <c r="L368" s="684">
        <v>30</v>
      </c>
      <c r="M368" s="688">
        <f t="shared" si="10"/>
        <v>0</v>
      </c>
      <c r="N368" s="210">
        <v>37.5</v>
      </c>
      <c r="O368" s="210">
        <v>40</v>
      </c>
      <c r="P368" s="179">
        <v>2.5</v>
      </c>
      <c r="Q368" s="179">
        <v>2</v>
      </c>
      <c r="R368" s="95" t="s">
        <v>943</v>
      </c>
      <c r="S368" s="179" t="s">
        <v>1475</v>
      </c>
      <c r="T368" s="241">
        <v>73.900000000000006</v>
      </c>
      <c r="U368" s="658">
        <v>0</v>
      </c>
      <c r="V368" s="16" t="s">
        <v>714</v>
      </c>
      <c r="W368" s="191" t="s">
        <v>714</v>
      </c>
      <c r="X368" s="245">
        <v>0</v>
      </c>
      <c r="Y368" s="233">
        <v>4</v>
      </c>
      <c r="Z368" s="225">
        <v>3</v>
      </c>
      <c r="AA368" s="221"/>
      <c r="AB368" s="246"/>
      <c r="AC368" s="233">
        <v>1</v>
      </c>
      <c r="AD368" s="19">
        <v>1</v>
      </c>
      <c r="AE368" s="225">
        <v>0</v>
      </c>
      <c r="AF368" s="254" t="s">
        <v>1482</v>
      </c>
    </row>
    <row r="369" spans="1:40" ht="27.6" customHeight="1">
      <c r="A369" s="186" t="s">
        <v>994</v>
      </c>
      <c r="B369" s="94">
        <v>17</v>
      </c>
      <c r="C369" s="186" t="s">
        <v>1275</v>
      </c>
      <c r="D369" s="95">
        <v>123</v>
      </c>
      <c r="E369" s="94" t="s">
        <v>536</v>
      </c>
      <c r="F369" s="189">
        <v>45234</v>
      </c>
      <c r="G369" s="204" t="s">
        <v>1272</v>
      </c>
      <c r="H369" s="191" t="s">
        <v>1111</v>
      </c>
      <c r="I369" s="248">
        <v>15</v>
      </c>
      <c r="J369" s="710">
        <v>10</v>
      </c>
      <c r="K369" s="685">
        <v>10</v>
      </c>
      <c r="L369" s="694">
        <v>10</v>
      </c>
      <c r="M369" s="688">
        <f t="shared" si="10"/>
        <v>0</v>
      </c>
      <c r="N369" s="210">
        <v>30</v>
      </c>
      <c r="O369" s="210">
        <v>25</v>
      </c>
      <c r="P369" s="697">
        <v>0</v>
      </c>
      <c r="Q369" s="697">
        <v>0</v>
      </c>
      <c r="R369" s="95" t="s">
        <v>944</v>
      </c>
      <c r="S369" s="179">
        <v>0</v>
      </c>
      <c r="T369" s="241"/>
      <c r="U369" s="658">
        <v>0</v>
      </c>
      <c r="V369" s="67" t="s">
        <v>714</v>
      </c>
      <c r="W369" s="191" t="s">
        <v>714</v>
      </c>
      <c r="X369" s="245">
        <v>0</v>
      </c>
      <c r="Y369" s="233">
        <v>2</v>
      </c>
      <c r="Z369" s="225">
        <v>1</v>
      </c>
      <c r="AA369" s="221">
        <v>38.119999999999997</v>
      </c>
      <c r="AB369" s="246" t="s">
        <v>988</v>
      </c>
      <c r="AC369" s="233">
        <v>0</v>
      </c>
      <c r="AD369" s="19">
        <v>0</v>
      </c>
      <c r="AE369" s="225">
        <v>0</v>
      </c>
      <c r="AF369" s="254" t="s">
        <v>1506</v>
      </c>
    </row>
    <row r="370" spans="1:40" ht="27.6" customHeight="1">
      <c r="A370" s="186" t="s">
        <v>994</v>
      </c>
      <c r="B370" s="94">
        <v>17</v>
      </c>
      <c r="C370" s="186" t="s">
        <v>1275</v>
      </c>
      <c r="D370" s="95">
        <v>124</v>
      </c>
      <c r="E370" s="94" t="s">
        <v>537</v>
      </c>
      <c r="F370" s="189">
        <v>45234</v>
      </c>
      <c r="G370" s="204" t="s">
        <v>1272</v>
      </c>
      <c r="H370" s="191" t="s">
        <v>1111</v>
      </c>
      <c r="I370" s="248">
        <v>15</v>
      </c>
      <c r="J370" s="443">
        <v>20</v>
      </c>
      <c r="K370" s="685">
        <v>20</v>
      </c>
      <c r="L370" s="684">
        <v>20</v>
      </c>
      <c r="M370" s="688">
        <f t="shared" si="10"/>
        <v>0</v>
      </c>
      <c r="N370" s="210">
        <v>25</v>
      </c>
      <c r="O370" s="210">
        <v>30</v>
      </c>
      <c r="P370" s="697">
        <v>0</v>
      </c>
      <c r="Q370" s="697">
        <v>0</v>
      </c>
      <c r="R370" s="95" t="s">
        <v>944</v>
      </c>
      <c r="S370" s="179" t="s">
        <v>1476</v>
      </c>
      <c r="T370" s="241">
        <v>109.5</v>
      </c>
      <c r="U370" s="658">
        <v>2</v>
      </c>
      <c r="V370" s="16" t="s">
        <v>1658</v>
      </c>
      <c r="W370" s="191" t="s">
        <v>1657</v>
      </c>
      <c r="X370" s="245">
        <v>3</v>
      </c>
      <c r="Y370" s="233">
        <v>2</v>
      </c>
      <c r="Z370" s="225">
        <v>1</v>
      </c>
      <c r="AA370" s="221">
        <v>18.97</v>
      </c>
      <c r="AB370" s="246" t="s">
        <v>973</v>
      </c>
      <c r="AC370" s="233">
        <v>2</v>
      </c>
      <c r="AD370" s="19">
        <v>0</v>
      </c>
      <c r="AE370" s="225">
        <v>3</v>
      </c>
      <c r="AF370" s="254" t="s">
        <v>1482</v>
      </c>
    </row>
    <row r="371" spans="1:40" s="147" customFormat="1" ht="27.6" customHeight="1">
      <c r="A371" s="186" t="s">
        <v>994</v>
      </c>
      <c r="B371" s="94">
        <v>17</v>
      </c>
      <c r="C371" s="186" t="s">
        <v>1275</v>
      </c>
      <c r="D371" s="95">
        <v>125</v>
      </c>
      <c r="E371" s="94" t="s">
        <v>538</v>
      </c>
      <c r="F371" s="189">
        <v>45234</v>
      </c>
      <c r="G371" s="204" t="s">
        <v>1272</v>
      </c>
      <c r="H371" s="191" t="s">
        <v>1111</v>
      </c>
      <c r="I371" s="248">
        <v>15</v>
      </c>
      <c r="J371" s="443" t="s">
        <v>1155</v>
      </c>
      <c r="K371" s="685">
        <v>10</v>
      </c>
      <c r="L371" s="684">
        <v>10</v>
      </c>
      <c r="M371" s="688">
        <f t="shared" si="10"/>
        <v>0</v>
      </c>
      <c r="N371" s="210">
        <v>35</v>
      </c>
      <c r="O371" s="210">
        <v>42.5</v>
      </c>
      <c r="P371" s="179">
        <v>1</v>
      </c>
      <c r="Q371" s="179">
        <v>1.5</v>
      </c>
      <c r="R371" s="158" t="s">
        <v>944</v>
      </c>
      <c r="S371" s="179" t="s">
        <v>1477</v>
      </c>
      <c r="T371" s="241">
        <v>88</v>
      </c>
      <c r="U371" s="658">
        <v>0</v>
      </c>
      <c r="V371" s="16" t="s">
        <v>714</v>
      </c>
      <c r="W371" s="191" t="s">
        <v>714</v>
      </c>
      <c r="X371" s="245">
        <v>0</v>
      </c>
      <c r="Y371" s="233">
        <v>2</v>
      </c>
      <c r="Z371" s="225">
        <v>1</v>
      </c>
      <c r="AA371" s="221"/>
      <c r="AB371" s="246"/>
      <c r="AC371" s="233">
        <v>4</v>
      </c>
      <c r="AD371" s="19">
        <v>0</v>
      </c>
      <c r="AE371" s="225">
        <v>9</v>
      </c>
      <c r="AF371" s="254" t="s">
        <v>1482</v>
      </c>
    </row>
    <row r="372" spans="1:40" s="147" customFormat="1" ht="27.6" customHeight="1">
      <c r="A372" s="186" t="s">
        <v>994</v>
      </c>
      <c r="B372" s="94">
        <v>17</v>
      </c>
      <c r="C372" s="186" t="s">
        <v>1275</v>
      </c>
      <c r="D372" s="95">
        <v>126</v>
      </c>
      <c r="E372" s="94" t="s">
        <v>539</v>
      </c>
      <c r="F372" s="189">
        <v>45234</v>
      </c>
      <c r="G372" s="204" t="s">
        <v>1272</v>
      </c>
      <c r="H372" s="191" t="s">
        <v>1111</v>
      </c>
      <c r="I372" s="248">
        <v>15</v>
      </c>
      <c r="J372" s="443">
        <v>40</v>
      </c>
      <c r="K372" s="685">
        <v>40</v>
      </c>
      <c r="L372" s="684">
        <v>30</v>
      </c>
      <c r="M372" s="688">
        <f t="shared" si="10"/>
        <v>10</v>
      </c>
      <c r="N372" s="210">
        <v>32.5</v>
      </c>
      <c r="O372" s="210">
        <v>27.5</v>
      </c>
      <c r="P372" s="179">
        <v>0.5</v>
      </c>
      <c r="Q372" s="179">
        <v>1</v>
      </c>
      <c r="R372" s="158" t="s">
        <v>944</v>
      </c>
      <c r="S372" s="179" t="s">
        <v>1478</v>
      </c>
      <c r="T372" s="241">
        <v>81.5</v>
      </c>
      <c r="U372" s="658">
        <v>0</v>
      </c>
      <c r="V372" s="67" t="s">
        <v>714</v>
      </c>
      <c r="W372" s="191" t="s">
        <v>714</v>
      </c>
      <c r="X372" s="245">
        <v>0</v>
      </c>
      <c r="Y372" s="233">
        <v>2</v>
      </c>
      <c r="Z372" s="225">
        <v>1</v>
      </c>
      <c r="AA372" s="221"/>
      <c r="AB372" s="246"/>
      <c r="AC372" s="233">
        <v>0</v>
      </c>
      <c r="AD372" s="19">
        <v>0</v>
      </c>
      <c r="AE372" s="225">
        <v>4</v>
      </c>
      <c r="AF372" s="254" t="s">
        <v>1482</v>
      </c>
    </row>
    <row r="373" spans="1:40" s="147" customFormat="1" ht="27.6" customHeight="1">
      <c r="A373" s="186" t="s">
        <v>994</v>
      </c>
      <c r="B373" s="94">
        <v>17</v>
      </c>
      <c r="C373" s="186" t="s">
        <v>1275</v>
      </c>
      <c r="D373" s="95">
        <v>127</v>
      </c>
      <c r="E373" s="94" t="s">
        <v>540</v>
      </c>
      <c r="F373" s="189">
        <v>45224</v>
      </c>
      <c r="G373" s="204" t="s">
        <v>1272</v>
      </c>
      <c r="H373" s="191" t="s">
        <v>1111</v>
      </c>
      <c r="I373" s="248">
        <v>15</v>
      </c>
      <c r="J373" s="443">
        <v>10</v>
      </c>
      <c r="K373" s="685">
        <v>10</v>
      </c>
      <c r="L373" s="684">
        <v>10</v>
      </c>
      <c r="M373" s="688">
        <f t="shared" si="10"/>
        <v>0</v>
      </c>
      <c r="N373" s="210">
        <v>55</v>
      </c>
      <c r="O373" s="721">
        <v>100</v>
      </c>
      <c r="P373" s="697">
        <v>0</v>
      </c>
      <c r="Q373" s="697">
        <v>100</v>
      </c>
      <c r="R373" s="95" t="s">
        <v>1110</v>
      </c>
      <c r="S373" s="697">
        <v>0</v>
      </c>
      <c r="T373" s="245"/>
      <c r="U373" s="658">
        <v>0</v>
      </c>
      <c r="V373" s="67" t="s">
        <v>714</v>
      </c>
      <c r="W373" s="191" t="s">
        <v>714</v>
      </c>
      <c r="X373" s="245">
        <v>0</v>
      </c>
      <c r="Y373" s="233">
        <v>1</v>
      </c>
      <c r="Z373" s="225">
        <v>0</v>
      </c>
      <c r="AA373" s="221">
        <v>157.51</v>
      </c>
      <c r="AB373" s="246">
        <v>6</v>
      </c>
      <c r="AC373" s="233">
        <v>0</v>
      </c>
      <c r="AD373" s="19">
        <v>0</v>
      </c>
      <c r="AE373" s="225">
        <v>0</v>
      </c>
      <c r="AF373" s="254" t="s">
        <v>1506</v>
      </c>
      <c r="AG373" s="150"/>
    </row>
    <row r="374" spans="1:40" ht="27.6" customHeight="1">
      <c r="A374" s="186" t="s">
        <v>994</v>
      </c>
      <c r="B374" s="94">
        <v>17</v>
      </c>
      <c r="C374" s="186" t="s">
        <v>1275</v>
      </c>
      <c r="D374" s="95">
        <v>129</v>
      </c>
      <c r="E374" s="94" t="s">
        <v>541</v>
      </c>
      <c r="F374" s="189">
        <v>45224</v>
      </c>
      <c r="G374" s="204" t="s">
        <v>1272</v>
      </c>
      <c r="H374" s="191" t="s">
        <v>1111</v>
      </c>
      <c r="I374" s="248">
        <v>15</v>
      </c>
      <c r="J374" s="443">
        <v>40</v>
      </c>
      <c r="K374" s="685">
        <v>40</v>
      </c>
      <c r="L374" s="684">
        <v>40</v>
      </c>
      <c r="M374" s="688">
        <f t="shared" si="10"/>
        <v>0</v>
      </c>
      <c r="N374" s="210">
        <v>22.5</v>
      </c>
      <c r="O374" s="210"/>
      <c r="P374" s="697">
        <v>0</v>
      </c>
      <c r="Q374" s="179"/>
      <c r="R374" s="95" t="s">
        <v>1663</v>
      </c>
      <c r="S374" s="19"/>
      <c r="T374" s="242"/>
      <c r="U374" s="658">
        <v>0</v>
      </c>
      <c r="V374" s="67" t="s">
        <v>714</v>
      </c>
      <c r="W374" s="191" t="s">
        <v>714</v>
      </c>
      <c r="X374" s="245">
        <v>0</v>
      </c>
      <c r="Y374" s="233">
        <v>1</v>
      </c>
      <c r="Z374" s="225">
        <v>0</v>
      </c>
      <c r="AA374" s="221">
        <v>853.54</v>
      </c>
      <c r="AB374" s="246">
        <v>8</v>
      </c>
      <c r="AC374" s="233">
        <v>0</v>
      </c>
      <c r="AD374" s="19">
        <v>0</v>
      </c>
      <c r="AE374" s="225">
        <v>0</v>
      </c>
      <c r="AF374" s="255" t="s">
        <v>1506</v>
      </c>
    </row>
    <row r="375" spans="1:40" s="147" customFormat="1" ht="27.6" customHeight="1">
      <c r="A375" s="186" t="s">
        <v>994</v>
      </c>
      <c r="B375" s="94">
        <v>17</v>
      </c>
      <c r="C375" s="186" t="s">
        <v>1275</v>
      </c>
      <c r="D375" s="95">
        <v>130</v>
      </c>
      <c r="E375" s="94" t="s">
        <v>543</v>
      </c>
      <c r="F375" s="189">
        <v>45224</v>
      </c>
      <c r="G375" s="204" t="s">
        <v>1272</v>
      </c>
      <c r="H375" s="191" t="s">
        <v>1111</v>
      </c>
      <c r="I375" s="248">
        <v>15</v>
      </c>
      <c r="J375" s="443">
        <v>60</v>
      </c>
      <c r="K375" s="685">
        <v>60</v>
      </c>
      <c r="L375" s="684">
        <v>60</v>
      </c>
      <c r="M375" s="688">
        <f t="shared" si="10"/>
        <v>0</v>
      </c>
      <c r="N375" s="210">
        <v>28</v>
      </c>
      <c r="O375" s="210">
        <v>22.5</v>
      </c>
      <c r="P375" s="697">
        <v>0</v>
      </c>
      <c r="Q375" s="697">
        <v>0</v>
      </c>
      <c r="R375" s="95" t="s">
        <v>944</v>
      </c>
      <c r="S375" s="179" t="s">
        <v>1479</v>
      </c>
      <c r="T375" s="241">
        <v>24.3</v>
      </c>
      <c r="U375" s="658">
        <v>0</v>
      </c>
      <c r="V375" s="67" t="s">
        <v>714</v>
      </c>
      <c r="W375" s="191" t="s">
        <v>714</v>
      </c>
      <c r="X375" s="245">
        <v>0</v>
      </c>
      <c r="Y375" s="233">
        <v>2</v>
      </c>
      <c r="Z375" s="225">
        <v>1</v>
      </c>
      <c r="AA375" s="221"/>
      <c r="AB375" s="246"/>
      <c r="AC375" s="233">
        <v>2</v>
      </c>
      <c r="AD375" s="19">
        <v>0</v>
      </c>
      <c r="AE375" s="225">
        <v>12</v>
      </c>
      <c r="AF375" s="254" t="s">
        <v>1482</v>
      </c>
      <c r="AG375" s="150"/>
      <c r="AH375" s="150"/>
      <c r="AI375" s="150"/>
      <c r="AJ375" s="150"/>
      <c r="AK375" s="150"/>
      <c r="AL375" s="150"/>
      <c r="AM375" s="150"/>
      <c r="AN375" s="150"/>
    </row>
    <row r="376" spans="1:40" ht="27.6" customHeight="1">
      <c r="A376" s="186" t="s">
        <v>994</v>
      </c>
      <c r="B376" s="94">
        <v>17</v>
      </c>
      <c r="C376" s="186" t="s">
        <v>1275</v>
      </c>
      <c r="D376" s="95">
        <v>131</v>
      </c>
      <c r="E376" s="94" t="s">
        <v>544</v>
      </c>
      <c r="F376" s="189">
        <v>45224</v>
      </c>
      <c r="G376" s="204" t="s">
        <v>1272</v>
      </c>
      <c r="H376" s="191" t="s">
        <v>1111</v>
      </c>
      <c r="I376" s="248">
        <v>15</v>
      </c>
      <c r="J376" s="443">
        <v>20</v>
      </c>
      <c r="K376" s="685">
        <v>20</v>
      </c>
      <c r="L376" s="684">
        <v>10</v>
      </c>
      <c r="M376" s="688">
        <f t="shared" si="10"/>
        <v>10</v>
      </c>
      <c r="N376" s="210">
        <v>20</v>
      </c>
      <c r="O376" s="210"/>
      <c r="P376" s="697">
        <v>0</v>
      </c>
      <c r="Q376" s="697"/>
      <c r="R376" s="95" t="s">
        <v>1097</v>
      </c>
      <c r="S376" s="19"/>
      <c r="T376" s="242"/>
      <c r="U376" s="658">
        <v>0</v>
      </c>
      <c r="V376" s="67" t="s">
        <v>714</v>
      </c>
      <c r="W376" s="191" t="s">
        <v>714</v>
      </c>
      <c r="X376" s="245">
        <v>0</v>
      </c>
      <c r="Y376" s="233">
        <v>1</v>
      </c>
      <c r="Z376" s="225">
        <v>0</v>
      </c>
      <c r="AA376" s="221"/>
      <c r="AB376" s="246"/>
      <c r="AC376" s="233">
        <v>0</v>
      </c>
      <c r="AD376" s="19">
        <v>0</v>
      </c>
      <c r="AE376" s="225">
        <v>0</v>
      </c>
      <c r="AF376" s="255" t="s">
        <v>1506</v>
      </c>
      <c r="AH376" s="147"/>
      <c r="AI376" s="147"/>
      <c r="AJ376" s="147"/>
      <c r="AK376" s="147"/>
      <c r="AL376" s="147"/>
      <c r="AM376" s="147"/>
      <c r="AN376" s="147"/>
    </row>
    <row r="377" spans="1:40" ht="27.6" customHeight="1">
      <c r="A377" s="186" t="s">
        <v>994</v>
      </c>
      <c r="B377" s="94">
        <v>17</v>
      </c>
      <c r="C377" s="186" t="s">
        <v>1275</v>
      </c>
      <c r="D377" s="95">
        <v>132</v>
      </c>
      <c r="E377" s="94" t="s">
        <v>546</v>
      </c>
      <c r="F377" s="189">
        <v>45224</v>
      </c>
      <c r="G377" s="204" t="s">
        <v>1272</v>
      </c>
      <c r="H377" s="191" t="s">
        <v>1111</v>
      </c>
      <c r="I377" s="248">
        <v>15</v>
      </c>
      <c r="J377" s="443">
        <v>10</v>
      </c>
      <c r="K377" s="685">
        <v>10</v>
      </c>
      <c r="L377" s="684">
        <v>10</v>
      </c>
      <c r="M377" s="688">
        <f t="shared" si="10"/>
        <v>0</v>
      </c>
      <c r="N377" s="210">
        <v>35</v>
      </c>
      <c r="O377" s="210">
        <v>45</v>
      </c>
      <c r="P377" s="697">
        <v>0</v>
      </c>
      <c r="Q377" s="179">
        <v>1</v>
      </c>
      <c r="R377" s="95" t="s">
        <v>944</v>
      </c>
      <c r="S377" s="179" t="s">
        <v>1129</v>
      </c>
      <c r="T377" s="241">
        <v>9.3000000000000007</v>
      </c>
      <c r="U377" s="658">
        <v>0</v>
      </c>
      <c r="V377" s="16" t="s">
        <v>714</v>
      </c>
      <c r="W377" s="191" t="s">
        <v>714</v>
      </c>
      <c r="X377" s="245">
        <v>0</v>
      </c>
      <c r="Y377" s="233">
        <v>2</v>
      </c>
      <c r="Z377" s="225">
        <v>1</v>
      </c>
      <c r="AA377" s="221">
        <v>34.97</v>
      </c>
      <c r="AB377" s="246" t="s">
        <v>988</v>
      </c>
      <c r="AC377" s="233">
        <v>1</v>
      </c>
      <c r="AD377" s="19">
        <v>2</v>
      </c>
      <c r="AE377" s="225">
        <v>2</v>
      </c>
      <c r="AF377" s="254" t="s">
        <v>1482</v>
      </c>
      <c r="AG377" s="147"/>
      <c r="AH377" s="147"/>
      <c r="AI377" s="147"/>
      <c r="AJ377" s="147"/>
      <c r="AK377" s="147"/>
      <c r="AL377" s="147"/>
      <c r="AM377" s="147"/>
      <c r="AN377" s="147"/>
    </row>
    <row r="378" spans="1:40" ht="27.6" customHeight="1">
      <c r="A378" s="186" t="s">
        <v>994</v>
      </c>
      <c r="B378" s="94">
        <v>17</v>
      </c>
      <c r="C378" s="186" t="s">
        <v>1275</v>
      </c>
      <c r="D378" s="95">
        <v>133</v>
      </c>
      <c r="E378" s="94" t="s">
        <v>547</v>
      </c>
      <c r="F378" s="189">
        <v>45225</v>
      </c>
      <c r="G378" s="204" t="s">
        <v>1272</v>
      </c>
      <c r="H378" s="191" t="s">
        <v>1111</v>
      </c>
      <c r="I378" s="248">
        <v>15</v>
      </c>
      <c r="J378" s="443">
        <v>50</v>
      </c>
      <c r="K378" s="685">
        <v>50</v>
      </c>
      <c r="L378" s="684">
        <v>50</v>
      </c>
      <c r="M378" s="688">
        <f t="shared" ref="M378:M407" si="11">K378-L378</f>
        <v>0</v>
      </c>
      <c r="N378" s="210">
        <v>43.5</v>
      </c>
      <c r="O378" s="210">
        <v>23.5</v>
      </c>
      <c r="P378" s="179">
        <v>1</v>
      </c>
      <c r="Q378" s="179">
        <v>1</v>
      </c>
      <c r="R378" s="95" t="s">
        <v>944</v>
      </c>
      <c r="S378" s="179" t="s">
        <v>1127</v>
      </c>
      <c r="T378" s="241">
        <v>35.5</v>
      </c>
      <c r="U378" s="658">
        <v>0</v>
      </c>
      <c r="V378" s="67" t="s">
        <v>714</v>
      </c>
      <c r="W378" s="191" t="s">
        <v>714</v>
      </c>
      <c r="X378" s="245">
        <v>0</v>
      </c>
      <c r="Y378" s="233">
        <v>2</v>
      </c>
      <c r="Z378" s="225">
        <v>1</v>
      </c>
      <c r="AA378" s="221"/>
      <c r="AB378" s="246"/>
      <c r="AC378" s="233">
        <v>2</v>
      </c>
      <c r="AD378" s="19">
        <v>5</v>
      </c>
      <c r="AE378" s="225">
        <v>32</v>
      </c>
      <c r="AF378" s="254" t="s">
        <v>1482</v>
      </c>
    </row>
    <row r="379" spans="1:40" ht="27.6" customHeight="1">
      <c r="A379" s="186" t="s">
        <v>994</v>
      </c>
      <c r="B379" s="94">
        <v>17</v>
      </c>
      <c r="C379" s="186" t="s">
        <v>1275</v>
      </c>
      <c r="D379" s="95">
        <v>134</v>
      </c>
      <c r="E379" s="94" t="s">
        <v>548</v>
      </c>
      <c r="F379" s="189">
        <v>45225</v>
      </c>
      <c r="G379" s="204" t="s">
        <v>1272</v>
      </c>
      <c r="H379" s="191" t="s">
        <v>1111</v>
      </c>
      <c r="I379" s="248">
        <v>15</v>
      </c>
      <c r="J379" s="443">
        <v>40</v>
      </c>
      <c r="K379" s="685">
        <v>40</v>
      </c>
      <c r="L379" s="684">
        <v>40</v>
      </c>
      <c r="M379" s="688">
        <f t="shared" si="11"/>
        <v>0</v>
      </c>
      <c r="N379" s="210">
        <v>10</v>
      </c>
      <c r="O379" s="210"/>
      <c r="P379" s="697">
        <v>0</v>
      </c>
      <c r="Q379" s="179"/>
      <c r="R379" s="95" t="s">
        <v>1097</v>
      </c>
      <c r="S379" s="19"/>
      <c r="T379" s="242"/>
      <c r="U379" s="658">
        <v>0</v>
      </c>
      <c r="V379" s="67" t="s">
        <v>714</v>
      </c>
      <c r="W379" s="191" t="s">
        <v>714</v>
      </c>
      <c r="X379" s="245">
        <v>0</v>
      </c>
      <c r="Y379" s="233">
        <v>1</v>
      </c>
      <c r="Z379" s="225">
        <v>0</v>
      </c>
      <c r="AA379" s="221"/>
      <c r="AB379" s="246"/>
      <c r="AC379" s="233">
        <v>0</v>
      </c>
      <c r="AD379" s="19">
        <v>0</v>
      </c>
      <c r="AE379" s="225">
        <v>0</v>
      </c>
      <c r="AF379" s="255" t="s">
        <v>1506</v>
      </c>
      <c r="AG379" s="147"/>
      <c r="AH379" s="147"/>
      <c r="AI379" s="147"/>
      <c r="AJ379" s="147"/>
      <c r="AK379" s="147"/>
      <c r="AL379" s="147"/>
      <c r="AM379" s="147"/>
      <c r="AN379" s="147"/>
    </row>
    <row r="380" spans="1:40" s="147" customFormat="1" ht="27.6" customHeight="1">
      <c r="A380" s="186" t="s">
        <v>994</v>
      </c>
      <c r="B380" s="94">
        <v>17</v>
      </c>
      <c r="C380" s="186" t="s">
        <v>1275</v>
      </c>
      <c r="D380" s="95">
        <v>135</v>
      </c>
      <c r="E380" s="94" t="s">
        <v>549</v>
      </c>
      <c r="F380" s="189">
        <v>45225</v>
      </c>
      <c r="G380" s="204" t="s">
        <v>1272</v>
      </c>
      <c r="H380" s="191" t="s">
        <v>1111</v>
      </c>
      <c r="I380" s="248">
        <v>15</v>
      </c>
      <c r="J380" s="443">
        <v>70</v>
      </c>
      <c r="K380" s="685">
        <v>70</v>
      </c>
      <c r="L380" s="684">
        <v>60</v>
      </c>
      <c r="M380" s="688">
        <f t="shared" si="11"/>
        <v>10</v>
      </c>
      <c r="N380" s="210">
        <v>36</v>
      </c>
      <c r="O380" s="210">
        <v>50</v>
      </c>
      <c r="P380" s="179">
        <v>0.5</v>
      </c>
      <c r="Q380" s="697">
        <v>0</v>
      </c>
      <c r="R380" s="95" t="s">
        <v>944</v>
      </c>
      <c r="S380" s="179" t="s">
        <v>1134</v>
      </c>
      <c r="T380" s="241">
        <v>20</v>
      </c>
      <c r="U380" s="658">
        <v>0</v>
      </c>
      <c r="V380" s="67" t="s">
        <v>714</v>
      </c>
      <c r="W380" s="191" t="s">
        <v>714</v>
      </c>
      <c r="X380" s="245">
        <v>0</v>
      </c>
      <c r="Y380" s="233">
        <v>2</v>
      </c>
      <c r="Z380" s="225">
        <v>1</v>
      </c>
      <c r="AA380" s="221"/>
      <c r="AB380" s="246"/>
      <c r="AC380" s="233">
        <v>0</v>
      </c>
      <c r="AD380" s="19">
        <v>1</v>
      </c>
      <c r="AE380" s="225">
        <v>3</v>
      </c>
      <c r="AF380" s="254" t="s">
        <v>1482</v>
      </c>
      <c r="AG380" s="150"/>
    </row>
    <row r="381" spans="1:40" ht="27.6" customHeight="1">
      <c r="A381" s="186" t="s">
        <v>994</v>
      </c>
      <c r="B381" s="94">
        <v>17</v>
      </c>
      <c r="C381" s="186" t="s">
        <v>1275</v>
      </c>
      <c r="D381" s="95">
        <v>136</v>
      </c>
      <c r="E381" s="94" t="s">
        <v>550</v>
      </c>
      <c r="F381" s="189">
        <v>45225</v>
      </c>
      <c r="G381" s="204" t="s">
        <v>1272</v>
      </c>
      <c r="H381" s="191" t="s">
        <v>1111</v>
      </c>
      <c r="I381" s="248">
        <v>15</v>
      </c>
      <c r="J381" s="443">
        <v>40</v>
      </c>
      <c r="K381" s="685">
        <v>40</v>
      </c>
      <c r="L381" s="684">
        <v>40</v>
      </c>
      <c r="M381" s="688">
        <f t="shared" si="11"/>
        <v>0</v>
      </c>
      <c r="N381" s="210">
        <v>36</v>
      </c>
      <c r="O381" s="210">
        <v>27.5</v>
      </c>
      <c r="P381" s="179">
        <v>1</v>
      </c>
      <c r="Q381" s="697">
        <v>0</v>
      </c>
      <c r="R381" s="95" t="s">
        <v>944</v>
      </c>
      <c r="S381" s="179" t="s">
        <v>1464</v>
      </c>
      <c r="T381" s="241">
        <v>46</v>
      </c>
      <c r="U381" s="658">
        <v>0</v>
      </c>
      <c r="V381" s="16" t="s">
        <v>714</v>
      </c>
      <c r="W381" s="191" t="s">
        <v>714</v>
      </c>
      <c r="X381" s="245">
        <v>0</v>
      </c>
      <c r="Y381" s="233">
        <v>2</v>
      </c>
      <c r="Z381" s="225">
        <v>1</v>
      </c>
      <c r="AA381" s="221"/>
      <c r="AB381" s="246"/>
      <c r="AC381" s="233">
        <v>1</v>
      </c>
      <c r="AD381" s="19">
        <v>1</v>
      </c>
      <c r="AE381" s="225">
        <v>16</v>
      </c>
      <c r="AF381" s="254" t="s">
        <v>1482</v>
      </c>
    </row>
    <row r="382" spans="1:40" s="147" customFormat="1" ht="27.6" customHeight="1">
      <c r="A382" s="186" t="s">
        <v>994</v>
      </c>
      <c r="B382" s="94">
        <v>17</v>
      </c>
      <c r="C382" s="186" t="s">
        <v>1275</v>
      </c>
      <c r="D382" s="95">
        <v>137</v>
      </c>
      <c r="E382" s="94" t="s">
        <v>551</v>
      </c>
      <c r="F382" s="189">
        <v>45225</v>
      </c>
      <c r="G382" s="204" t="s">
        <v>1272</v>
      </c>
      <c r="H382" s="191" t="s">
        <v>1111</v>
      </c>
      <c r="I382" s="248">
        <v>15</v>
      </c>
      <c r="J382" s="443">
        <v>10</v>
      </c>
      <c r="K382" s="685">
        <v>10</v>
      </c>
      <c r="L382" s="684">
        <v>20</v>
      </c>
      <c r="M382" s="688">
        <f t="shared" si="11"/>
        <v>-10</v>
      </c>
      <c r="N382" s="210">
        <v>32.5</v>
      </c>
      <c r="O382" s="210">
        <v>22.5</v>
      </c>
      <c r="P382" s="697">
        <v>0</v>
      </c>
      <c r="Q382" s="697">
        <v>0</v>
      </c>
      <c r="R382" s="95" t="s">
        <v>944</v>
      </c>
      <c r="S382" s="179" t="s">
        <v>1128</v>
      </c>
      <c r="T382" s="241">
        <v>26.7</v>
      </c>
      <c r="U382" s="658">
        <v>0</v>
      </c>
      <c r="V382" s="67" t="s">
        <v>714</v>
      </c>
      <c r="W382" s="191" t="s">
        <v>714</v>
      </c>
      <c r="X382" s="245">
        <v>0</v>
      </c>
      <c r="Y382" s="233">
        <v>2</v>
      </c>
      <c r="Z382" s="225">
        <v>1</v>
      </c>
      <c r="AA382" s="221"/>
      <c r="AB382" s="246"/>
      <c r="AC382" s="233">
        <v>0</v>
      </c>
      <c r="AD382" s="19">
        <v>0</v>
      </c>
      <c r="AE382" s="225">
        <v>7</v>
      </c>
      <c r="AF382" s="254" t="s">
        <v>1482</v>
      </c>
      <c r="AH382" s="150"/>
      <c r="AI382" s="150"/>
      <c r="AJ382" s="150"/>
      <c r="AK382" s="150"/>
      <c r="AL382" s="150"/>
      <c r="AM382" s="150"/>
      <c r="AN382" s="150"/>
    </row>
    <row r="383" spans="1:40" ht="27.6" customHeight="1">
      <c r="A383" s="186" t="s">
        <v>994</v>
      </c>
      <c r="B383" s="94">
        <v>17</v>
      </c>
      <c r="C383" s="186" t="s">
        <v>1275</v>
      </c>
      <c r="D383" s="95">
        <v>138</v>
      </c>
      <c r="E383" s="94" t="s">
        <v>552</v>
      </c>
      <c r="F383" s="189">
        <v>45224</v>
      </c>
      <c r="G383" s="204" t="s">
        <v>1272</v>
      </c>
      <c r="H383" s="191" t="s">
        <v>1111</v>
      </c>
      <c r="I383" s="248">
        <v>15</v>
      </c>
      <c r="J383" s="443">
        <v>30</v>
      </c>
      <c r="K383" s="685">
        <v>30</v>
      </c>
      <c r="L383" s="684">
        <v>20</v>
      </c>
      <c r="M383" s="684">
        <f t="shared" si="11"/>
        <v>10</v>
      </c>
      <c r="N383" s="210">
        <v>61</v>
      </c>
      <c r="O383" s="210">
        <v>55</v>
      </c>
      <c r="P383" s="179">
        <v>2.5</v>
      </c>
      <c r="Q383" s="697">
        <v>0</v>
      </c>
      <c r="R383" s="95" t="s">
        <v>944</v>
      </c>
      <c r="S383" s="179" t="s">
        <v>1136</v>
      </c>
      <c r="T383" s="241">
        <v>5</v>
      </c>
      <c r="U383" s="658">
        <v>0</v>
      </c>
      <c r="V383" s="67" t="s">
        <v>714</v>
      </c>
      <c r="W383" s="191" t="s">
        <v>714</v>
      </c>
      <c r="X383" s="245">
        <v>0</v>
      </c>
      <c r="Y383" s="233">
        <v>2</v>
      </c>
      <c r="Z383" s="225">
        <v>1</v>
      </c>
      <c r="AA383" s="221">
        <v>14.34</v>
      </c>
      <c r="AB383" s="246" t="s">
        <v>973</v>
      </c>
      <c r="AC383" s="233">
        <v>1</v>
      </c>
      <c r="AD383" s="19">
        <v>0</v>
      </c>
      <c r="AE383" s="225">
        <v>0</v>
      </c>
      <c r="AF383" s="254" t="s">
        <v>1482</v>
      </c>
      <c r="AG383" s="147"/>
    </row>
    <row r="384" spans="1:40" ht="27.6" customHeight="1">
      <c r="A384" s="186" t="s">
        <v>994</v>
      </c>
      <c r="B384" s="94">
        <v>17</v>
      </c>
      <c r="C384" s="186" t="s">
        <v>1275</v>
      </c>
      <c r="D384" s="95">
        <v>139</v>
      </c>
      <c r="E384" s="94" t="s">
        <v>553</v>
      </c>
      <c r="F384" s="189">
        <v>45224</v>
      </c>
      <c r="G384" s="204" t="s">
        <v>1272</v>
      </c>
      <c r="H384" s="191" t="s">
        <v>1111</v>
      </c>
      <c r="I384" s="248">
        <v>15</v>
      </c>
      <c r="J384" s="443">
        <v>20</v>
      </c>
      <c r="K384" s="685">
        <v>20</v>
      </c>
      <c r="L384" s="684">
        <v>20</v>
      </c>
      <c r="M384" s="688">
        <f t="shared" si="11"/>
        <v>0</v>
      </c>
      <c r="N384" s="210">
        <v>42.5</v>
      </c>
      <c r="O384" s="210">
        <v>45</v>
      </c>
      <c r="P384" s="697">
        <v>0</v>
      </c>
      <c r="Q384" s="697">
        <v>0</v>
      </c>
      <c r="R384" s="95" t="s">
        <v>944</v>
      </c>
      <c r="S384" s="179" t="s">
        <v>1480</v>
      </c>
      <c r="T384" s="241">
        <v>39</v>
      </c>
      <c r="U384" s="658">
        <v>0</v>
      </c>
      <c r="V384" s="67" t="s">
        <v>714</v>
      </c>
      <c r="W384" s="191" t="s">
        <v>714</v>
      </c>
      <c r="X384" s="245">
        <v>0</v>
      </c>
      <c r="Y384" s="233">
        <v>2</v>
      </c>
      <c r="Z384" s="225">
        <v>1</v>
      </c>
      <c r="AA384" s="221"/>
      <c r="AB384" s="246"/>
      <c r="AC384" s="233">
        <v>1</v>
      </c>
      <c r="AD384" s="19">
        <v>0</v>
      </c>
      <c r="AE384" s="225">
        <v>9</v>
      </c>
      <c r="AF384" s="254" t="s">
        <v>1482</v>
      </c>
      <c r="AG384" s="147"/>
    </row>
    <row r="385" spans="1:40" ht="27.6" customHeight="1">
      <c r="A385" s="186" t="s">
        <v>994</v>
      </c>
      <c r="B385" s="94">
        <v>17</v>
      </c>
      <c r="C385" s="186" t="s">
        <v>1275</v>
      </c>
      <c r="D385" s="95">
        <v>141</v>
      </c>
      <c r="E385" s="94" t="s">
        <v>1276</v>
      </c>
      <c r="F385" s="189">
        <v>45234</v>
      </c>
      <c r="G385" s="204" t="s">
        <v>1272</v>
      </c>
      <c r="H385" s="191" t="s">
        <v>1111</v>
      </c>
      <c r="I385" s="248">
        <v>15</v>
      </c>
      <c r="J385" s="443">
        <v>60</v>
      </c>
      <c r="K385" s="685">
        <v>60</v>
      </c>
      <c r="L385" s="684">
        <v>50</v>
      </c>
      <c r="M385" s="688">
        <f t="shared" si="11"/>
        <v>10</v>
      </c>
      <c r="N385" s="210">
        <v>15</v>
      </c>
      <c r="O385" s="210">
        <v>17.5</v>
      </c>
      <c r="P385" s="697">
        <v>0</v>
      </c>
      <c r="Q385" s="697">
        <v>0</v>
      </c>
      <c r="R385" s="158" t="s">
        <v>944</v>
      </c>
      <c r="S385" s="179" t="s">
        <v>1481</v>
      </c>
      <c r="T385" s="241">
        <v>85</v>
      </c>
      <c r="U385" s="658">
        <v>0</v>
      </c>
      <c r="V385" s="67" t="s">
        <v>714</v>
      </c>
      <c r="W385" s="191" t="s">
        <v>714</v>
      </c>
      <c r="X385" s="245">
        <v>0</v>
      </c>
      <c r="Y385" s="233">
        <v>2</v>
      </c>
      <c r="Z385" s="225">
        <v>1</v>
      </c>
      <c r="AA385" s="221"/>
      <c r="AB385" s="246"/>
      <c r="AC385" s="233">
        <v>3</v>
      </c>
      <c r="AD385" s="19">
        <v>1</v>
      </c>
      <c r="AE385" s="225">
        <v>19</v>
      </c>
      <c r="AF385" s="254" t="s">
        <v>1482</v>
      </c>
    </row>
    <row r="386" spans="1:40" s="147" customFormat="1" ht="27.6" customHeight="1">
      <c r="A386" s="186" t="s">
        <v>994</v>
      </c>
      <c r="B386" s="94">
        <v>17</v>
      </c>
      <c r="C386" s="186" t="s">
        <v>1275</v>
      </c>
      <c r="D386" s="95">
        <v>142</v>
      </c>
      <c r="E386" s="94" t="s">
        <v>1277</v>
      </c>
      <c r="F386" s="189">
        <v>45234</v>
      </c>
      <c r="G386" s="204" t="s">
        <v>1272</v>
      </c>
      <c r="H386" s="191" t="s">
        <v>1111</v>
      </c>
      <c r="I386" s="248">
        <v>15</v>
      </c>
      <c r="J386" s="443">
        <v>30</v>
      </c>
      <c r="K386" s="685">
        <v>30</v>
      </c>
      <c r="L386" s="684">
        <v>40</v>
      </c>
      <c r="M386" s="688">
        <f t="shared" si="11"/>
        <v>-10</v>
      </c>
      <c r="N386" s="210">
        <v>17.5</v>
      </c>
      <c r="O386" s="210">
        <v>15</v>
      </c>
      <c r="P386" s="697">
        <v>0</v>
      </c>
      <c r="Q386" s="697">
        <v>0</v>
      </c>
      <c r="R386" s="158" t="s">
        <v>1662</v>
      </c>
      <c r="S386" s="179" t="s">
        <v>1133</v>
      </c>
      <c r="T386" s="241">
        <v>60</v>
      </c>
      <c r="U386" s="658">
        <v>0</v>
      </c>
      <c r="V386" s="67" t="s">
        <v>714</v>
      </c>
      <c r="W386" s="191" t="s">
        <v>714</v>
      </c>
      <c r="X386" s="245">
        <v>0</v>
      </c>
      <c r="Y386" s="233">
        <v>2</v>
      </c>
      <c r="Z386" s="225">
        <v>1</v>
      </c>
      <c r="AA386" s="221"/>
      <c r="AB386" s="246"/>
      <c r="AC386" s="233">
        <v>0</v>
      </c>
      <c r="AD386" s="19">
        <v>0</v>
      </c>
      <c r="AE386" s="225">
        <v>32</v>
      </c>
      <c r="AF386" s="254" t="s">
        <v>1482</v>
      </c>
      <c r="AG386" s="150"/>
      <c r="AH386" s="150"/>
      <c r="AI386" s="150"/>
      <c r="AJ386" s="150"/>
      <c r="AK386" s="150"/>
      <c r="AL386" s="150"/>
      <c r="AM386" s="150"/>
      <c r="AN386" s="150"/>
    </row>
    <row r="387" spans="1:40" s="147" customFormat="1" ht="27.6" customHeight="1">
      <c r="A387" s="186" t="s">
        <v>994</v>
      </c>
      <c r="B387" s="94">
        <v>17</v>
      </c>
      <c r="C387" s="186" t="s">
        <v>1275</v>
      </c>
      <c r="D387" s="95" t="s">
        <v>995</v>
      </c>
      <c r="E387" s="94" t="s">
        <v>556</v>
      </c>
      <c r="F387" s="189">
        <v>45234</v>
      </c>
      <c r="G387" s="204" t="s">
        <v>1272</v>
      </c>
      <c r="H387" s="191" t="s">
        <v>1111</v>
      </c>
      <c r="I387" s="248">
        <v>15</v>
      </c>
      <c r="J387" s="443">
        <v>20</v>
      </c>
      <c r="K387" s="685">
        <v>20</v>
      </c>
      <c r="L387" s="684">
        <v>20</v>
      </c>
      <c r="M387" s="688">
        <f t="shared" si="11"/>
        <v>0</v>
      </c>
      <c r="N387" s="210">
        <v>45</v>
      </c>
      <c r="O387" s="210"/>
      <c r="P387" s="697">
        <v>0</v>
      </c>
      <c r="Q387" s="179"/>
      <c r="R387" s="95" t="s">
        <v>1098</v>
      </c>
      <c r="S387" s="697">
        <v>0</v>
      </c>
      <c r="T387" s="245"/>
      <c r="U387" s="658">
        <v>0</v>
      </c>
      <c r="V387" s="67" t="s">
        <v>714</v>
      </c>
      <c r="W387" s="191" t="s">
        <v>714</v>
      </c>
      <c r="X387" s="245">
        <v>0</v>
      </c>
      <c r="Y387" s="233">
        <v>1</v>
      </c>
      <c r="Z387" s="225">
        <v>0</v>
      </c>
      <c r="AA387" s="221">
        <v>2.63</v>
      </c>
      <c r="AB387" s="246">
        <v>3</v>
      </c>
      <c r="AC387" s="233">
        <v>0</v>
      </c>
      <c r="AD387" s="19">
        <v>0</v>
      </c>
      <c r="AE387" s="225">
        <v>0</v>
      </c>
      <c r="AF387" s="254" t="s">
        <v>1506</v>
      </c>
    </row>
    <row r="388" spans="1:40" ht="27.6" customHeight="1" thickBot="1">
      <c r="A388" s="264" t="s">
        <v>994</v>
      </c>
      <c r="B388" s="102">
        <v>17</v>
      </c>
      <c r="C388" s="264" t="s">
        <v>996</v>
      </c>
      <c r="D388" s="103" t="s">
        <v>166</v>
      </c>
      <c r="E388" s="102" t="s">
        <v>557</v>
      </c>
      <c r="F388" s="278">
        <v>45224</v>
      </c>
      <c r="G388" s="326" t="s">
        <v>1272</v>
      </c>
      <c r="H388" s="360" t="s">
        <v>1111</v>
      </c>
      <c r="I388" s="296">
        <v>15</v>
      </c>
      <c r="J388" s="445" t="s">
        <v>948</v>
      </c>
      <c r="K388" s="628">
        <v>2.5</v>
      </c>
      <c r="L388" s="623">
        <v>2.5</v>
      </c>
      <c r="M388" s="690">
        <f t="shared" si="11"/>
        <v>0</v>
      </c>
      <c r="N388" s="370">
        <v>97.5</v>
      </c>
      <c r="O388" s="370"/>
      <c r="P388" s="728">
        <v>0</v>
      </c>
      <c r="Q388" s="281"/>
      <c r="R388" s="103" t="s">
        <v>1426</v>
      </c>
      <c r="S388" s="728">
        <v>0</v>
      </c>
      <c r="T388" s="674"/>
      <c r="U388" s="659">
        <v>0</v>
      </c>
      <c r="V388" s="375" t="s">
        <v>714</v>
      </c>
      <c r="W388" s="360" t="s">
        <v>714</v>
      </c>
      <c r="X388" s="674">
        <v>0</v>
      </c>
      <c r="Y388" s="285">
        <v>1</v>
      </c>
      <c r="Z388" s="286">
        <v>0</v>
      </c>
      <c r="AA388" s="283">
        <v>73.099999999999994</v>
      </c>
      <c r="AB388" s="284">
        <v>6</v>
      </c>
      <c r="AC388" s="285">
        <v>0</v>
      </c>
      <c r="AD388" s="84">
        <v>0</v>
      </c>
      <c r="AE388" s="286">
        <v>0</v>
      </c>
      <c r="AF388" s="297" t="s">
        <v>1506</v>
      </c>
    </row>
    <row r="389" spans="1:40" ht="27" customHeight="1" thickTop="1">
      <c r="A389" s="216" t="s">
        <v>1278</v>
      </c>
      <c r="B389" s="217">
        <v>18</v>
      </c>
      <c r="C389" s="216" t="s">
        <v>1279</v>
      </c>
      <c r="D389" s="257">
        <v>1</v>
      </c>
      <c r="E389" s="268" t="s">
        <v>1280</v>
      </c>
      <c r="F389" s="320">
        <v>45282</v>
      </c>
      <c r="G389" s="321" t="s">
        <v>1281</v>
      </c>
      <c r="H389" s="152" t="s">
        <v>950</v>
      </c>
      <c r="I389" s="223">
        <v>15</v>
      </c>
      <c r="J389" s="691">
        <v>60</v>
      </c>
      <c r="K389" s="687">
        <v>60</v>
      </c>
      <c r="L389" s="683">
        <v>60</v>
      </c>
      <c r="M389" s="687">
        <f t="shared" si="11"/>
        <v>0</v>
      </c>
      <c r="N389" s="761" t="s">
        <v>985</v>
      </c>
      <c r="O389" s="761">
        <v>0</v>
      </c>
      <c r="P389" s="761">
        <v>0</v>
      </c>
      <c r="Q389" s="761">
        <v>0</v>
      </c>
      <c r="R389" s="93" t="s">
        <v>944</v>
      </c>
      <c r="S389" s="322">
        <v>0</v>
      </c>
      <c r="T389" s="323" t="s">
        <v>1144</v>
      </c>
      <c r="U389" s="392">
        <v>0</v>
      </c>
      <c r="V389" s="374" t="s">
        <v>714</v>
      </c>
      <c r="W389" s="361" t="s">
        <v>714</v>
      </c>
      <c r="X389" s="673">
        <v>0</v>
      </c>
      <c r="Y389" s="231">
        <v>1</v>
      </c>
      <c r="Z389" s="325">
        <v>0</v>
      </c>
      <c r="AA389" s="324"/>
      <c r="AB389" s="273"/>
      <c r="AC389" s="392">
        <v>3</v>
      </c>
      <c r="AD389" s="393">
        <v>1</v>
      </c>
      <c r="AE389" s="337">
        <v>6</v>
      </c>
      <c r="AF389" s="301" t="s">
        <v>1261</v>
      </c>
    </row>
    <row r="390" spans="1:40" ht="27" customHeight="1">
      <c r="A390" s="175" t="s">
        <v>1278</v>
      </c>
      <c r="B390" s="176">
        <v>18</v>
      </c>
      <c r="C390" s="175" t="s">
        <v>1279</v>
      </c>
      <c r="D390" s="181">
        <v>2</v>
      </c>
      <c r="E390" s="182" t="s">
        <v>1282</v>
      </c>
      <c r="F390" s="185">
        <v>45282</v>
      </c>
      <c r="G390" s="205" t="s">
        <v>1281</v>
      </c>
      <c r="H390" s="158" t="s">
        <v>1111</v>
      </c>
      <c r="I390" s="224">
        <v>15</v>
      </c>
      <c r="J390" s="443">
        <v>60</v>
      </c>
      <c r="K390" s="688">
        <v>60</v>
      </c>
      <c r="L390" s="684">
        <v>60</v>
      </c>
      <c r="M390" s="687">
        <f t="shared" si="11"/>
        <v>0</v>
      </c>
      <c r="N390" s="198" t="s">
        <v>985</v>
      </c>
      <c r="O390" s="198" t="s">
        <v>985</v>
      </c>
      <c r="P390" s="198" t="s">
        <v>985</v>
      </c>
      <c r="Q390" s="198" t="s">
        <v>985</v>
      </c>
      <c r="R390" s="95" t="s">
        <v>944</v>
      </c>
      <c r="S390" s="198">
        <v>0</v>
      </c>
      <c r="T390" s="243" t="s">
        <v>1483</v>
      </c>
      <c r="U390" s="394">
        <v>0</v>
      </c>
      <c r="V390" s="67" t="s">
        <v>714</v>
      </c>
      <c r="W390" s="191" t="s">
        <v>714</v>
      </c>
      <c r="X390" s="245">
        <v>0</v>
      </c>
      <c r="Y390" s="232">
        <v>1</v>
      </c>
      <c r="Z390" s="252">
        <v>0</v>
      </c>
      <c r="AA390" s="229"/>
      <c r="AB390" s="247"/>
      <c r="AC390" s="394">
        <v>2</v>
      </c>
      <c r="AD390" s="395">
        <v>4</v>
      </c>
      <c r="AE390" s="253">
        <v>9</v>
      </c>
      <c r="AF390" s="254" t="s">
        <v>1261</v>
      </c>
    </row>
    <row r="391" spans="1:40" ht="27" customHeight="1">
      <c r="A391" s="175" t="s">
        <v>1278</v>
      </c>
      <c r="B391" s="176">
        <v>18</v>
      </c>
      <c r="C391" s="175" t="s">
        <v>1279</v>
      </c>
      <c r="D391" s="181">
        <v>3</v>
      </c>
      <c r="E391" s="182" t="s">
        <v>1283</v>
      </c>
      <c r="F391" s="185">
        <v>45282</v>
      </c>
      <c r="G391" s="205" t="s">
        <v>1281</v>
      </c>
      <c r="H391" s="158" t="s">
        <v>1111</v>
      </c>
      <c r="I391" s="224">
        <v>15</v>
      </c>
      <c r="J391" s="443">
        <v>70</v>
      </c>
      <c r="K391" s="688">
        <v>70</v>
      </c>
      <c r="L391" s="684">
        <v>60</v>
      </c>
      <c r="M391" s="687">
        <f t="shared" si="11"/>
        <v>10</v>
      </c>
      <c r="N391" s="198" t="s">
        <v>985</v>
      </c>
      <c r="O391" s="198" t="s">
        <v>985</v>
      </c>
      <c r="P391" s="198" t="s">
        <v>985</v>
      </c>
      <c r="Q391" s="198" t="s">
        <v>985</v>
      </c>
      <c r="R391" s="95" t="s">
        <v>944</v>
      </c>
      <c r="S391" s="198">
        <v>0</v>
      </c>
      <c r="T391" s="243" t="s">
        <v>1484</v>
      </c>
      <c r="U391" s="394">
        <v>0</v>
      </c>
      <c r="V391" s="67" t="s">
        <v>714</v>
      </c>
      <c r="W391" s="191" t="s">
        <v>714</v>
      </c>
      <c r="X391" s="245">
        <v>0</v>
      </c>
      <c r="Y391" s="232">
        <v>1</v>
      </c>
      <c r="Z391" s="252">
        <v>0</v>
      </c>
      <c r="AA391" s="229"/>
      <c r="AB391" s="247"/>
      <c r="AC391" s="394">
        <v>3</v>
      </c>
      <c r="AD391" s="395">
        <v>2</v>
      </c>
      <c r="AE391" s="253">
        <v>5</v>
      </c>
      <c r="AF391" s="254" t="s">
        <v>1261</v>
      </c>
    </row>
    <row r="392" spans="1:40" ht="27" customHeight="1">
      <c r="A392" s="175" t="s">
        <v>1278</v>
      </c>
      <c r="B392" s="176">
        <v>18</v>
      </c>
      <c r="C392" s="175" t="s">
        <v>1279</v>
      </c>
      <c r="D392" s="181">
        <v>4</v>
      </c>
      <c r="E392" s="182" t="s">
        <v>1284</v>
      </c>
      <c r="F392" s="185">
        <v>45281</v>
      </c>
      <c r="G392" s="205" t="s">
        <v>1281</v>
      </c>
      <c r="H392" s="158" t="s">
        <v>1111</v>
      </c>
      <c r="I392" s="224">
        <v>15</v>
      </c>
      <c r="J392" s="443">
        <v>60</v>
      </c>
      <c r="K392" s="688">
        <v>60</v>
      </c>
      <c r="L392" s="684">
        <v>70</v>
      </c>
      <c r="M392" s="687">
        <f t="shared" si="11"/>
        <v>-10</v>
      </c>
      <c r="N392" s="198" t="s">
        <v>985</v>
      </c>
      <c r="O392" s="198" t="s">
        <v>985</v>
      </c>
      <c r="P392" s="198" t="s">
        <v>985</v>
      </c>
      <c r="Q392" s="198" t="s">
        <v>985</v>
      </c>
      <c r="R392" s="95" t="s">
        <v>944</v>
      </c>
      <c r="S392" s="198">
        <v>0</v>
      </c>
      <c r="T392" s="243" t="s">
        <v>1145</v>
      </c>
      <c r="U392" s="394">
        <v>0</v>
      </c>
      <c r="V392" s="67" t="s">
        <v>714</v>
      </c>
      <c r="W392" s="191" t="s">
        <v>714</v>
      </c>
      <c r="X392" s="245">
        <v>0</v>
      </c>
      <c r="Y392" s="232">
        <v>1</v>
      </c>
      <c r="Z392" s="252">
        <v>0</v>
      </c>
      <c r="AA392" s="229"/>
      <c r="AB392" s="247"/>
      <c r="AC392" s="394">
        <v>1</v>
      </c>
      <c r="AD392" s="395">
        <v>2</v>
      </c>
      <c r="AE392" s="253">
        <v>2</v>
      </c>
      <c r="AF392" s="254" t="s">
        <v>1261</v>
      </c>
    </row>
    <row r="393" spans="1:40" ht="27" customHeight="1">
      <c r="A393" s="175" t="s">
        <v>1278</v>
      </c>
      <c r="B393" s="176">
        <v>18</v>
      </c>
      <c r="C393" s="175" t="s">
        <v>1279</v>
      </c>
      <c r="D393" s="181">
        <v>5</v>
      </c>
      <c r="E393" s="182" t="s">
        <v>1285</v>
      </c>
      <c r="F393" s="185">
        <v>45282</v>
      </c>
      <c r="G393" s="205" t="s">
        <v>1281</v>
      </c>
      <c r="H393" s="158" t="s">
        <v>1111</v>
      </c>
      <c r="I393" s="224">
        <v>15</v>
      </c>
      <c r="J393" s="443">
        <v>60</v>
      </c>
      <c r="K393" s="688">
        <v>60</v>
      </c>
      <c r="L393" s="684">
        <v>50</v>
      </c>
      <c r="M393" s="687">
        <f t="shared" si="11"/>
        <v>10</v>
      </c>
      <c r="N393" s="198" t="s">
        <v>985</v>
      </c>
      <c r="O393" s="198" t="s">
        <v>985</v>
      </c>
      <c r="P393" s="198" t="s">
        <v>985</v>
      </c>
      <c r="Q393" s="198" t="s">
        <v>985</v>
      </c>
      <c r="R393" s="95" t="s">
        <v>944</v>
      </c>
      <c r="S393" s="198">
        <v>0</v>
      </c>
      <c r="T393" s="243" t="s">
        <v>1485</v>
      </c>
      <c r="U393" s="394">
        <v>0</v>
      </c>
      <c r="V393" s="67" t="s">
        <v>714</v>
      </c>
      <c r="W393" s="191" t="s">
        <v>714</v>
      </c>
      <c r="X393" s="245">
        <v>0</v>
      </c>
      <c r="Y393" s="232">
        <v>1</v>
      </c>
      <c r="Z393" s="252">
        <v>0</v>
      </c>
      <c r="AA393" s="229"/>
      <c r="AB393" s="247"/>
      <c r="AC393" s="394">
        <v>2</v>
      </c>
      <c r="AD393" s="395">
        <v>2</v>
      </c>
      <c r="AE393" s="253">
        <v>7</v>
      </c>
      <c r="AF393" s="254" t="s">
        <v>1261</v>
      </c>
    </row>
    <row r="394" spans="1:40" ht="27" customHeight="1">
      <c r="A394" s="175" t="s">
        <v>1278</v>
      </c>
      <c r="B394" s="176">
        <v>18</v>
      </c>
      <c r="C394" s="175" t="s">
        <v>1279</v>
      </c>
      <c r="D394" s="181">
        <v>6</v>
      </c>
      <c r="E394" s="182" t="s">
        <v>1286</v>
      </c>
      <c r="F394" s="185">
        <v>45281</v>
      </c>
      <c r="G394" s="205" t="s">
        <v>1281</v>
      </c>
      <c r="H394" s="158" t="s">
        <v>1111</v>
      </c>
      <c r="I394" s="224">
        <v>15</v>
      </c>
      <c r="J394" s="443">
        <v>30</v>
      </c>
      <c r="K394" s="688">
        <v>30</v>
      </c>
      <c r="L394" s="684">
        <v>40</v>
      </c>
      <c r="M394" s="687">
        <f t="shared" si="11"/>
        <v>-10</v>
      </c>
      <c r="N394" s="198" t="s">
        <v>985</v>
      </c>
      <c r="O394" s="198" t="s">
        <v>985</v>
      </c>
      <c r="P394" s="198" t="s">
        <v>985</v>
      </c>
      <c r="Q394" s="762">
        <v>0</v>
      </c>
      <c r="R394" s="95" t="s">
        <v>944</v>
      </c>
      <c r="S394" s="198">
        <v>0</v>
      </c>
      <c r="T394" s="244" t="s">
        <v>1486</v>
      </c>
      <c r="U394" s="394">
        <v>0</v>
      </c>
      <c r="V394" s="67" t="s">
        <v>714</v>
      </c>
      <c r="W394" s="191" t="s">
        <v>714</v>
      </c>
      <c r="X394" s="245">
        <v>0</v>
      </c>
      <c r="Y394" s="232">
        <v>1</v>
      </c>
      <c r="Z394" s="252">
        <v>0</v>
      </c>
      <c r="AA394" s="229"/>
      <c r="AB394" s="247"/>
      <c r="AC394" s="394">
        <v>3</v>
      </c>
      <c r="AD394" s="395">
        <v>2</v>
      </c>
      <c r="AE394" s="253">
        <v>10</v>
      </c>
      <c r="AF394" s="254" t="s">
        <v>1261</v>
      </c>
    </row>
    <row r="395" spans="1:40" ht="27" customHeight="1">
      <c r="A395" s="175" t="s">
        <v>1278</v>
      </c>
      <c r="B395" s="176">
        <v>18</v>
      </c>
      <c r="C395" s="175" t="s">
        <v>1279</v>
      </c>
      <c r="D395" s="181">
        <v>7</v>
      </c>
      <c r="E395" s="182" t="s">
        <v>1287</v>
      </c>
      <c r="F395" s="185">
        <v>45281</v>
      </c>
      <c r="G395" s="205" t="s">
        <v>1281</v>
      </c>
      <c r="H395" s="158" t="s">
        <v>1111</v>
      </c>
      <c r="I395" s="224">
        <v>15</v>
      </c>
      <c r="J395" s="443">
        <v>30</v>
      </c>
      <c r="K395" s="688">
        <v>30</v>
      </c>
      <c r="L395" s="684">
        <v>30</v>
      </c>
      <c r="M395" s="687">
        <f t="shared" si="11"/>
        <v>0</v>
      </c>
      <c r="N395" s="198" t="s">
        <v>985</v>
      </c>
      <c r="O395" s="198" t="s">
        <v>985</v>
      </c>
      <c r="P395" s="198" t="s">
        <v>985</v>
      </c>
      <c r="Q395" s="762">
        <v>0</v>
      </c>
      <c r="R395" s="95" t="s">
        <v>944</v>
      </c>
      <c r="S395" s="198">
        <v>0</v>
      </c>
      <c r="T395" s="243" t="s">
        <v>1146</v>
      </c>
      <c r="U395" s="394">
        <v>0</v>
      </c>
      <c r="V395" s="67" t="s">
        <v>714</v>
      </c>
      <c r="W395" s="191" t="s">
        <v>714</v>
      </c>
      <c r="X395" s="245">
        <v>0</v>
      </c>
      <c r="Y395" s="232">
        <v>1</v>
      </c>
      <c r="Z395" s="252">
        <v>0</v>
      </c>
      <c r="AA395" s="229"/>
      <c r="AB395" s="247"/>
      <c r="AC395" s="394">
        <v>4</v>
      </c>
      <c r="AD395" s="395">
        <v>3</v>
      </c>
      <c r="AE395" s="253">
        <v>5</v>
      </c>
      <c r="AF395" s="254" t="s">
        <v>1261</v>
      </c>
    </row>
    <row r="396" spans="1:40" ht="27" customHeight="1">
      <c r="A396" s="175" t="s">
        <v>1278</v>
      </c>
      <c r="B396" s="176">
        <v>18</v>
      </c>
      <c r="C396" s="175" t="s">
        <v>1279</v>
      </c>
      <c r="D396" s="181">
        <v>8</v>
      </c>
      <c r="E396" s="182" t="s">
        <v>1288</v>
      </c>
      <c r="F396" s="185">
        <v>45281</v>
      </c>
      <c r="G396" s="205" t="s">
        <v>1281</v>
      </c>
      <c r="H396" s="158" t="s">
        <v>1111</v>
      </c>
      <c r="I396" s="224">
        <v>15</v>
      </c>
      <c r="J396" s="443">
        <v>60</v>
      </c>
      <c r="K396" s="688">
        <v>60</v>
      </c>
      <c r="L396" s="684">
        <v>60</v>
      </c>
      <c r="M396" s="687">
        <f t="shared" si="11"/>
        <v>0</v>
      </c>
      <c r="N396" s="762" t="s">
        <v>985</v>
      </c>
      <c r="O396" s="762">
        <v>0</v>
      </c>
      <c r="P396" s="762">
        <v>0</v>
      </c>
      <c r="Q396" s="762">
        <v>0</v>
      </c>
      <c r="R396" s="95" t="s">
        <v>1099</v>
      </c>
      <c r="S396" s="198">
        <v>0</v>
      </c>
      <c r="T396" s="243" t="s">
        <v>1146</v>
      </c>
      <c r="U396" s="394">
        <v>0</v>
      </c>
      <c r="V396" s="67" t="s">
        <v>714</v>
      </c>
      <c r="W396" s="191" t="s">
        <v>714</v>
      </c>
      <c r="X396" s="245">
        <v>0</v>
      </c>
      <c r="Y396" s="232">
        <v>1</v>
      </c>
      <c r="Z396" s="252">
        <v>0</v>
      </c>
      <c r="AA396" s="229"/>
      <c r="AB396" s="247"/>
      <c r="AC396" s="394">
        <v>3</v>
      </c>
      <c r="AD396" s="395">
        <v>2</v>
      </c>
      <c r="AE396" s="253">
        <v>9</v>
      </c>
      <c r="AF396" s="254" t="s">
        <v>1258</v>
      </c>
    </row>
    <row r="397" spans="1:40" ht="27" customHeight="1">
      <c r="A397" s="175" t="s">
        <v>1278</v>
      </c>
      <c r="B397" s="176">
        <v>18</v>
      </c>
      <c r="C397" s="175" t="s">
        <v>1279</v>
      </c>
      <c r="D397" s="181">
        <v>9</v>
      </c>
      <c r="E397" s="182" t="s">
        <v>1289</v>
      </c>
      <c r="F397" s="185">
        <v>45281</v>
      </c>
      <c r="G397" s="205" t="s">
        <v>1281</v>
      </c>
      <c r="H397" s="158" t="s">
        <v>1111</v>
      </c>
      <c r="I397" s="224">
        <v>15</v>
      </c>
      <c r="J397" s="443">
        <v>40</v>
      </c>
      <c r="K397" s="688">
        <v>40</v>
      </c>
      <c r="L397" s="684">
        <v>40</v>
      </c>
      <c r="M397" s="687">
        <f t="shared" si="11"/>
        <v>0</v>
      </c>
      <c r="N397" s="762" t="s">
        <v>985</v>
      </c>
      <c r="O397" s="762" t="s">
        <v>985</v>
      </c>
      <c r="P397" s="762">
        <v>0</v>
      </c>
      <c r="Q397" s="762">
        <v>0</v>
      </c>
      <c r="R397" s="95" t="s">
        <v>1208</v>
      </c>
      <c r="S397" s="198">
        <v>0</v>
      </c>
      <c r="T397" s="243" t="s">
        <v>1487</v>
      </c>
      <c r="U397" s="394">
        <v>0</v>
      </c>
      <c r="V397" s="67" t="s">
        <v>714</v>
      </c>
      <c r="W397" s="191" t="s">
        <v>714</v>
      </c>
      <c r="X397" s="245">
        <v>0</v>
      </c>
      <c r="Y397" s="232">
        <v>1</v>
      </c>
      <c r="Z397" s="252">
        <v>0</v>
      </c>
      <c r="AA397" s="229"/>
      <c r="AB397" s="247"/>
      <c r="AC397" s="394">
        <v>1</v>
      </c>
      <c r="AD397" s="395">
        <v>2</v>
      </c>
      <c r="AE397" s="253">
        <v>6</v>
      </c>
      <c r="AF397" s="254" t="s">
        <v>1261</v>
      </c>
    </row>
    <row r="398" spans="1:40" ht="27" customHeight="1">
      <c r="A398" s="175" t="s">
        <v>1278</v>
      </c>
      <c r="B398" s="176">
        <v>18</v>
      </c>
      <c r="C398" s="175" t="s">
        <v>1279</v>
      </c>
      <c r="D398" s="181">
        <v>10</v>
      </c>
      <c r="E398" s="182" t="s">
        <v>1290</v>
      </c>
      <c r="F398" s="185">
        <v>45283</v>
      </c>
      <c r="G398" s="205" t="s">
        <v>1281</v>
      </c>
      <c r="H398" s="158" t="s">
        <v>1111</v>
      </c>
      <c r="I398" s="224">
        <v>15</v>
      </c>
      <c r="J398" s="443">
        <v>30</v>
      </c>
      <c r="K398" s="688">
        <v>30</v>
      </c>
      <c r="L398" s="684">
        <v>30</v>
      </c>
      <c r="M398" s="687">
        <f t="shared" si="11"/>
        <v>0</v>
      </c>
      <c r="N398" s="762">
        <v>0</v>
      </c>
      <c r="O398" s="762">
        <v>0</v>
      </c>
      <c r="P398" s="762">
        <v>0</v>
      </c>
      <c r="Q398" s="762">
        <v>0</v>
      </c>
      <c r="R398" s="95" t="s">
        <v>944</v>
      </c>
      <c r="S398" s="198">
        <v>0</v>
      </c>
      <c r="T398" s="243" t="s">
        <v>1146</v>
      </c>
      <c r="U398" s="394">
        <v>0</v>
      </c>
      <c r="V398" s="67" t="s">
        <v>714</v>
      </c>
      <c r="W398" s="191" t="s">
        <v>714</v>
      </c>
      <c r="X398" s="245">
        <v>0</v>
      </c>
      <c r="Y398" s="232">
        <v>1</v>
      </c>
      <c r="Z398" s="252">
        <v>0</v>
      </c>
      <c r="AA398" s="229"/>
      <c r="AB398" s="247"/>
      <c r="AC398" s="394">
        <v>0</v>
      </c>
      <c r="AD398" s="395">
        <v>0</v>
      </c>
      <c r="AE398" s="253">
        <v>0</v>
      </c>
      <c r="AF398" s="254"/>
    </row>
    <row r="399" spans="1:40" ht="27" customHeight="1">
      <c r="A399" s="175" t="s">
        <v>1278</v>
      </c>
      <c r="B399" s="176">
        <v>18</v>
      </c>
      <c r="C399" s="175" t="s">
        <v>1279</v>
      </c>
      <c r="D399" s="181">
        <v>11</v>
      </c>
      <c r="E399" s="182" t="s">
        <v>1291</v>
      </c>
      <c r="F399" s="185">
        <v>45283</v>
      </c>
      <c r="G399" s="205" t="s">
        <v>1281</v>
      </c>
      <c r="H399" s="158" t="s">
        <v>1111</v>
      </c>
      <c r="I399" s="224">
        <v>15</v>
      </c>
      <c r="J399" s="443">
        <v>20</v>
      </c>
      <c r="K399" s="688">
        <v>20</v>
      </c>
      <c r="L399" s="684">
        <v>30</v>
      </c>
      <c r="M399" s="687">
        <f t="shared" si="11"/>
        <v>-10</v>
      </c>
      <c r="N399" s="198" t="s">
        <v>985</v>
      </c>
      <c r="O399" s="762">
        <v>0</v>
      </c>
      <c r="P399" s="198" t="s">
        <v>985</v>
      </c>
      <c r="Q399" s="762">
        <v>0</v>
      </c>
      <c r="R399" s="95" t="s">
        <v>944</v>
      </c>
      <c r="S399" s="198">
        <v>0</v>
      </c>
      <c r="T399" s="243" t="s">
        <v>1146</v>
      </c>
      <c r="U399" s="394">
        <v>0</v>
      </c>
      <c r="V399" s="67" t="s">
        <v>714</v>
      </c>
      <c r="W399" s="191" t="s">
        <v>714</v>
      </c>
      <c r="X399" s="245">
        <v>0</v>
      </c>
      <c r="Y399" s="232">
        <v>1</v>
      </c>
      <c r="Z399" s="252">
        <v>0</v>
      </c>
      <c r="AA399" s="229"/>
      <c r="AB399" s="247"/>
      <c r="AC399" s="394">
        <v>2</v>
      </c>
      <c r="AD399" s="395">
        <v>1</v>
      </c>
      <c r="AE399" s="253">
        <v>5</v>
      </c>
      <c r="AF399" s="254" t="s">
        <v>1292</v>
      </c>
    </row>
    <row r="400" spans="1:40" ht="27.6" customHeight="1" thickBot="1">
      <c r="A400" s="274" t="s">
        <v>1278</v>
      </c>
      <c r="B400" s="275">
        <v>18</v>
      </c>
      <c r="C400" s="274" t="s">
        <v>1279</v>
      </c>
      <c r="D400" s="265">
        <v>12</v>
      </c>
      <c r="E400" s="308" t="s">
        <v>1293</v>
      </c>
      <c r="F400" s="311">
        <v>45283</v>
      </c>
      <c r="G400" s="312" t="s">
        <v>1281</v>
      </c>
      <c r="H400" s="313" t="s">
        <v>1111</v>
      </c>
      <c r="I400" s="309">
        <v>15</v>
      </c>
      <c r="J400" s="693">
        <v>80</v>
      </c>
      <c r="K400" s="690">
        <v>80</v>
      </c>
      <c r="L400" s="686">
        <v>80</v>
      </c>
      <c r="M400" s="686">
        <f t="shared" si="11"/>
        <v>0</v>
      </c>
      <c r="N400" s="314" t="s">
        <v>1154</v>
      </c>
      <c r="O400" s="314" t="s">
        <v>1154</v>
      </c>
      <c r="P400" s="314" t="s">
        <v>985</v>
      </c>
      <c r="Q400" s="314" t="s">
        <v>985</v>
      </c>
      <c r="R400" s="103" t="s">
        <v>943</v>
      </c>
      <c r="S400" s="314">
        <v>0</v>
      </c>
      <c r="T400" s="315" t="s">
        <v>1146</v>
      </c>
      <c r="U400" s="396">
        <v>1</v>
      </c>
      <c r="V400" s="391" t="s">
        <v>1658</v>
      </c>
      <c r="W400" s="312" t="s">
        <v>1153</v>
      </c>
      <c r="X400" s="315" t="s">
        <v>1416</v>
      </c>
      <c r="Y400" s="317">
        <v>1</v>
      </c>
      <c r="Z400" s="318">
        <v>0</v>
      </c>
      <c r="AA400" s="316"/>
      <c r="AB400" s="319"/>
      <c r="AC400" s="396">
        <v>0</v>
      </c>
      <c r="AD400" s="397">
        <v>0</v>
      </c>
      <c r="AE400" s="332">
        <v>0</v>
      </c>
      <c r="AF400" s="297" t="s">
        <v>1261</v>
      </c>
    </row>
    <row r="401" spans="1:32" ht="27" customHeight="1" thickTop="1">
      <c r="A401" s="216" t="s">
        <v>1294</v>
      </c>
      <c r="B401" s="217">
        <v>19</v>
      </c>
      <c r="C401" s="216" t="s">
        <v>1295</v>
      </c>
      <c r="D401" s="268">
        <v>1</v>
      </c>
      <c r="E401" s="268" t="s">
        <v>1296</v>
      </c>
      <c r="F401" s="320">
        <v>45251</v>
      </c>
      <c r="G401" s="152" t="s">
        <v>997</v>
      </c>
      <c r="H401" s="152" t="s">
        <v>950</v>
      </c>
      <c r="I401" s="223">
        <v>120</v>
      </c>
      <c r="J401" s="450" t="s">
        <v>948</v>
      </c>
      <c r="K401" s="631">
        <v>2.5</v>
      </c>
      <c r="L401" s="630">
        <v>2.5</v>
      </c>
      <c r="M401" s="709">
        <f t="shared" si="11"/>
        <v>0</v>
      </c>
      <c r="N401" s="727">
        <v>0</v>
      </c>
      <c r="O401" s="727">
        <v>0</v>
      </c>
      <c r="P401" s="727">
        <v>0</v>
      </c>
      <c r="Q401" s="727">
        <v>0</v>
      </c>
      <c r="R401" s="93" t="s">
        <v>944</v>
      </c>
      <c r="S401" s="269">
        <v>2.2999999999999998</v>
      </c>
      <c r="T401" s="270">
        <v>63</v>
      </c>
      <c r="U401" s="657">
        <v>0</v>
      </c>
      <c r="V401" s="374" t="s">
        <v>714</v>
      </c>
      <c r="W401" s="361" t="s">
        <v>714</v>
      </c>
      <c r="X401" s="673">
        <v>0</v>
      </c>
      <c r="Y401" s="261">
        <v>1</v>
      </c>
      <c r="Z401" s="260">
        <v>0</v>
      </c>
      <c r="AA401" s="366"/>
      <c r="AB401" s="262"/>
      <c r="AC401" s="261">
        <v>0</v>
      </c>
      <c r="AD401" s="49">
        <v>0</v>
      </c>
      <c r="AE401" s="260">
        <v>0</v>
      </c>
      <c r="AF401" s="363"/>
    </row>
    <row r="402" spans="1:32" ht="27" customHeight="1">
      <c r="A402" s="175" t="s">
        <v>1294</v>
      </c>
      <c r="B402" s="176">
        <v>19</v>
      </c>
      <c r="C402" s="175" t="s">
        <v>1295</v>
      </c>
      <c r="D402" s="182">
        <v>2</v>
      </c>
      <c r="E402" s="182" t="s">
        <v>1297</v>
      </c>
      <c r="F402" s="211" t="s">
        <v>1488</v>
      </c>
      <c r="G402" s="65" t="s">
        <v>997</v>
      </c>
      <c r="H402" s="65" t="s">
        <v>950</v>
      </c>
      <c r="I402" s="224">
        <v>140</v>
      </c>
      <c r="J402" s="446" t="s">
        <v>948</v>
      </c>
      <c r="K402" s="624">
        <v>2.5</v>
      </c>
      <c r="L402" s="625">
        <v>2.5</v>
      </c>
      <c r="M402" s="684">
        <f t="shared" si="11"/>
        <v>0</v>
      </c>
      <c r="N402" s="697">
        <v>0</v>
      </c>
      <c r="O402" s="697">
        <v>0</v>
      </c>
      <c r="P402" s="697">
        <v>0</v>
      </c>
      <c r="Q402" s="697">
        <v>0</v>
      </c>
      <c r="R402" s="95" t="s">
        <v>1496</v>
      </c>
      <c r="S402" s="179">
        <v>1</v>
      </c>
      <c r="T402" s="241">
        <v>56</v>
      </c>
      <c r="U402" s="658">
        <v>0</v>
      </c>
      <c r="V402" s="67" t="s">
        <v>714</v>
      </c>
      <c r="W402" s="191" t="s">
        <v>714</v>
      </c>
      <c r="X402" s="245">
        <v>0</v>
      </c>
      <c r="Y402" s="233">
        <v>1</v>
      </c>
      <c r="Z402" s="225">
        <v>0</v>
      </c>
      <c r="AA402" s="230"/>
      <c r="AB402" s="248"/>
      <c r="AC402" s="233">
        <v>0</v>
      </c>
      <c r="AD402" s="19">
        <v>0</v>
      </c>
      <c r="AE402" s="225">
        <v>0</v>
      </c>
      <c r="AF402" s="364"/>
    </row>
    <row r="403" spans="1:32" ht="27" customHeight="1">
      <c r="A403" s="175" t="s">
        <v>1294</v>
      </c>
      <c r="B403" s="176">
        <v>19</v>
      </c>
      <c r="C403" s="175" t="s">
        <v>1295</v>
      </c>
      <c r="D403" s="182">
        <v>3</v>
      </c>
      <c r="E403" s="182" t="s">
        <v>1298</v>
      </c>
      <c r="F403" s="209">
        <v>45239</v>
      </c>
      <c r="G403" s="65" t="s">
        <v>1489</v>
      </c>
      <c r="H403" s="65" t="s">
        <v>950</v>
      </c>
      <c r="I403" s="224">
        <v>15</v>
      </c>
      <c r="J403" s="446" t="s">
        <v>948</v>
      </c>
      <c r="K403" s="624">
        <v>2.5</v>
      </c>
      <c r="L403" s="625">
        <v>2.5</v>
      </c>
      <c r="M403" s="684">
        <f t="shared" si="11"/>
        <v>0</v>
      </c>
      <c r="N403" s="697">
        <v>0</v>
      </c>
      <c r="O403" s="697">
        <v>0</v>
      </c>
      <c r="P403" s="697">
        <v>0</v>
      </c>
      <c r="Q403" s="697">
        <v>0</v>
      </c>
      <c r="R403" s="95" t="s">
        <v>944</v>
      </c>
      <c r="S403" s="179" t="s">
        <v>855</v>
      </c>
      <c r="T403" s="246" t="s">
        <v>714</v>
      </c>
      <c r="U403" s="658">
        <v>0</v>
      </c>
      <c r="V403" s="67" t="s">
        <v>714</v>
      </c>
      <c r="W403" s="191" t="s">
        <v>714</v>
      </c>
      <c r="X403" s="245">
        <v>0</v>
      </c>
      <c r="Y403" s="233">
        <v>1</v>
      </c>
      <c r="Z403" s="225">
        <v>0</v>
      </c>
      <c r="AA403" s="230"/>
      <c r="AB403" s="248"/>
      <c r="AC403" s="233">
        <v>0</v>
      </c>
      <c r="AD403" s="19">
        <v>0</v>
      </c>
      <c r="AE403" s="225">
        <v>0</v>
      </c>
      <c r="AF403" s="364"/>
    </row>
    <row r="404" spans="1:32" ht="27" customHeight="1">
      <c r="A404" s="175" t="s">
        <v>1294</v>
      </c>
      <c r="B404" s="176">
        <v>19</v>
      </c>
      <c r="C404" s="175" t="s">
        <v>1295</v>
      </c>
      <c r="D404" s="182">
        <v>4</v>
      </c>
      <c r="E404" s="182" t="s">
        <v>1299</v>
      </c>
      <c r="F404" s="209">
        <v>45239</v>
      </c>
      <c r="G404" s="65" t="s">
        <v>1489</v>
      </c>
      <c r="H404" s="65" t="s">
        <v>950</v>
      </c>
      <c r="I404" s="224">
        <v>15</v>
      </c>
      <c r="J404" s="446" t="s">
        <v>948</v>
      </c>
      <c r="K404" s="624">
        <v>2.5</v>
      </c>
      <c r="L404" s="625">
        <v>2.5</v>
      </c>
      <c r="M404" s="684">
        <f t="shared" si="11"/>
        <v>0</v>
      </c>
      <c r="N404" s="697">
        <v>0</v>
      </c>
      <c r="O404" s="697">
        <v>0</v>
      </c>
      <c r="P404" s="697">
        <v>0</v>
      </c>
      <c r="Q404" s="697">
        <v>0</v>
      </c>
      <c r="R404" s="95" t="s">
        <v>944</v>
      </c>
      <c r="S404" s="179" t="s">
        <v>855</v>
      </c>
      <c r="T404" s="246" t="s">
        <v>714</v>
      </c>
      <c r="U404" s="658">
        <v>0</v>
      </c>
      <c r="V404" s="67" t="s">
        <v>714</v>
      </c>
      <c r="W404" s="191" t="s">
        <v>714</v>
      </c>
      <c r="X404" s="245">
        <v>0</v>
      </c>
      <c r="Y404" s="233">
        <v>1</v>
      </c>
      <c r="Z404" s="225">
        <v>0</v>
      </c>
      <c r="AA404" s="230"/>
      <c r="AB404" s="248"/>
      <c r="AC404" s="233">
        <v>0</v>
      </c>
      <c r="AD404" s="19">
        <v>0</v>
      </c>
      <c r="AE404" s="225">
        <v>0</v>
      </c>
      <c r="AF404" s="364"/>
    </row>
    <row r="405" spans="1:32" ht="27" customHeight="1">
      <c r="A405" s="175" t="s">
        <v>1294</v>
      </c>
      <c r="B405" s="176">
        <v>19</v>
      </c>
      <c r="C405" s="175" t="s">
        <v>1295</v>
      </c>
      <c r="D405" s="182">
        <v>5</v>
      </c>
      <c r="E405" s="182" t="s">
        <v>998</v>
      </c>
      <c r="F405" s="209">
        <v>45278</v>
      </c>
      <c r="G405" s="65" t="s">
        <v>997</v>
      </c>
      <c r="H405" s="65" t="s">
        <v>950</v>
      </c>
      <c r="I405" s="224">
        <v>60</v>
      </c>
      <c r="J405" s="446" t="s">
        <v>948</v>
      </c>
      <c r="K405" s="624">
        <v>2.5</v>
      </c>
      <c r="L405" s="625">
        <v>2.5</v>
      </c>
      <c r="M405" s="684">
        <f t="shared" si="11"/>
        <v>0</v>
      </c>
      <c r="N405" s="697">
        <v>0</v>
      </c>
      <c r="O405" s="697">
        <v>0</v>
      </c>
      <c r="P405" s="697">
        <v>0</v>
      </c>
      <c r="Q405" s="697">
        <v>0</v>
      </c>
      <c r="R405" s="95" t="s">
        <v>944</v>
      </c>
      <c r="S405" s="179">
        <v>1.3</v>
      </c>
      <c r="T405" s="246">
        <v>29</v>
      </c>
      <c r="U405" s="658">
        <v>0</v>
      </c>
      <c r="V405" s="67" t="s">
        <v>714</v>
      </c>
      <c r="W405" s="191" t="s">
        <v>714</v>
      </c>
      <c r="X405" s="245">
        <v>0</v>
      </c>
      <c r="Y405" s="233">
        <v>1</v>
      </c>
      <c r="Z405" s="225">
        <v>0</v>
      </c>
      <c r="AA405" s="230"/>
      <c r="AB405" s="248"/>
      <c r="AC405" s="233">
        <v>0</v>
      </c>
      <c r="AD405" s="19">
        <v>0</v>
      </c>
      <c r="AE405" s="225">
        <v>0</v>
      </c>
      <c r="AF405" s="364"/>
    </row>
    <row r="406" spans="1:32" ht="27" customHeight="1" thickBot="1">
      <c r="A406" s="274" t="s">
        <v>1294</v>
      </c>
      <c r="B406" s="275">
        <v>19</v>
      </c>
      <c r="C406" s="274" t="s">
        <v>1295</v>
      </c>
      <c r="D406" s="308">
        <v>6</v>
      </c>
      <c r="E406" s="308" t="s">
        <v>1300</v>
      </c>
      <c r="F406" s="294">
        <v>45218</v>
      </c>
      <c r="G406" s="279" t="s">
        <v>1489</v>
      </c>
      <c r="H406" s="279" t="s">
        <v>950</v>
      </c>
      <c r="I406" s="309">
        <v>30</v>
      </c>
      <c r="J406" s="445" t="s">
        <v>948</v>
      </c>
      <c r="K406" s="622">
        <v>2.5</v>
      </c>
      <c r="L406" s="686">
        <v>10</v>
      </c>
      <c r="M406" s="623">
        <f t="shared" si="11"/>
        <v>-7.5</v>
      </c>
      <c r="N406" s="728">
        <v>0</v>
      </c>
      <c r="O406" s="728">
        <v>0</v>
      </c>
      <c r="P406" s="728">
        <v>0</v>
      </c>
      <c r="Q406" s="728">
        <v>0</v>
      </c>
      <c r="R406" s="103" t="s">
        <v>1100</v>
      </c>
      <c r="S406" s="728">
        <v>0</v>
      </c>
      <c r="T406" s="284" t="s">
        <v>714</v>
      </c>
      <c r="U406" s="659">
        <v>0</v>
      </c>
      <c r="V406" s="375" t="s">
        <v>714</v>
      </c>
      <c r="W406" s="360" t="s">
        <v>714</v>
      </c>
      <c r="X406" s="674">
        <v>0</v>
      </c>
      <c r="Y406" s="285">
        <v>1</v>
      </c>
      <c r="Z406" s="286">
        <v>0</v>
      </c>
      <c r="AA406" s="295"/>
      <c r="AB406" s="296"/>
      <c r="AC406" s="285">
        <v>0</v>
      </c>
      <c r="AD406" s="84">
        <v>0</v>
      </c>
      <c r="AE406" s="286">
        <v>0</v>
      </c>
      <c r="AF406" s="365"/>
    </row>
    <row r="407" spans="1:32" ht="27" customHeight="1" thickTop="1">
      <c r="A407" s="387" t="s">
        <v>1301</v>
      </c>
      <c r="B407" s="388">
        <v>20</v>
      </c>
      <c r="C407" s="387" t="s">
        <v>1302</v>
      </c>
      <c r="D407" s="389">
        <v>1</v>
      </c>
      <c r="E407" s="389" t="s">
        <v>1303</v>
      </c>
      <c r="F407" s="399">
        <v>45219</v>
      </c>
      <c r="G407" s="383" t="s">
        <v>1148</v>
      </c>
      <c r="H407" s="383" t="s">
        <v>1497</v>
      </c>
      <c r="I407" s="400">
        <v>15</v>
      </c>
      <c r="J407" s="442">
        <v>30</v>
      </c>
      <c r="K407" s="726">
        <v>30</v>
      </c>
      <c r="L407" s="634">
        <v>20</v>
      </c>
      <c r="M407" s="709">
        <f t="shared" si="11"/>
        <v>10</v>
      </c>
      <c r="N407" s="744">
        <v>0</v>
      </c>
      <c r="O407" s="744">
        <v>0</v>
      </c>
      <c r="P407" s="744">
        <v>0</v>
      </c>
      <c r="Q407" s="744">
        <v>0</v>
      </c>
      <c r="R407" s="100" t="s">
        <v>1499</v>
      </c>
      <c r="S407" s="390">
        <v>0.16666666666666666</v>
      </c>
      <c r="T407" s="401">
        <v>92</v>
      </c>
      <c r="U407" s="663">
        <v>0</v>
      </c>
      <c r="V407" s="384" t="s">
        <v>714</v>
      </c>
      <c r="W407" s="385" t="s">
        <v>714</v>
      </c>
      <c r="X407" s="675">
        <v>0</v>
      </c>
      <c r="Y407" s="402">
        <v>1</v>
      </c>
      <c r="Z407" s="403">
        <v>0</v>
      </c>
      <c r="AA407" s="406" t="s">
        <v>714</v>
      </c>
      <c r="AB407" s="404" t="s">
        <v>714</v>
      </c>
      <c r="AC407" s="402">
        <v>0</v>
      </c>
      <c r="AD407" s="71">
        <v>0</v>
      </c>
      <c r="AE407" s="403">
        <v>0</v>
      </c>
      <c r="AF407" s="386" t="s">
        <v>1505</v>
      </c>
    </row>
    <row r="408" spans="1:32" ht="27" customHeight="1">
      <c r="A408" s="175" t="s">
        <v>1301</v>
      </c>
      <c r="B408" s="176">
        <v>20</v>
      </c>
      <c r="C408" s="175" t="s">
        <v>1302</v>
      </c>
      <c r="D408" s="182">
        <v>2</v>
      </c>
      <c r="E408" s="182" t="s">
        <v>1305</v>
      </c>
      <c r="F408" s="209">
        <v>45219</v>
      </c>
      <c r="G408" s="65" t="s">
        <v>1148</v>
      </c>
      <c r="H408" s="65" t="s">
        <v>1497</v>
      </c>
      <c r="I408" s="224">
        <v>15</v>
      </c>
      <c r="J408" s="443" t="s">
        <v>1155</v>
      </c>
      <c r="K408" s="685">
        <v>10</v>
      </c>
      <c r="L408" s="635">
        <v>2.5</v>
      </c>
      <c r="M408" s="620">
        <v>7.5</v>
      </c>
      <c r="N408" s="697">
        <v>0</v>
      </c>
      <c r="O408" s="697">
        <v>0</v>
      </c>
      <c r="P408" s="697">
        <v>0</v>
      </c>
      <c r="Q408" s="697">
        <v>0</v>
      </c>
      <c r="R408" s="95" t="s">
        <v>1502</v>
      </c>
      <c r="S408" s="179">
        <v>0.33333333333333331</v>
      </c>
      <c r="T408" s="246">
        <v>60</v>
      </c>
      <c r="U408" s="658">
        <v>0</v>
      </c>
      <c r="V408" s="67" t="s">
        <v>714</v>
      </c>
      <c r="W408" s="191" t="s">
        <v>714</v>
      </c>
      <c r="X408" s="245">
        <v>0</v>
      </c>
      <c r="Y408" s="233">
        <v>1</v>
      </c>
      <c r="Z408" s="225">
        <v>0</v>
      </c>
      <c r="AA408" s="230" t="s">
        <v>714</v>
      </c>
      <c r="AB408" s="248" t="s">
        <v>714</v>
      </c>
      <c r="AC408" s="233">
        <v>0</v>
      </c>
      <c r="AD408" s="19">
        <v>0</v>
      </c>
      <c r="AE408" s="225">
        <v>0</v>
      </c>
      <c r="AF408" s="364" t="s">
        <v>1505</v>
      </c>
    </row>
    <row r="409" spans="1:32" ht="27" customHeight="1">
      <c r="A409" s="175" t="s">
        <v>1301</v>
      </c>
      <c r="B409" s="176">
        <v>20</v>
      </c>
      <c r="C409" s="175" t="s">
        <v>1302</v>
      </c>
      <c r="D409" s="182">
        <v>3</v>
      </c>
      <c r="E409" s="182" t="s">
        <v>1306</v>
      </c>
      <c r="F409" s="209">
        <v>45218</v>
      </c>
      <c r="G409" s="65" t="s">
        <v>1148</v>
      </c>
      <c r="H409" s="65" t="s">
        <v>1497</v>
      </c>
      <c r="I409" s="224">
        <v>15</v>
      </c>
      <c r="J409" s="443">
        <v>30</v>
      </c>
      <c r="K409" s="685">
        <v>30</v>
      </c>
      <c r="L409" s="636">
        <v>40</v>
      </c>
      <c r="M409" s="684">
        <f>K409-L409</f>
        <v>-10</v>
      </c>
      <c r="N409" s="697">
        <v>10</v>
      </c>
      <c r="O409" s="697">
        <v>10</v>
      </c>
      <c r="P409" s="697">
        <v>10</v>
      </c>
      <c r="Q409" s="697">
        <v>10</v>
      </c>
      <c r="R409" s="95" t="s">
        <v>1208</v>
      </c>
      <c r="S409" s="697">
        <v>0</v>
      </c>
      <c r="T409" s="246">
        <v>220</v>
      </c>
      <c r="U409" s="658">
        <v>0</v>
      </c>
      <c r="V409" s="67" t="s">
        <v>714</v>
      </c>
      <c r="W409" s="191" t="s">
        <v>714</v>
      </c>
      <c r="X409" s="245">
        <v>0</v>
      </c>
      <c r="Y409" s="233">
        <v>1</v>
      </c>
      <c r="Z409" s="225">
        <v>0</v>
      </c>
      <c r="AA409" s="230" t="s">
        <v>714</v>
      </c>
      <c r="AB409" s="248" t="s">
        <v>714</v>
      </c>
      <c r="AC409" s="233">
        <v>1</v>
      </c>
      <c r="AD409" s="19">
        <v>2</v>
      </c>
      <c r="AE409" s="225">
        <v>10</v>
      </c>
      <c r="AF409" s="364" t="s">
        <v>1506</v>
      </c>
    </row>
    <row r="410" spans="1:32" ht="27" customHeight="1">
      <c r="A410" s="175" t="s">
        <v>1301</v>
      </c>
      <c r="B410" s="176">
        <v>20</v>
      </c>
      <c r="C410" s="175" t="s">
        <v>1302</v>
      </c>
      <c r="D410" s="182">
        <v>4</v>
      </c>
      <c r="E410" s="182" t="s">
        <v>1307</v>
      </c>
      <c r="F410" s="209">
        <v>45218</v>
      </c>
      <c r="G410" s="65" t="s">
        <v>1148</v>
      </c>
      <c r="H410" s="65" t="s">
        <v>1497</v>
      </c>
      <c r="I410" s="224">
        <v>15</v>
      </c>
      <c r="J410" s="443" t="s">
        <v>948</v>
      </c>
      <c r="K410" s="621">
        <v>2.5</v>
      </c>
      <c r="L410" s="635">
        <v>2.5</v>
      </c>
      <c r="M410" s="684">
        <v>0</v>
      </c>
      <c r="N410" s="697">
        <v>0</v>
      </c>
      <c r="O410" s="697">
        <v>0</v>
      </c>
      <c r="P410" s="697">
        <v>0</v>
      </c>
      <c r="Q410" s="697">
        <v>0</v>
      </c>
      <c r="R410" s="158" t="s">
        <v>975</v>
      </c>
      <c r="S410" s="179">
        <v>0.16666666666666666</v>
      </c>
      <c r="T410" s="246" t="s">
        <v>714</v>
      </c>
      <c r="U410" s="658">
        <v>0</v>
      </c>
      <c r="V410" s="67" t="s">
        <v>714</v>
      </c>
      <c r="W410" s="191" t="s">
        <v>714</v>
      </c>
      <c r="X410" s="245">
        <v>0</v>
      </c>
      <c r="Y410" s="233">
        <v>1</v>
      </c>
      <c r="Z410" s="225">
        <v>0</v>
      </c>
      <c r="AA410" s="230" t="s">
        <v>714</v>
      </c>
      <c r="AB410" s="248" t="s">
        <v>714</v>
      </c>
      <c r="AC410" s="233">
        <v>0</v>
      </c>
      <c r="AD410" s="19">
        <v>1</v>
      </c>
      <c r="AE410" s="225">
        <v>5</v>
      </c>
      <c r="AF410" s="364" t="s">
        <v>1506</v>
      </c>
    </row>
    <row r="411" spans="1:32" ht="27" customHeight="1">
      <c r="A411" s="175" t="s">
        <v>1301</v>
      </c>
      <c r="B411" s="176">
        <v>20</v>
      </c>
      <c r="C411" s="175" t="s">
        <v>1302</v>
      </c>
      <c r="D411" s="182">
        <v>5</v>
      </c>
      <c r="E411" s="182" t="s">
        <v>1308</v>
      </c>
      <c r="F411" s="209">
        <v>45218</v>
      </c>
      <c r="G411" s="65" t="s">
        <v>1148</v>
      </c>
      <c r="H411" s="65" t="s">
        <v>1497</v>
      </c>
      <c r="I411" s="224">
        <v>15</v>
      </c>
      <c r="J411" s="443" t="s">
        <v>948</v>
      </c>
      <c r="K411" s="621">
        <v>2.5</v>
      </c>
      <c r="L411" s="635">
        <v>2.5</v>
      </c>
      <c r="M411" s="684">
        <v>0</v>
      </c>
      <c r="N411" s="697">
        <v>10</v>
      </c>
      <c r="O411" s="697">
        <v>0</v>
      </c>
      <c r="P411" s="697">
        <v>10</v>
      </c>
      <c r="Q411" s="697">
        <v>0</v>
      </c>
      <c r="R411" s="95" t="s">
        <v>1152</v>
      </c>
      <c r="S411" s="179">
        <v>0.16666666666666666</v>
      </c>
      <c r="T411" s="246">
        <v>60</v>
      </c>
      <c r="U411" s="658">
        <v>0</v>
      </c>
      <c r="V411" s="67" t="s">
        <v>714</v>
      </c>
      <c r="W411" s="191" t="s">
        <v>714</v>
      </c>
      <c r="X411" s="245">
        <v>0</v>
      </c>
      <c r="Y411" s="233">
        <v>1</v>
      </c>
      <c r="Z411" s="225">
        <v>0</v>
      </c>
      <c r="AA411" s="230" t="s">
        <v>714</v>
      </c>
      <c r="AB411" s="248" t="s">
        <v>714</v>
      </c>
      <c r="AC411" s="233">
        <v>0</v>
      </c>
      <c r="AD411" s="19">
        <v>0</v>
      </c>
      <c r="AE411" s="225">
        <v>15</v>
      </c>
      <c r="AF411" s="364" t="s">
        <v>1506</v>
      </c>
    </row>
    <row r="412" spans="1:32" ht="27" customHeight="1">
      <c r="A412" s="175" t="s">
        <v>1301</v>
      </c>
      <c r="B412" s="176">
        <v>20</v>
      </c>
      <c r="C412" s="175" t="s">
        <v>1302</v>
      </c>
      <c r="D412" s="182">
        <v>6</v>
      </c>
      <c r="E412" s="182" t="s">
        <v>1309</v>
      </c>
      <c r="F412" s="209">
        <v>45222</v>
      </c>
      <c r="G412" s="65" t="s">
        <v>1148</v>
      </c>
      <c r="H412" s="65" t="s">
        <v>1497</v>
      </c>
      <c r="I412" s="224">
        <v>15</v>
      </c>
      <c r="J412" s="443">
        <v>70</v>
      </c>
      <c r="K412" s="685">
        <v>70</v>
      </c>
      <c r="L412" s="636">
        <v>70</v>
      </c>
      <c r="M412" s="684">
        <f t="shared" ref="M412:M421" si="12">K412-L412</f>
        <v>0</v>
      </c>
      <c r="N412" s="697">
        <v>5</v>
      </c>
      <c r="O412" s="697">
        <v>0</v>
      </c>
      <c r="P412" s="697">
        <v>1</v>
      </c>
      <c r="Q412" s="697">
        <v>0</v>
      </c>
      <c r="R412" s="95" t="s">
        <v>1152</v>
      </c>
      <c r="S412" s="697">
        <v>0</v>
      </c>
      <c r="T412" s="246" t="s">
        <v>714</v>
      </c>
      <c r="U412" s="658">
        <v>0</v>
      </c>
      <c r="V412" s="67" t="s">
        <v>714</v>
      </c>
      <c r="W412" s="191" t="s">
        <v>714</v>
      </c>
      <c r="X412" s="245">
        <v>0</v>
      </c>
      <c r="Y412" s="233">
        <v>1</v>
      </c>
      <c r="Z412" s="225">
        <v>0</v>
      </c>
      <c r="AA412" s="230" t="s">
        <v>714</v>
      </c>
      <c r="AB412" s="248" t="s">
        <v>714</v>
      </c>
      <c r="AC412" s="233">
        <v>0</v>
      </c>
      <c r="AD412" s="19">
        <v>0</v>
      </c>
      <c r="AE412" s="225">
        <v>5</v>
      </c>
      <c r="AF412" s="364" t="s">
        <v>1505</v>
      </c>
    </row>
    <row r="413" spans="1:32" ht="27" customHeight="1">
      <c r="A413" s="175" t="s">
        <v>1301</v>
      </c>
      <c r="B413" s="176">
        <v>20</v>
      </c>
      <c r="C413" s="175" t="s">
        <v>1302</v>
      </c>
      <c r="D413" s="182">
        <v>7</v>
      </c>
      <c r="E413" s="182" t="s">
        <v>1310</v>
      </c>
      <c r="F413" s="209">
        <v>45222</v>
      </c>
      <c r="G413" s="65" t="s">
        <v>1148</v>
      </c>
      <c r="H413" s="65" t="s">
        <v>1497</v>
      </c>
      <c r="I413" s="224">
        <v>15</v>
      </c>
      <c r="J413" s="443">
        <v>60</v>
      </c>
      <c r="K413" s="685">
        <v>60</v>
      </c>
      <c r="L413" s="636">
        <v>50</v>
      </c>
      <c r="M413" s="684">
        <f t="shared" si="12"/>
        <v>10</v>
      </c>
      <c r="N413" s="697">
        <v>5</v>
      </c>
      <c r="O413" s="697">
        <v>0</v>
      </c>
      <c r="P413" s="697">
        <v>1</v>
      </c>
      <c r="Q413" s="697">
        <v>0</v>
      </c>
      <c r="R413" s="95" t="s">
        <v>1152</v>
      </c>
      <c r="S413" s="697">
        <v>0</v>
      </c>
      <c r="T413" s="246" t="s">
        <v>714</v>
      </c>
      <c r="U413" s="658">
        <v>0</v>
      </c>
      <c r="V413" s="67" t="s">
        <v>714</v>
      </c>
      <c r="W413" s="191" t="s">
        <v>714</v>
      </c>
      <c r="X413" s="245">
        <v>0</v>
      </c>
      <c r="Y413" s="233">
        <v>1</v>
      </c>
      <c r="Z413" s="225">
        <v>0</v>
      </c>
      <c r="AA413" s="230" t="s">
        <v>714</v>
      </c>
      <c r="AB413" s="248" t="s">
        <v>714</v>
      </c>
      <c r="AC413" s="233">
        <v>0</v>
      </c>
      <c r="AD413" s="19">
        <v>0</v>
      </c>
      <c r="AE413" s="225">
        <v>0</v>
      </c>
      <c r="AF413" s="364" t="s">
        <v>1505</v>
      </c>
    </row>
    <row r="414" spans="1:32" ht="27" customHeight="1">
      <c r="A414" s="175" t="s">
        <v>1301</v>
      </c>
      <c r="B414" s="176">
        <v>20</v>
      </c>
      <c r="C414" s="175" t="s">
        <v>1302</v>
      </c>
      <c r="D414" s="182">
        <v>8</v>
      </c>
      <c r="E414" s="182" t="s">
        <v>1311</v>
      </c>
      <c r="F414" s="209">
        <v>45222</v>
      </c>
      <c r="G414" s="65" t="s">
        <v>1148</v>
      </c>
      <c r="H414" s="65" t="s">
        <v>1497</v>
      </c>
      <c r="I414" s="224">
        <v>15</v>
      </c>
      <c r="J414" s="443">
        <v>60</v>
      </c>
      <c r="K414" s="685">
        <v>60</v>
      </c>
      <c r="L414" s="636">
        <v>60</v>
      </c>
      <c r="M414" s="684">
        <f t="shared" si="12"/>
        <v>0</v>
      </c>
      <c r="N414" s="697">
        <v>0</v>
      </c>
      <c r="O414" s="697">
        <v>0</v>
      </c>
      <c r="P414" s="697">
        <v>0</v>
      </c>
      <c r="Q414" s="697">
        <v>0</v>
      </c>
      <c r="R414" s="95" t="s">
        <v>1502</v>
      </c>
      <c r="S414" s="697">
        <v>0</v>
      </c>
      <c r="T414" s="246" t="s">
        <v>714</v>
      </c>
      <c r="U414" s="658">
        <v>0</v>
      </c>
      <c r="V414" s="67" t="s">
        <v>714</v>
      </c>
      <c r="W414" s="191" t="s">
        <v>714</v>
      </c>
      <c r="X414" s="245">
        <v>0</v>
      </c>
      <c r="Y414" s="233">
        <v>2</v>
      </c>
      <c r="Z414" s="225" t="s">
        <v>948</v>
      </c>
      <c r="AA414" s="230" t="s">
        <v>714</v>
      </c>
      <c r="AB414" s="248" t="s">
        <v>714</v>
      </c>
      <c r="AC414" s="233">
        <v>0</v>
      </c>
      <c r="AD414" s="19">
        <v>0</v>
      </c>
      <c r="AE414" s="225">
        <v>0</v>
      </c>
      <c r="AF414" s="364" t="s">
        <v>1505</v>
      </c>
    </row>
    <row r="415" spans="1:32" ht="27" customHeight="1">
      <c r="A415" s="175" t="s">
        <v>1301</v>
      </c>
      <c r="B415" s="176">
        <v>20</v>
      </c>
      <c r="C415" s="175" t="s">
        <v>1302</v>
      </c>
      <c r="D415" s="182">
        <v>9</v>
      </c>
      <c r="E415" s="182" t="s">
        <v>1312</v>
      </c>
      <c r="F415" s="209">
        <v>45224</v>
      </c>
      <c r="G415" s="65" t="s">
        <v>1148</v>
      </c>
      <c r="H415" s="65" t="s">
        <v>1497</v>
      </c>
      <c r="I415" s="224">
        <v>15</v>
      </c>
      <c r="J415" s="443">
        <v>50</v>
      </c>
      <c r="K415" s="685">
        <v>50</v>
      </c>
      <c r="L415" s="636">
        <v>50</v>
      </c>
      <c r="M415" s="684">
        <f t="shared" si="12"/>
        <v>0</v>
      </c>
      <c r="N415" s="697">
        <v>10</v>
      </c>
      <c r="O415" s="697">
        <v>0</v>
      </c>
      <c r="P415" s="697">
        <v>1</v>
      </c>
      <c r="Q415" s="697">
        <v>0</v>
      </c>
      <c r="R415" s="95" t="s">
        <v>1152</v>
      </c>
      <c r="S415" s="697">
        <v>0</v>
      </c>
      <c r="T415" s="246" t="s">
        <v>714</v>
      </c>
      <c r="U415" s="658">
        <v>0</v>
      </c>
      <c r="V415" s="67" t="s">
        <v>714</v>
      </c>
      <c r="W415" s="191" t="s">
        <v>714</v>
      </c>
      <c r="X415" s="245">
        <v>0</v>
      </c>
      <c r="Y415" s="233">
        <v>1</v>
      </c>
      <c r="Z415" s="225">
        <v>0</v>
      </c>
      <c r="AA415" s="230" t="s">
        <v>714</v>
      </c>
      <c r="AB415" s="248" t="s">
        <v>714</v>
      </c>
      <c r="AC415" s="233">
        <v>0</v>
      </c>
      <c r="AD415" s="19">
        <v>1</v>
      </c>
      <c r="AE415" s="225">
        <v>0</v>
      </c>
      <c r="AF415" s="364" t="s">
        <v>1505</v>
      </c>
    </row>
    <row r="416" spans="1:32" ht="27" customHeight="1">
      <c r="A416" s="175" t="s">
        <v>1301</v>
      </c>
      <c r="B416" s="176">
        <v>20</v>
      </c>
      <c r="C416" s="175" t="s">
        <v>1302</v>
      </c>
      <c r="D416" s="182">
        <v>10</v>
      </c>
      <c r="E416" s="182" t="s">
        <v>1313</v>
      </c>
      <c r="F416" s="209">
        <v>45223</v>
      </c>
      <c r="G416" s="65" t="s">
        <v>1148</v>
      </c>
      <c r="H416" s="65" t="s">
        <v>1497</v>
      </c>
      <c r="I416" s="224">
        <v>15</v>
      </c>
      <c r="J416" s="443">
        <v>20</v>
      </c>
      <c r="K416" s="685">
        <v>20</v>
      </c>
      <c r="L416" s="636">
        <v>40</v>
      </c>
      <c r="M416" s="684">
        <f t="shared" si="12"/>
        <v>-20</v>
      </c>
      <c r="N416" s="697">
        <v>0</v>
      </c>
      <c r="O416" s="697">
        <v>0</v>
      </c>
      <c r="P416" s="697">
        <v>0</v>
      </c>
      <c r="Q416" s="697">
        <v>0</v>
      </c>
      <c r="R416" s="95" t="s">
        <v>943</v>
      </c>
      <c r="S416" s="697">
        <v>0</v>
      </c>
      <c r="T416" s="246" t="s">
        <v>714</v>
      </c>
      <c r="U416" s="658">
        <v>0</v>
      </c>
      <c r="V416" s="67" t="s">
        <v>714</v>
      </c>
      <c r="W416" s="191" t="s">
        <v>714</v>
      </c>
      <c r="X416" s="245">
        <v>0</v>
      </c>
      <c r="Y416" s="233">
        <v>2</v>
      </c>
      <c r="Z416" s="225">
        <v>0</v>
      </c>
      <c r="AA416" s="230" t="s">
        <v>714</v>
      </c>
      <c r="AB416" s="248" t="s">
        <v>714</v>
      </c>
      <c r="AC416" s="233">
        <v>0</v>
      </c>
      <c r="AD416" s="19">
        <v>2</v>
      </c>
      <c r="AE416" s="225">
        <v>0</v>
      </c>
      <c r="AF416" s="364" t="s">
        <v>1505</v>
      </c>
    </row>
    <row r="417" spans="1:32" ht="27" customHeight="1">
      <c r="A417" s="175" t="s">
        <v>1301</v>
      </c>
      <c r="B417" s="176">
        <v>20</v>
      </c>
      <c r="C417" s="175" t="s">
        <v>1302</v>
      </c>
      <c r="D417" s="182">
        <v>11</v>
      </c>
      <c r="E417" s="182" t="s">
        <v>1314</v>
      </c>
      <c r="F417" s="209">
        <v>45221</v>
      </c>
      <c r="G417" s="65" t="s">
        <v>1148</v>
      </c>
      <c r="H417" s="65" t="s">
        <v>1498</v>
      </c>
      <c r="I417" s="224">
        <v>15</v>
      </c>
      <c r="J417" s="443">
        <v>20</v>
      </c>
      <c r="K417" s="685">
        <v>20</v>
      </c>
      <c r="L417" s="636">
        <v>30</v>
      </c>
      <c r="M417" s="684">
        <f t="shared" si="12"/>
        <v>-10</v>
      </c>
      <c r="N417" s="697">
        <v>0</v>
      </c>
      <c r="O417" s="697">
        <v>0</v>
      </c>
      <c r="P417" s="697">
        <v>0</v>
      </c>
      <c r="Q417" s="697">
        <v>0</v>
      </c>
      <c r="R417" s="95" t="s">
        <v>1208</v>
      </c>
      <c r="S417" s="179">
        <v>5.333333333333333</v>
      </c>
      <c r="T417" s="246">
        <v>89.5</v>
      </c>
      <c r="U417" s="658">
        <v>0</v>
      </c>
      <c r="V417" s="67" t="s">
        <v>714</v>
      </c>
      <c r="W417" s="191" t="s">
        <v>714</v>
      </c>
      <c r="X417" s="245">
        <v>0</v>
      </c>
      <c r="Y417" s="233">
        <v>1</v>
      </c>
      <c r="Z417" s="225">
        <v>0</v>
      </c>
      <c r="AA417" s="230" t="s">
        <v>714</v>
      </c>
      <c r="AB417" s="248" t="s">
        <v>714</v>
      </c>
      <c r="AC417" s="233">
        <v>2</v>
      </c>
      <c r="AD417" s="19">
        <v>2</v>
      </c>
      <c r="AE417" s="225">
        <v>5</v>
      </c>
      <c r="AF417" s="364" t="s">
        <v>1506</v>
      </c>
    </row>
    <row r="418" spans="1:32" ht="27" customHeight="1">
      <c r="A418" s="175" t="s">
        <v>1301</v>
      </c>
      <c r="B418" s="176">
        <v>20</v>
      </c>
      <c r="C418" s="175" t="s">
        <v>1302</v>
      </c>
      <c r="D418" s="182">
        <v>12</v>
      </c>
      <c r="E418" s="182" t="s">
        <v>1315</v>
      </c>
      <c r="F418" s="209">
        <v>45221</v>
      </c>
      <c r="G418" s="65" t="s">
        <v>1148</v>
      </c>
      <c r="H418" s="65" t="s">
        <v>1498</v>
      </c>
      <c r="I418" s="224">
        <v>15</v>
      </c>
      <c r="J418" s="443">
        <v>50</v>
      </c>
      <c r="K418" s="685">
        <v>50</v>
      </c>
      <c r="L418" s="636">
        <v>50</v>
      </c>
      <c r="M418" s="684">
        <f t="shared" si="12"/>
        <v>0</v>
      </c>
      <c r="N418" s="697">
        <v>0</v>
      </c>
      <c r="O418" s="697">
        <v>0</v>
      </c>
      <c r="P418" s="697">
        <v>0</v>
      </c>
      <c r="Q418" s="697">
        <v>0</v>
      </c>
      <c r="R418" s="95" t="s">
        <v>1208</v>
      </c>
      <c r="S418" s="179">
        <v>4.166666666666667</v>
      </c>
      <c r="T418" s="246">
        <v>99.5</v>
      </c>
      <c r="U418" s="658">
        <v>0</v>
      </c>
      <c r="V418" s="67" t="s">
        <v>714</v>
      </c>
      <c r="W418" s="191" t="s">
        <v>714</v>
      </c>
      <c r="X418" s="245">
        <v>0</v>
      </c>
      <c r="Y418" s="233">
        <v>2</v>
      </c>
      <c r="Z418" s="225" t="s">
        <v>948</v>
      </c>
      <c r="AA418" s="230" t="s">
        <v>714</v>
      </c>
      <c r="AB418" s="248" t="s">
        <v>714</v>
      </c>
      <c r="AC418" s="233">
        <v>15</v>
      </c>
      <c r="AD418" s="19">
        <v>5</v>
      </c>
      <c r="AE418" s="225">
        <v>3</v>
      </c>
      <c r="AF418" s="364" t="s">
        <v>1506</v>
      </c>
    </row>
    <row r="419" spans="1:32" ht="27" customHeight="1">
      <c r="A419" s="175" t="s">
        <v>1301</v>
      </c>
      <c r="B419" s="176">
        <v>20</v>
      </c>
      <c r="C419" s="175" t="s">
        <v>1302</v>
      </c>
      <c r="D419" s="182">
        <v>13</v>
      </c>
      <c r="E419" s="182" t="s">
        <v>1316</v>
      </c>
      <c r="F419" s="209">
        <v>45221</v>
      </c>
      <c r="G419" s="65" t="s">
        <v>1148</v>
      </c>
      <c r="H419" s="65" t="s">
        <v>1498</v>
      </c>
      <c r="I419" s="224">
        <v>15</v>
      </c>
      <c r="J419" s="443">
        <v>40</v>
      </c>
      <c r="K419" s="685">
        <v>40</v>
      </c>
      <c r="L419" s="636">
        <v>40</v>
      </c>
      <c r="M419" s="684">
        <f t="shared" si="12"/>
        <v>0</v>
      </c>
      <c r="N419" s="697">
        <v>1</v>
      </c>
      <c r="O419" s="697">
        <v>1</v>
      </c>
      <c r="P419" s="697">
        <v>1</v>
      </c>
      <c r="Q419" s="697">
        <v>1</v>
      </c>
      <c r="R419" s="95" t="s">
        <v>1208</v>
      </c>
      <c r="S419" s="179">
        <v>3.5</v>
      </c>
      <c r="T419" s="246">
        <v>96.5</v>
      </c>
      <c r="U419" s="658">
        <v>0</v>
      </c>
      <c r="V419" s="67" t="s">
        <v>714</v>
      </c>
      <c r="W419" s="191" t="s">
        <v>714</v>
      </c>
      <c r="X419" s="245">
        <v>0</v>
      </c>
      <c r="Y419" s="233">
        <v>2</v>
      </c>
      <c r="Z419" s="225" t="s">
        <v>948</v>
      </c>
      <c r="AA419" s="230" t="s">
        <v>714</v>
      </c>
      <c r="AB419" s="248" t="s">
        <v>714</v>
      </c>
      <c r="AC419" s="233">
        <v>2</v>
      </c>
      <c r="AD419" s="19">
        <v>3</v>
      </c>
      <c r="AE419" s="225">
        <v>3</v>
      </c>
      <c r="AF419" s="364" t="s">
        <v>1506</v>
      </c>
    </row>
    <row r="420" spans="1:32" ht="27" customHeight="1">
      <c r="A420" s="175" t="s">
        <v>1301</v>
      </c>
      <c r="B420" s="176">
        <v>20</v>
      </c>
      <c r="C420" s="175" t="s">
        <v>1302</v>
      </c>
      <c r="D420" s="182">
        <v>14</v>
      </c>
      <c r="E420" s="182" t="s">
        <v>1317</v>
      </c>
      <c r="F420" s="209">
        <v>45220</v>
      </c>
      <c r="G420" s="65" t="s">
        <v>1148</v>
      </c>
      <c r="H420" s="65" t="s">
        <v>1498</v>
      </c>
      <c r="I420" s="224">
        <v>15</v>
      </c>
      <c r="J420" s="443">
        <v>20</v>
      </c>
      <c r="K420" s="685">
        <v>20</v>
      </c>
      <c r="L420" s="636">
        <v>20</v>
      </c>
      <c r="M420" s="684">
        <f t="shared" si="12"/>
        <v>0</v>
      </c>
      <c r="N420" s="697">
        <v>0</v>
      </c>
      <c r="O420" s="697">
        <v>0</v>
      </c>
      <c r="P420" s="697">
        <v>0</v>
      </c>
      <c r="Q420" s="697">
        <v>0</v>
      </c>
      <c r="R420" s="158" t="s">
        <v>975</v>
      </c>
      <c r="S420" s="179">
        <v>1.1666666666666667</v>
      </c>
      <c r="T420" s="246">
        <v>131</v>
      </c>
      <c r="U420" s="658">
        <v>0</v>
      </c>
      <c r="V420" s="67" t="s">
        <v>714</v>
      </c>
      <c r="W420" s="191" t="s">
        <v>714</v>
      </c>
      <c r="X420" s="245">
        <v>0</v>
      </c>
      <c r="Y420" s="233">
        <v>1</v>
      </c>
      <c r="Z420" s="225">
        <v>0</v>
      </c>
      <c r="AA420" s="230" t="s">
        <v>714</v>
      </c>
      <c r="AB420" s="248" t="s">
        <v>714</v>
      </c>
      <c r="AC420" s="233">
        <v>0</v>
      </c>
      <c r="AD420" s="19">
        <v>3</v>
      </c>
      <c r="AE420" s="225">
        <v>0</v>
      </c>
      <c r="AF420" s="364" t="s">
        <v>1506</v>
      </c>
    </row>
    <row r="421" spans="1:32" ht="27" customHeight="1">
      <c r="A421" s="175" t="s">
        <v>1301</v>
      </c>
      <c r="B421" s="176">
        <v>20</v>
      </c>
      <c r="C421" s="175" t="s">
        <v>1302</v>
      </c>
      <c r="D421" s="182">
        <v>15</v>
      </c>
      <c r="E421" s="182" t="s">
        <v>1318</v>
      </c>
      <c r="F421" s="209">
        <v>45218</v>
      </c>
      <c r="G421" s="65" t="s">
        <v>1148</v>
      </c>
      <c r="H421" s="65" t="s">
        <v>1498</v>
      </c>
      <c r="I421" s="224">
        <v>15</v>
      </c>
      <c r="J421" s="443">
        <v>60</v>
      </c>
      <c r="K421" s="685">
        <v>60</v>
      </c>
      <c r="L421" s="636">
        <v>60</v>
      </c>
      <c r="M421" s="684">
        <f t="shared" si="12"/>
        <v>0</v>
      </c>
      <c r="N421" s="697">
        <v>1</v>
      </c>
      <c r="O421" s="697">
        <v>0</v>
      </c>
      <c r="P421" s="697">
        <v>1</v>
      </c>
      <c r="Q421" s="697">
        <v>0</v>
      </c>
      <c r="R421" s="95" t="s">
        <v>1152</v>
      </c>
      <c r="S421" s="179">
        <v>0.16666666666666666</v>
      </c>
      <c r="T421" s="246">
        <v>124</v>
      </c>
      <c r="U421" s="658">
        <v>0</v>
      </c>
      <c r="V421" s="67" t="s">
        <v>714</v>
      </c>
      <c r="W421" s="191" t="s">
        <v>714</v>
      </c>
      <c r="X421" s="245">
        <v>0</v>
      </c>
      <c r="Y421" s="233">
        <v>2</v>
      </c>
      <c r="Z421" s="225" t="s">
        <v>948</v>
      </c>
      <c r="AA421" s="230" t="s">
        <v>714</v>
      </c>
      <c r="AB421" s="248" t="s">
        <v>714</v>
      </c>
      <c r="AC421" s="233">
        <v>0</v>
      </c>
      <c r="AD421" s="19">
        <v>1</v>
      </c>
      <c r="AE421" s="225">
        <v>5</v>
      </c>
      <c r="AF421" s="364" t="s">
        <v>1506</v>
      </c>
    </row>
    <row r="422" spans="1:32" ht="27" customHeight="1">
      <c r="A422" s="175" t="s">
        <v>1301</v>
      </c>
      <c r="B422" s="176">
        <v>20</v>
      </c>
      <c r="C422" s="175" t="s">
        <v>1302</v>
      </c>
      <c r="D422" s="182">
        <v>16</v>
      </c>
      <c r="E422" s="182" t="s">
        <v>1319</v>
      </c>
      <c r="F422" s="209"/>
      <c r="G422" s="65"/>
      <c r="H422" s="65"/>
      <c r="I422" s="224"/>
      <c r="J422" s="443"/>
      <c r="K422" s="685"/>
      <c r="L422" s="636"/>
      <c r="M422" s="684"/>
      <c r="N422" s="697"/>
      <c r="O422" s="697"/>
      <c r="P422" s="697"/>
      <c r="Q422" s="697"/>
      <c r="R422" s="95"/>
      <c r="S422" s="179"/>
      <c r="T422" s="246"/>
      <c r="U422" s="658"/>
      <c r="V422" s="67" t="s">
        <v>714</v>
      </c>
      <c r="W422" s="191" t="s">
        <v>714</v>
      </c>
      <c r="X422" s="245"/>
      <c r="Y422" s="233"/>
      <c r="Z422" s="225"/>
      <c r="AA422" s="230"/>
      <c r="AB422" s="248"/>
      <c r="AC422" s="233"/>
      <c r="AD422" s="19"/>
      <c r="AE422" s="225"/>
      <c r="AF422" s="364"/>
    </row>
    <row r="423" spans="1:32" ht="27" customHeight="1">
      <c r="A423" s="175" t="s">
        <v>1301</v>
      </c>
      <c r="B423" s="176">
        <v>20</v>
      </c>
      <c r="C423" s="175" t="s">
        <v>1302</v>
      </c>
      <c r="D423" s="182">
        <v>17</v>
      </c>
      <c r="E423" s="182" t="s">
        <v>1320</v>
      </c>
      <c r="F423" s="209">
        <v>45218</v>
      </c>
      <c r="G423" s="65" t="s">
        <v>1148</v>
      </c>
      <c r="H423" s="65" t="s">
        <v>1498</v>
      </c>
      <c r="I423" s="224">
        <v>15</v>
      </c>
      <c r="J423" s="443">
        <v>70</v>
      </c>
      <c r="K423" s="685">
        <v>70</v>
      </c>
      <c r="L423" s="637">
        <v>70</v>
      </c>
      <c r="M423" s="684">
        <f t="shared" ref="M423:M435" si="13">K423-L423</f>
        <v>0</v>
      </c>
      <c r="N423" s="697">
        <v>0</v>
      </c>
      <c r="O423" s="697">
        <v>0</v>
      </c>
      <c r="P423" s="697">
        <v>0</v>
      </c>
      <c r="Q423" s="697">
        <v>0</v>
      </c>
      <c r="R423" s="95" t="s">
        <v>1639</v>
      </c>
      <c r="S423" s="697">
        <v>0</v>
      </c>
      <c r="T423" s="246">
        <v>60</v>
      </c>
      <c r="U423" s="658">
        <v>0</v>
      </c>
      <c r="V423" s="67" t="s">
        <v>714</v>
      </c>
      <c r="W423" s="191" t="s">
        <v>714</v>
      </c>
      <c r="X423" s="245">
        <v>0</v>
      </c>
      <c r="Y423" s="233">
        <v>1</v>
      </c>
      <c r="Z423" s="225">
        <v>0</v>
      </c>
      <c r="AA423" s="230" t="s">
        <v>714</v>
      </c>
      <c r="AB423" s="248" t="s">
        <v>714</v>
      </c>
      <c r="AC423" s="233">
        <v>0</v>
      </c>
      <c r="AD423" s="19">
        <v>3</v>
      </c>
      <c r="AE423" s="225">
        <v>1</v>
      </c>
      <c r="AF423" s="364" t="s">
        <v>1506</v>
      </c>
    </row>
    <row r="424" spans="1:32" ht="27" customHeight="1">
      <c r="A424" s="175" t="s">
        <v>1301</v>
      </c>
      <c r="B424" s="176">
        <v>20</v>
      </c>
      <c r="C424" s="175" t="s">
        <v>1302</v>
      </c>
      <c r="D424" s="182">
        <v>18</v>
      </c>
      <c r="E424" s="182" t="s">
        <v>1149</v>
      </c>
      <c r="F424" s="209">
        <v>45218</v>
      </c>
      <c r="G424" s="65" t="s">
        <v>1148</v>
      </c>
      <c r="H424" s="65" t="s">
        <v>1498</v>
      </c>
      <c r="I424" s="224">
        <v>15</v>
      </c>
      <c r="J424" s="443">
        <v>70</v>
      </c>
      <c r="K424" s="685">
        <v>70</v>
      </c>
      <c r="L424" s="637">
        <v>60</v>
      </c>
      <c r="M424" s="684">
        <f t="shared" si="13"/>
        <v>10</v>
      </c>
      <c r="N424" s="697">
        <v>0</v>
      </c>
      <c r="O424" s="697">
        <v>0</v>
      </c>
      <c r="P424" s="697">
        <v>0</v>
      </c>
      <c r="Q424" s="697">
        <v>0</v>
      </c>
      <c r="R424" s="158" t="s">
        <v>1230</v>
      </c>
      <c r="S424" s="179">
        <v>0.16666666666666666</v>
      </c>
      <c r="T424" s="246">
        <v>140</v>
      </c>
      <c r="U424" s="658">
        <v>0</v>
      </c>
      <c r="V424" s="67" t="s">
        <v>714</v>
      </c>
      <c r="W424" s="191" t="s">
        <v>714</v>
      </c>
      <c r="X424" s="245">
        <v>0</v>
      </c>
      <c r="Y424" s="233">
        <v>1</v>
      </c>
      <c r="Z424" s="225">
        <v>0</v>
      </c>
      <c r="AA424" s="230" t="s">
        <v>714</v>
      </c>
      <c r="AB424" s="248" t="s">
        <v>714</v>
      </c>
      <c r="AC424" s="233">
        <v>0</v>
      </c>
      <c r="AD424" s="19">
        <v>0</v>
      </c>
      <c r="AE424" s="225">
        <v>0</v>
      </c>
      <c r="AF424" s="364" t="s">
        <v>1506</v>
      </c>
    </row>
    <row r="425" spans="1:32" ht="27" customHeight="1">
      <c r="A425" s="175" t="s">
        <v>1301</v>
      </c>
      <c r="B425" s="176">
        <v>20</v>
      </c>
      <c r="C425" s="175" t="s">
        <v>1302</v>
      </c>
      <c r="D425" s="181">
        <v>19</v>
      </c>
      <c r="E425" s="182" t="s">
        <v>1321</v>
      </c>
      <c r="F425" s="209">
        <v>45220</v>
      </c>
      <c r="G425" s="65" t="s">
        <v>1148</v>
      </c>
      <c r="H425" s="65" t="s">
        <v>1498</v>
      </c>
      <c r="I425" s="224">
        <v>15</v>
      </c>
      <c r="J425" s="443">
        <v>30</v>
      </c>
      <c r="K425" s="685">
        <v>30</v>
      </c>
      <c r="L425" s="637">
        <v>40</v>
      </c>
      <c r="M425" s="684">
        <f t="shared" si="13"/>
        <v>-10</v>
      </c>
      <c r="N425" s="697">
        <v>5</v>
      </c>
      <c r="O425" s="697">
        <v>1</v>
      </c>
      <c r="P425" s="697">
        <v>1</v>
      </c>
      <c r="Q425" s="697">
        <v>1</v>
      </c>
      <c r="R425" s="95" t="s">
        <v>1499</v>
      </c>
      <c r="S425" s="179">
        <v>2.6666666666666665</v>
      </c>
      <c r="T425" s="246">
        <v>75</v>
      </c>
      <c r="U425" s="658">
        <v>0</v>
      </c>
      <c r="V425" s="67" t="s">
        <v>714</v>
      </c>
      <c r="W425" s="191" t="s">
        <v>714</v>
      </c>
      <c r="X425" s="245">
        <v>0</v>
      </c>
      <c r="Y425" s="233">
        <v>1</v>
      </c>
      <c r="Z425" s="225">
        <v>0</v>
      </c>
      <c r="AA425" s="230" t="s">
        <v>714</v>
      </c>
      <c r="AB425" s="248" t="s">
        <v>714</v>
      </c>
      <c r="AC425" s="233">
        <v>0</v>
      </c>
      <c r="AD425" s="19">
        <v>5</v>
      </c>
      <c r="AE425" s="225">
        <v>3</v>
      </c>
      <c r="AF425" s="364" t="s">
        <v>1506</v>
      </c>
    </row>
    <row r="426" spans="1:32" ht="27" customHeight="1" thickBot="1">
      <c r="A426" s="274" t="s">
        <v>1301</v>
      </c>
      <c r="B426" s="275">
        <v>20</v>
      </c>
      <c r="C426" s="274" t="s">
        <v>1302</v>
      </c>
      <c r="D426" s="265">
        <v>20</v>
      </c>
      <c r="E426" s="308" t="s">
        <v>1322</v>
      </c>
      <c r="F426" s="294">
        <v>45220</v>
      </c>
      <c r="G426" s="279" t="s">
        <v>1148</v>
      </c>
      <c r="H426" s="279" t="s">
        <v>1498</v>
      </c>
      <c r="I426" s="309">
        <v>15</v>
      </c>
      <c r="J426" s="451" t="s">
        <v>1637</v>
      </c>
      <c r="K426" s="720">
        <v>10</v>
      </c>
      <c r="L426" s="638">
        <v>2.5</v>
      </c>
      <c r="M426" s="623">
        <f t="shared" si="13"/>
        <v>7.5</v>
      </c>
      <c r="N426" s="728">
        <v>0</v>
      </c>
      <c r="O426" s="728">
        <v>0</v>
      </c>
      <c r="P426" s="728">
        <v>0</v>
      </c>
      <c r="Q426" s="728">
        <v>0</v>
      </c>
      <c r="R426" s="103" t="s">
        <v>1500</v>
      </c>
      <c r="S426" s="281">
        <v>2</v>
      </c>
      <c r="T426" s="284" t="s">
        <v>714</v>
      </c>
      <c r="U426" s="659">
        <v>0</v>
      </c>
      <c r="V426" s="375" t="s">
        <v>714</v>
      </c>
      <c r="W426" s="360" t="s">
        <v>714</v>
      </c>
      <c r="X426" s="674">
        <v>0</v>
      </c>
      <c r="Y426" s="285">
        <v>1</v>
      </c>
      <c r="Z426" s="286">
        <v>0</v>
      </c>
      <c r="AA426" s="295" t="s">
        <v>714</v>
      </c>
      <c r="AB426" s="296" t="s">
        <v>714</v>
      </c>
      <c r="AC426" s="285">
        <v>0</v>
      </c>
      <c r="AD426" s="84">
        <v>3</v>
      </c>
      <c r="AE426" s="286">
        <v>0</v>
      </c>
      <c r="AF426" s="365" t="s">
        <v>1505</v>
      </c>
    </row>
    <row r="427" spans="1:32" s="147" customFormat="1" ht="27" customHeight="1" thickTop="1">
      <c r="A427" s="305" t="s">
        <v>1323</v>
      </c>
      <c r="B427" s="306">
        <v>21</v>
      </c>
      <c r="C427" s="305" t="s">
        <v>1324</v>
      </c>
      <c r="D427" s="257">
        <v>1</v>
      </c>
      <c r="E427" s="268" t="s">
        <v>1325</v>
      </c>
      <c r="F427" s="258">
        <v>45268</v>
      </c>
      <c r="G427" s="259" t="s">
        <v>1490</v>
      </c>
      <c r="H427" s="152" t="s">
        <v>950</v>
      </c>
      <c r="I427" s="260">
        <v>30</v>
      </c>
      <c r="J427" s="450" t="s">
        <v>1154</v>
      </c>
      <c r="K427" s="741">
        <v>2.5</v>
      </c>
      <c r="L427" s="630">
        <v>2.5</v>
      </c>
      <c r="M427" s="745">
        <f t="shared" si="13"/>
        <v>0</v>
      </c>
      <c r="N427" s="49">
        <v>0</v>
      </c>
      <c r="O427" s="49">
        <v>0</v>
      </c>
      <c r="P427" s="49">
        <v>0</v>
      </c>
      <c r="Q427" s="49">
        <v>0</v>
      </c>
      <c r="R427" s="93" t="s">
        <v>1504</v>
      </c>
      <c r="S427" s="398">
        <v>0</v>
      </c>
      <c r="T427" s="270">
        <f>AVERAGE(200,200,50,50,50)</f>
        <v>110</v>
      </c>
      <c r="U427" s="657">
        <v>0</v>
      </c>
      <c r="V427" s="374" t="s">
        <v>714</v>
      </c>
      <c r="W427" s="361" t="s">
        <v>714</v>
      </c>
      <c r="X427" s="673">
        <v>0</v>
      </c>
      <c r="Y427" s="261">
        <v>1</v>
      </c>
      <c r="Z427" s="262">
        <v>0</v>
      </c>
      <c r="AA427" s="366">
        <v>29.48</v>
      </c>
      <c r="AB427" s="262" t="s">
        <v>973</v>
      </c>
      <c r="AC427" s="307">
        <v>2</v>
      </c>
      <c r="AD427" s="361">
        <v>0</v>
      </c>
      <c r="AE427" s="262">
        <v>1</v>
      </c>
      <c r="AF427" s="301" t="s">
        <v>1036</v>
      </c>
    </row>
    <row r="428" spans="1:32" s="147" customFormat="1" ht="27" customHeight="1">
      <c r="A428" s="192" t="s">
        <v>1323</v>
      </c>
      <c r="B428" s="193">
        <v>21</v>
      </c>
      <c r="C428" s="192" t="s">
        <v>1324</v>
      </c>
      <c r="D428" s="181">
        <v>2</v>
      </c>
      <c r="E428" s="182" t="s">
        <v>1326</v>
      </c>
      <c r="F428" s="189">
        <v>45289</v>
      </c>
      <c r="G428" s="204" t="s">
        <v>1490</v>
      </c>
      <c r="H428" s="158" t="s">
        <v>1111</v>
      </c>
      <c r="I428" s="225">
        <v>15</v>
      </c>
      <c r="J428" s="443">
        <v>50</v>
      </c>
      <c r="K428" s="685">
        <v>50</v>
      </c>
      <c r="L428" s="684">
        <v>50</v>
      </c>
      <c r="M428" s="745">
        <f t="shared" si="13"/>
        <v>0</v>
      </c>
      <c r="N428" s="19">
        <v>0</v>
      </c>
      <c r="O428" s="19">
        <v>0</v>
      </c>
      <c r="P428" s="19">
        <v>0</v>
      </c>
      <c r="Q428" s="19">
        <v>0</v>
      </c>
      <c r="R428" s="95" t="s">
        <v>944</v>
      </c>
      <c r="S428" s="206">
        <v>1</v>
      </c>
      <c r="T428" s="241">
        <f>AVERAGE(120,100,60,70,110)</f>
        <v>92</v>
      </c>
      <c r="U428" s="643">
        <v>0</v>
      </c>
      <c r="V428" s="67" t="s">
        <v>714</v>
      </c>
      <c r="W428" s="191" t="s">
        <v>714</v>
      </c>
      <c r="X428" s="253">
        <v>0</v>
      </c>
      <c r="Y428" s="233">
        <v>1</v>
      </c>
      <c r="Z428" s="66">
        <v>0</v>
      </c>
      <c r="AA428" s="230">
        <v>14.58</v>
      </c>
      <c r="AB428" s="248" t="s">
        <v>973</v>
      </c>
      <c r="AC428" s="236">
        <v>0</v>
      </c>
      <c r="AD428" s="191">
        <v>0</v>
      </c>
      <c r="AE428" s="248">
        <v>8</v>
      </c>
      <c r="AF428" s="254" t="s">
        <v>1117</v>
      </c>
    </row>
    <row r="429" spans="1:32" s="147" customFormat="1" ht="27" customHeight="1">
      <c r="A429" s="192" t="s">
        <v>1323</v>
      </c>
      <c r="B429" s="193">
        <v>21</v>
      </c>
      <c r="C429" s="192" t="s">
        <v>1324</v>
      </c>
      <c r="D429" s="181">
        <v>3</v>
      </c>
      <c r="E429" s="182" t="s">
        <v>999</v>
      </c>
      <c r="F429" s="189">
        <v>45257</v>
      </c>
      <c r="G429" s="204" t="s">
        <v>1490</v>
      </c>
      <c r="H429" s="65" t="s">
        <v>950</v>
      </c>
      <c r="I429" s="225">
        <v>20</v>
      </c>
      <c r="J429" s="443">
        <v>10</v>
      </c>
      <c r="K429" s="685">
        <v>10</v>
      </c>
      <c r="L429" s="684">
        <v>20</v>
      </c>
      <c r="M429" s="745">
        <f t="shared" si="13"/>
        <v>-10</v>
      </c>
      <c r="N429" s="19">
        <v>0</v>
      </c>
      <c r="O429" s="19">
        <v>0</v>
      </c>
      <c r="P429" s="19">
        <v>0</v>
      </c>
      <c r="Q429" s="19">
        <v>0</v>
      </c>
      <c r="R429" s="95" t="s">
        <v>944</v>
      </c>
      <c r="S429" s="206">
        <v>0.66666666666666663</v>
      </c>
      <c r="T429" s="245">
        <v>10</v>
      </c>
      <c r="U429" s="643">
        <v>0</v>
      </c>
      <c r="V429" s="67" t="s">
        <v>714</v>
      </c>
      <c r="W429" s="191" t="s">
        <v>714</v>
      </c>
      <c r="X429" s="245">
        <v>0</v>
      </c>
      <c r="Y429" s="233">
        <v>1</v>
      </c>
      <c r="Z429" s="248">
        <v>0</v>
      </c>
      <c r="AA429" s="230">
        <v>1.42</v>
      </c>
      <c r="AB429" s="248">
        <v>3</v>
      </c>
      <c r="AC429" s="236">
        <v>0</v>
      </c>
      <c r="AD429" s="191">
        <v>0</v>
      </c>
      <c r="AE429" s="248">
        <v>1</v>
      </c>
      <c r="AF429" s="254" t="s">
        <v>1036</v>
      </c>
    </row>
    <row r="430" spans="1:32" s="147" customFormat="1" ht="27" customHeight="1">
      <c r="A430" s="192" t="s">
        <v>1323</v>
      </c>
      <c r="B430" s="193">
        <v>21</v>
      </c>
      <c r="C430" s="192" t="s">
        <v>1324</v>
      </c>
      <c r="D430" s="181">
        <v>4</v>
      </c>
      <c r="E430" s="182" t="s">
        <v>1000</v>
      </c>
      <c r="F430" s="189">
        <v>45257</v>
      </c>
      <c r="G430" s="204" t="s">
        <v>1490</v>
      </c>
      <c r="H430" s="65" t="s">
        <v>950</v>
      </c>
      <c r="I430" s="225">
        <v>20</v>
      </c>
      <c r="J430" s="405" t="s">
        <v>948</v>
      </c>
      <c r="K430" s="621">
        <v>2.5</v>
      </c>
      <c r="L430" s="620">
        <v>2.5</v>
      </c>
      <c r="M430" s="745">
        <f t="shared" si="13"/>
        <v>0</v>
      </c>
      <c r="N430" s="19">
        <v>0</v>
      </c>
      <c r="O430" s="19">
        <v>0</v>
      </c>
      <c r="P430" s="16">
        <v>0</v>
      </c>
      <c r="Q430" s="19">
        <v>0</v>
      </c>
      <c r="R430" s="95" t="s">
        <v>944</v>
      </c>
      <c r="S430" s="206">
        <v>0</v>
      </c>
      <c r="T430" s="240" t="s">
        <v>714</v>
      </c>
      <c r="U430" s="643">
        <v>0</v>
      </c>
      <c r="V430" s="67" t="s">
        <v>714</v>
      </c>
      <c r="W430" s="191" t="s">
        <v>714</v>
      </c>
      <c r="X430" s="245">
        <v>0</v>
      </c>
      <c r="Y430" s="233">
        <v>1</v>
      </c>
      <c r="Z430" s="248">
        <v>0</v>
      </c>
      <c r="AA430" s="230">
        <v>5.63</v>
      </c>
      <c r="AB430" s="248">
        <v>4</v>
      </c>
      <c r="AC430" s="236">
        <v>5</v>
      </c>
      <c r="AD430" s="191">
        <v>5</v>
      </c>
      <c r="AE430" s="248">
        <v>0</v>
      </c>
      <c r="AF430" s="254" t="s">
        <v>1036</v>
      </c>
    </row>
    <row r="431" spans="1:32" s="147" customFormat="1" ht="27" customHeight="1">
      <c r="A431" s="192" t="s">
        <v>1323</v>
      </c>
      <c r="B431" s="193">
        <v>21</v>
      </c>
      <c r="C431" s="192" t="s">
        <v>1324</v>
      </c>
      <c r="D431" s="181">
        <v>5</v>
      </c>
      <c r="E431" s="182" t="s">
        <v>1327</v>
      </c>
      <c r="F431" s="189">
        <v>45264</v>
      </c>
      <c r="G431" s="204" t="s">
        <v>1491</v>
      </c>
      <c r="H431" s="65" t="s">
        <v>950</v>
      </c>
      <c r="I431" s="225">
        <v>20</v>
      </c>
      <c r="J431" s="443">
        <v>70</v>
      </c>
      <c r="K431" s="685">
        <v>70</v>
      </c>
      <c r="L431" s="684">
        <v>70</v>
      </c>
      <c r="M431" s="745">
        <f t="shared" si="13"/>
        <v>0</v>
      </c>
      <c r="N431" s="179" t="s">
        <v>948</v>
      </c>
      <c r="O431" s="179" t="s">
        <v>948</v>
      </c>
      <c r="P431" s="179" t="s">
        <v>948</v>
      </c>
      <c r="Q431" s="179" t="s">
        <v>948</v>
      </c>
      <c r="R431" s="95" t="s">
        <v>1208</v>
      </c>
      <c r="S431" s="206">
        <v>0</v>
      </c>
      <c r="T431" s="245" t="s">
        <v>1642</v>
      </c>
      <c r="U431" s="658">
        <v>0</v>
      </c>
      <c r="V431" s="67" t="s">
        <v>714</v>
      </c>
      <c r="W431" s="191" t="s">
        <v>714</v>
      </c>
      <c r="X431" s="245">
        <v>0</v>
      </c>
      <c r="Y431" s="233">
        <v>2</v>
      </c>
      <c r="Z431" s="248" t="s">
        <v>948</v>
      </c>
      <c r="AA431" s="230">
        <v>5.97</v>
      </c>
      <c r="AB431" s="248">
        <v>4</v>
      </c>
      <c r="AC431" s="236"/>
      <c r="AD431" s="191"/>
      <c r="AE431" s="248"/>
      <c r="AF431" s="254" t="s">
        <v>1036</v>
      </c>
    </row>
    <row r="432" spans="1:32" s="147" customFormat="1" ht="27" customHeight="1">
      <c r="A432" s="192" t="s">
        <v>1323</v>
      </c>
      <c r="B432" s="193">
        <v>21</v>
      </c>
      <c r="C432" s="192" t="s">
        <v>1324</v>
      </c>
      <c r="D432" s="181">
        <v>6</v>
      </c>
      <c r="E432" s="182" t="s">
        <v>1328</v>
      </c>
      <c r="F432" s="189">
        <v>45289</v>
      </c>
      <c r="G432" s="204" t="s">
        <v>1490</v>
      </c>
      <c r="H432" s="158" t="s">
        <v>1111</v>
      </c>
      <c r="I432" s="225">
        <v>15</v>
      </c>
      <c r="J432" s="443">
        <v>20</v>
      </c>
      <c r="K432" s="685">
        <v>20</v>
      </c>
      <c r="L432" s="684">
        <v>10</v>
      </c>
      <c r="M432" s="745">
        <f t="shared" si="13"/>
        <v>10</v>
      </c>
      <c r="N432" s="19">
        <v>0</v>
      </c>
      <c r="O432" s="19">
        <v>0</v>
      </c>
      <c r="P432" s="19">
        <v>0</v>
      </c>
      <c r="Q432" s="19">
        <v>0</v>
      </c>
      <c r="R432" s="95" t="s">
        <v>944</v>
      </c>
      <c r="S432" s="206">
        <v>0</v>
      </c>
      <c r="T432" s="241" t="s">
        <v>714</v>
      </c>
      <c r="U432" s="658">
        <v>0</v>
      </c>
      <c r="V432" s="67" t="s">
        <v>714</v>
      </c>
      <c r="W432" s="191" t="s">
        <v>714</v>
      </c>
      <c r="X432" s="245">
        <v>0</v>
      </c>
      <c r="Y432" s="233">
        <v>1</v>
      </c>
      <c r="Z432" s="225">
        <v>0</v>
      </c>
      <c r="AA432" s="230">
        <v>10.08</v>
      </c>
      <c r="AB432" s="248" t="s">
        <v>973</v>
      </c>
      <c r="AC432" s="236"/>
      <c r="AD432" s="191"/>
      <c r="AE432" s="248"/>
      <c r="AF432" s="254" t="s">
        <v>1495</v>
      </c>
    </row>
    <row r="433" spans="1:32" s="147" customFormat="1" ht="27" customHeight="1">
      <c r="A433" s="192" t="s">
        <v>1323</v>
      </c>
      <c r="B433" s="193">
        <v>21</v>
      </c>
      <c r="C433" s="192" t="s">
        <v>1324</v>
      </c>
      <c r="D433" s="181">
        <v>7</v>
      </c>
      <c r="E433" s="182" t="s">
        <v>1329</v>
      </c>
      <c r="F433" s="189">
        <v>45289</v>
      </c>
      <c r="G433" s="204" t="s">
        <v>1490</v>
      </c>
      <c r="H433" s="158" t="s">
        <v>1111</v>
      </c>
      <c r="I433" s="225">
        <v>15</v>
      </c>
      <c r="J433" s="443">
        <v>20</v>
      </c>
      <c r="K433" s="685">
        <v>20</v>
      </c>
      <c r="L433" s="684">
        <v>10</v>
      </c>
      <c r="M433" s="745">
        <f t="shared" si="13"/>
        <v>10</v>
      </c>
      <c r="N433" s="19">
        <v>0</v>
      </c>
      <c r="O433" s="19">
        <v>0</v>
      </c>
      <c r="P433" s="19">
        <v>0</v>
      </c>
      <c r="Q433" s="19">
        <v>0</v>
      </c>
      <c r="R433" s="95" t="s">
        <v>1208</v>
      </c>
      <c r="S433" s="206">
        <v>0.66666666666666663</v>
      </c>
      <c r="T433" s="245">
        <v>100</v>
      </c>
      <c r="U433" s="658">
        <v>0</v>
      </c>
      <c r="V433" s="67" t="s">
        <v>714</v>
      </c>
      <c r="W433" s="191" t="s">
        <v>714</v>
      </c>
      <c r="X433" s="245">
        <v>0</v>
      </c>
      <c r="Y433" s="233">
        <v>1</v>
      </c>
      <c r="Z433" s="225">
        <v>0</v>
      </c>
      <c r="AA433" s="230">
        <v>4.84</v>
      </c>
      <c r="AB433" s="248">
        <v>3</v>
      </c>
      <c r="AC433" s="236"/>
      <c r="AD433" s="191"/>
      <c r="AE433" s="248"/>
      <c r="AF433" s="151" t="s">
        <v>1117</v>
      </c>
    </row>
    <row r="434" spans="1:32" s="147" customFormat="1" ht="27" customHeight="1">
      <c r="A434" s="192" t="s">
        <v>1323</v>
      </c>
      <c r="B434" s="193">
        <v>21</v>
      </c>
      <c r="C434" s="192" t="s">
        <v>1324</v>
      </c>
      <c r="D434" s="181">
        <v>8</v>
      </c>
      <c r="E434" s="182" t="s">
        <v>1330</v>
      </c>
      <c r="F434" s="189">
        <v>45285</v>
      </c>
      <c r="G434" s="204" t="s">
        <v>1492</v>
      </c>
      <c r="H434" s="65" t="s">
        <v>950</v>
      </c>
      <c r="I434" s="225">
        <v>15</v>
      </c>
      <c r="J434" s="443">
        <v>60</v>
      </c>
      <c r="K434" s="685">
        <v>60</v>
      </c>
      <c r="L434" s="684">
        <v>50</v>
      </c>
      <c r="M434" s="745">
        <f t="shared" si="13"/>
        <v>10</v>
      </c>
      <c r="N434" s="16">
        <v>0</v>
      </c>
      <c r="O434" s="16">
        <v>0</v>
      </c>
      <c r="P434" s="16">
        <v>0</v>
      </c>
      <c r="Q434" s="16">
        <v>0</v>
      </c>
      <c r="R434" s="95" t="s">
        <v>1208</v>
      </c>
      <c r="S434" s="206">
        <v>0</v>
      </c>
      <c r="T434" s="245" t="s">
        <v>1642</v>
      </c>
      <c r="U434" s="658">
        <v>0</v>
      </c>
      <c r="V434" s="67" t="s">
        <v>714</v>
      </c>
      <c r="W434" s="191" t="s">
        <v>714</v>
      </c>
      <c r="X434" s="245">
        <v>0</v>
      </c>
      <c r="Y434" s="233">
        <v>1</v>
      </c>
      <c r="Z434" s="248">
        <v>0</v>
      </c>
      <c r="AA434" s="230">
        <v>5.36</v>
      </c>
      <c r="AB434" s="248">
        <v>4</v>
      </c>
      <c r="AC434" s="236">
        <v>0</v>
      </c>
      <c r="AD434" s="191">
        <v>2</v>
      </c>
      <c r="AE434" s="248">
        <v>1</v>
      </c>
      <c r="AF434" s="151" t="s">
        <v>1117</v>
      </c>
    </row>
    <row r="435" spans="1:32" ht="27" customHeight="1">
      <c r="A435" s="175" t="s">
        <v>1323</v>
      </c>
      <c r="B435" s="176">
        <v>21</v>
      </c>
      <c r="C435" s="175" t="s">
        <v>1324</v>
      </c>
      <c r="D435" s="181">
        <v>9</v>
      </c>
      <c r="E435" s="182" t="s">
        <v>1331</v>
      </c>
      <c r="F435" s="189">
        <v>45264</v>
      </c>
      <c r="G435" s="204" t="s">
        <v>1493</v>
      </c>
      <c r="H435" s="65" t="s">
        <v>950</v>
      </c>
      <c r="I435" s="225">
        <v>20</v>
      </c>
      <c r="J435" s="443">
        <v>30</v>
      </c>
      <c r="K435" s="685">
        <v>30</v>
      </c>
      <c r="L435" s="684">
        <v>40</v>
      </c>
      <c r="M435" s="745">
        <f t="shared" si="13"/>
        <v>-10</v>
      </c>
      <c r="N435" s="179" t="s">
        <v>948</v>
      </c>
      <c r="O435" s="19" t="s">
        <v>948</v>
      </c>
      <c r="P435" s="19">
        <v>0</v>
      </c>
      <c r="Q435" s="19">
        <v>0</v>
      </c>
      <c r="R435" s="95" t="s">
        <v>1208</v>
      </c>
      <c r="S435" s="206">
        <v>0</v>
      </c>
      <c r="T435" s="241">
        <f>AVERAGE(60,80,200,200,200)</f>
        <v>148</v>
      </c>
      <c r="U435" s="643">
        <v>0</v>
      </c>
      <c r="V435" s="67" t="s">
        <v>714</v>
      </c>
      <c r="W435" s="191" t="s">
        <v>714</v>
      </c>
      <c r="X435" s="245">
        <v>0</v>
      </c>
      <c r="Y435" s="233">
        <v>1</v>
      </c>
      <c r="Z435" s="225">
        <v>0</v>
      </c>
      <c r="AA435" s="230">
        <v>1.61</v>
      </c>
      <c r="AB435" s="248">
        <v>3</v>
      </c>
      <c r="AC435" s="236">
        <v>0</v>
      </c>
      <c r="AD435" s="191">
        <v>0</v>
      </c>
      <c r="AE435" s="248">
        <v>2</v>
      </c>
      <c r="AF435" s="254" t="s">
        <v>1117</v>
      </c>
    </row>
    <row r="436" spans="1:32" s="147" customFormat="1" ht="27" customHeight="1">
      <c r="A436" s="192" t="s">
        <v>1323</v>
      </c>
      <c r="B436" s="193">
        <v>21</v>
      </c>
      <c r="C436" s="192" t="s">
        <v>1324</v>
      </c>
      <c r="D436" s="181">
        <v>10</v>
      </c>
      <c r="E436" s="182" t="s">
        <v>1332</v>
      </c>
      <c r="F436" s="65"/>
      <c r="G436" s="204" t="s">
        <v>1147</v>
      </c>
      <c r="H436" s="65" t="s">
        <v>1147</v>
      </c>
      <c r="I436" s="66" t="s">
        <v>1147</v>
      </c>
      <c r="J436" s="444"/>
      <c r="K436" s="685"/>
      <c r="L436" s="685"/>
      <c r="M436" s="745"/>
      <c r="N436" s="179"/>
      <c r="O436" s="179"/>
      <c r="P436" s="179"/>
      <c r="Q436" s="179"/>
      <c r="R436" s="65"/>
      <c r="S436" s="204"/>
      <c r="T436" s="66"/>
      <c r="U436" s="658"/>
      <c r="V436" s="204" t="s">
        <v>714</v>
      </c>
      <c r="W436" s="65" t="s">
        <v>714</v>
      </c>
      <c r="X436" s="245">
        <v>0</v>
      </c>
      <c r="Y436" s="228"/>
      <c r="Z436" s="66"/>
      <c r="AA436" s="221"/>
      <c r="AB436" s="66"/>
      <c r="AC436" s="228"/>
      <c r="AD436" s="65"/>
      <c r="AE436" s="66"/>
      <c r="AF436" s="151"/>
    </row>
    <row r="437" spans="1:32" s="147" customFormat="1" ht="27" customHeight="1">
      <c r="A437" s="192" t="s">
        <v>1323</v>
      </c>
      <c r="B437" s="193">
        <v>21</v>
      </c>
      <c r="C437" s="192" t="s">
        <v>1324</v>
      </c>
      <c r="D437" s="181">
        <v>11</v>
      </c>
      <c r="E437" s="182" t="s">
        <v>1333</v>
      </c>
      <c r="F437" s="189">
        <v>45250</v>
      </c>
      <c r="G437" s="204" t="s">
        <v>1492</v>
      </c>
      <c r="H437" s="65" t="s">
        <v>950</v>
      </c>
      <c r="I437" s="225">
        <v>15</v>
      </c>
      <c r="J437" s="443">
        <v>20</v>
      </c>
      <c r="K437" s="685">
        <v>20</v>
      </c>
      <c r="L437" s="684">
        <v>20</v>
      </c>
      <c r="M437" s="745">
        <f t="shared" ref="M437:M443" si="14">K437-L437</f>
        <v>0</v>
      </c>
      <c r="N437" s="16">
        <v>0</v>
      </c>
      <c r="O437" s="16">
        <v>0</v>
      </c>
      <c r="P437" s="19">
        <v>0</v>
      </c>
      <c r="Q437" s="19">
        <v>0</v>
      </c>
      <c r="R437" s="95" t="s">
        <v>944</v>
      </c>
      <c r="S437" s="206">
        <v>0.33</v>
      </c>
      <c r="T437" s="241">
        <f>AVERAGE(54,72,25,18,25)</f>
        <v>38.799999999999997</v>
      </c>
      <c r="U437" s="658">
        <v>0</v>
      </c>
      <c r="V437" s="67" t="s">
        <v>714</v>
      </c>
      <c r="W437" s="191" t="s">
        <v>714</v>
      </c>
      <c r="X437" s="245">
        <v>0</v>
      </c>
      <c r="Y437" s="233">
        <v>1</v>
      </c>
      <c r="Z437" s="248">
        <v>0</v>
      </c>
      <c r="AA437" s="230">
        <v>1.7</v>
      </c>
      <c r="AB437" s="248">
        <v>3</v>
      </c>
      <c r="AC437" s="236">
        <v>0</v>
      </c>
      <c r="AD437" s="191">
        <v>1</v>
      </c>
      <c r="AE437" s="248">
        <v>1</v>
      </c>
      <c r="AF437" s="254" t="s">
        <v>1117</v>
      </c>
    </row>
    <row r="438" spans="1:32" ht="27" customHeight="1">
      <c r="A438" s="175" t="s">
        <v>1323</v>
      </c>
      <c r="B438" s="176">
        <v>21</v>
      </c>
      <c r="C438" s="175" t="s">
        <v>1324</v>
      </c>
      <c r="D438" s="181">
        <v>12</v>
      </c>
      <c r="E438" s="182" t="s">
        <v>1334</v>
      </c>
      <c r="F438" s="189">
        <v>45288</v>
      </c>
      <c r="G438" s="204" t="s">
        <v>1490</v>
      </c>
      <c r="H438" s="65" t="s">
        <v>950</v>
      </c>
      <c r="I438" s="225">
        <v>15</v>
      </c>
      <c r="J438" s="443">
        <v>20</v>
      </c>
      <c r="K438" s="685">
        <v>20</v>
      </c>
      <c r="L438" s="684">
        <v>10</v>
      </c>
      <c r="M438" s="745">
        <f t="shared" si="14"/>
        <v>10</v>
      </c>
      <c r="N438" s="19">
        <v>0</v>
      </c>
      <c r="O438" s="19">
        <v>0</v>
      </c>
      <c r="P438" s="19">
        <v>0</v>
      </c>
      <c r="Q438" s="19">
        <v>0</v>
      </c>
      <c r="R438" s="95" t="s">
        <v>944</v>
      </c>
      <c r="S438" s="206">
        <v>0</v>
      </c>
      <c r="T438" s="241" t="s">
        <v>714</v>
      </c>
      <c r="U438" s="658">
        <v>0</v>
      </c>
      <c r="V438" s="67" t="s">
        <v>714</v>
      </c>
      <c r="W438" s="191" t="s">
        <v>714</v>
      </c>
      <c r="X438" s="245">
        <v>0</v>
      </c>
      <c r="Y438" s="233">
        <v>1</v>
      </c>
      <c r="Z438" s="225">
        <v>0</v>
      </c>
      <c r="AA438" s="230">
        <v>425.94</v>
      </c>
      <c r="AB438" s="225">
        <v>8</v>
      </c>
      <c r="AC438" s="236"/>
      <c r="AD438" s="191"/>
      <c r="AE438" s="248"/>
      <c r="AF438" s="254" t="s">
        <v>1036</v>
      </c>
    </row>
    <row r="439" spans="1:32" s="147" customFormat="1" ht="27" customHeight="1">
      <c r="A439" s="192" t="s">
        <v>1323</v>
      </c>
      <c r="B439" s="193">
        <v>21</v>
      </c>
      <c r="C439" s="192" t="s">
        <v>1324</v>
      </c>
      <c r="D439" s="181">
        <v>13</v>
      </c>
      <c r="E439" s="182" t="s">
        <v>1335</v>
      </c>
      <c r="F439" s="189">
        <v>45262</v>
      </c>
      <c r="G439" s="204" t="s">
        <v>1490</v>
      </c>
      <c r="H439" s="65" t="s">
        <v>950</v>
      </c>
      <c r="I439" s="225">
        <v>20</v>
      </c>
      <c r="J439" s="443">
        <v>70</v>
      </c>
      <c r="K439" s="685">
        <v>70</v>
      </c>
      <c r="L439" s="684">
        <v>60</v>
      </c>
      <c r="M439" s="745">
        <f t="shared" si="14"/>
        <v>10</v>
      </c>
      <c r="N439" s="19">
        <v>0</v>
      </c>
      <c r="O439" s="19">
        <v>0</v>
      </c>
      <c r="P439" s="19">
        <v>0</v>
      </c>
      <c r="Q439" s="19">
        <v>0</v>
      </c>
      <c r="R439" s="95" t="s">
        <v>1503</v>
      </c>
      <c r="S439" s="206">
        <v>0</v>
      </c>
      <c r="T439" s="245">
        <v>50</v>
      </c>
      <c r="U439" s="658">
        <v>0</v>
      </c>
      <c r="V439" s="67" t="s">
        <v>714</v>
      </c>
      <c r="W439" s="191" t="s">
        <v>714</v>
      </c>
      <c r="X439" s="245">
        <v>0</v>
      </c>
      <c r="Y439" s="233">
        <v>1</v>
      </c>
      <c r="Z439" s="225">
        <v>0</v>
      </c>
      <c r="AA439" s="230">
        <v>21.7</v>
      </c>
      <c r="AB439" s="248" t="s">
        <v>973</v>
      </c>
      <c r="AC439" s="236"/>
      <c r="AD439" s="191"/>
      <c r="AE439" s="248"/>
      <c r="AF439" s="151" t="s">
        <v>1117</v>
      </c>
    </row>
    <row r="440" spans="1:32" s="147" customFormat="1" ht="27" customHeight="1">
      <c r="A440" s="192" t="s">
        <v>1323</v>
      </c>
      <c r="B440" s="193">
        <v>21</v>
      </c>
      <c r="C440" s="192" t="s">
        <v>1324</v>
      </c>
      <c r="D440" s="181">
        <v>14</v>
      </c>
      <c r="E440" s="182" t="s">
        <v>1336</v>
      </c>
      <c r="F440" s="189">
        <v>45262</v>
      </c>
      <c r="G440" s="204" t="s">
        <v>1490</v>
      </c>
      <c r="H440" s="65" t="s">
        <v>950</v>
      </c>
      <c r="I440" s="225">
        <v>20</v>
      </c>
      <c r="J440" s="443">
        <v>40</v>
      </c>
      <c r="K440" s="685">
        <v>40</v>
      </c>
      <c r="L440" s="684">
        <v>20</v>
      </c>
      <c r="M440" s="745">
        <f t="shared" si="14"/>
        <v>20</v>
      </c>
      <c r="N440" s="16">
        <v>0</v>
      </c>
      <c r="O440" s="16">
        <v>0</v>
      </c>
      <c r="P440" s="16">
        <v>0</v>
      </c>
      <c r="Q440" s="16">
        <v>0</v>
      </c>
      <c r="R440" s="95" t="s">
        <v>1208</v>
      </c>
      <c r="S440" s="206">
        <v>0</v>
      </c>
      <c r="T440" s="245" t="s">
        <v>1642</v>
      </c>
      <c r="U440" s="643">
        <v>0</v>
      </c>
      <c r="V440" s="67" t="s">
        <v>714</v>
      </c>
      <c r="W440" s="191" t="s">
        <v>714</v>
      </c>
      <c r="X440" s="245">
        <v>0</v>
      </c>
      <c r="Y440" s="233">
        <v>1</v>
      </c>
      <c r="Z440" s="248">
        <v>0</v>
      </c>
      <c r="AA440" s="230">
        <v>8.98</v>
      </c>
      <c r="AB440" s="248">
        <v>4</v>
      </c>
      <c r="AC440" s="236"/>
      <c r="AD440" s="191"/>
      <c r="AE440" s="248"/>
      <c r="AF440" s="254" t="s">
        <v>1495</v>
      </c>
    </row>
    <row r="441" spans="1:32" s="147" customFormat="1" ht="27" customHeight="1">
      <c r="A441" s="192" t="s">
        <v>1323</v>
      </c>
      <c r="B441" s="193">
        <v>21</v>
      </c>
      <c r="C441" s="192" t="s">
        <v>1324</v>
      </c>
      <c r="D441" s="181">
        <v>15</v>
      </c>
      <c r="E441" s="182" t="s">
        <v>1337</v>
      </c>
      <c r="F441" s="189">
        <v>45229</v>
      </c>
      <c r="G441" s="204" t="s">
        <v>1490</v>
      </c>
      <c r="H441" s="65" t="s">
        <v>950</v>
      </c>
      <c r="I441" s="225">
        <v>20</v>
      </c>
      <c r="J441" s="443">
        <v>80</v>
      </c>
      <c r="K441" s="685">
        <v>80</v>
      </c>
      <c r="L441" s="684">
        <v>70</v>
      </c>
      <c r="M441" s="745">
        <f t="shared" si="14"/>
        <v>10</v>
      </c>
      <c r="N441" s="16">
        <v>0</v>
      </c>
      <c r="O441" s="16">
        <v>0</v>
      </c>
      <c r="P441" s="16">
        <v>0</v>
      </c>
      <c r="Q441" s="16">
        <v>0</v>
      </c>
      <c r="R441" s="95" t="s">
        <v>1208</v>
      </c>
      <c r="S441" s="206">
        <v>0</v>
      </c>
      <c r="T441" s="241">
        <f>AVERAGE(110,90,90,90,90)</f>
        <v>94</v>
      </c>
      <c r="U441" s="658">
        <v>0</v>
      </c>
      <c r="V441" s="67" t="s">
        <v>714</v>
      </c>
      <c r="W441" s="191" t="s">
        <v>714</v>
      </c>
      <c r="X441" s="245">
        <v>0</v>
      </c>
      <c r="Y441" s="233">
        <v>1</v>
      </c>
      <c r="Z441" s="225">
        <v>0</v>
      </c>
      <c r="AA441" s="230">
        <v>21.9</v>
      </c>
      <c r="AB441" s="248" t="s">
        <v>973</v>
      </c>
      <c r="AC441" s="236">
        <v>3</v>
      </c>
      <c r="AD441" s="191">
        <v>0</v>
      </c>
      <c r="AE441" s="248">
        <v>2</v>
      </c>
      <c r="AF441" s="254" t="s">
        <v>1117</v>
      </c>
    </row>
    <row r="442" spans="1:32" ht="27" customHeight="1">
      <c r="A442" s="175" t="s">
        <v>1323</v>
      </c>
      <c r="B442" s="176">
        <v>21</v>
      </c>
      <c r="C442" s="175" t="s">
        <v>1324</v>
      </c>
      <c r="D442" s="181">
        <v>16</v>
      </c>
      <c r="E442" s="182" t="s">
        <v>1338</v>
      </c>
      <c r="F442" s="189">
        <v>45278</v>
      </c>
      <c r="G442" s="204" t="s">
        <v>1494</v>
      </c>
      <c r="H442" s="65" t="s">
        <v>950</v>
      </c>
      <c r="I442" s="225">
        <v>30</v>
      </c>
      <c r="J442" s="443">
        <v>10</v>
      </c>
      <c r="K442" s="685">
        <v>10</v>
      </c>
      <c r="L442" s="620">
        <v>10</v>
      </c>
      <c r="M442" s="745">
        <f t="shared" si="14"/>
        <v>0</v>
      </c>
      <c r="N442" s="206" t="s">
        <v>985</v>
      </c>
      <c r="O442" s="16" t="s">
        <v>948</v>
      </c>
      <c r="P442" s="16">
        <v>0</v>
      </c>
      <c r="Q442" s="19">
        <v>0</v>
      </c>
      <c r="R442" s="95" t="s">
        <v>944</v>
      </c>
      <c r="S442" s="206">
        <v>7</v>
      </c>
      <c r="T442" s="645">
        <v>40</v>
      </c>
      <c r="U442" s="658">
        <v>0</v>
      </c>
      <c r="V442" s="67" t="s">
        <v>714</v>
      </c>
      <c r="W442" s="191" t="s">
        <v>714</v>
      </c>
      <c r="X442" s="245">
        <v>0</v>
      </c>
      <c r="Y442" s="233">
        <v>2</v>
      </c>
      <c r="Z442" s="248" t="s">
        <v>948</v>
      </c>
      <c r="AA442" s="230">
        <v>9.41</v>
      </c>
      <c r="AB442" s="248">
        <v>4</v>
      </c>
      <c r="AC442" s="236">
        <v>0</v>
      </c>
      <c r="AD442" s="191">
        <v>0</v>
      </c>
      <c r="AE442" s="248">
        <v>6</v>
      </c>
      <c r="AF442" s="254" t="s">
        <v>1036</v>
      </c>
    </row>
    <row r="443" spans="1:32" ht="27" customHeight="1">
      <c r="A443" s="175" t="s">
        <v>1323</v>
      </c>
      <c r="B443" s="176">
        <v>21</v>
      </c>
      <c r="C443" s="175" t="s">
        <v>1324</v>
      </c>
      <c r="D443" s="181">
        <v>17</v>
      </c>
      <c r="E443" s="182" t="s">
        <v>1339</v>
      </c>
      <c r="F443" s="189">
        <v>45278</v>
      </c>
      <c r="G443" s="204" t="s">
        <v>1494</v>
      </c>
      <c r="H443" s="65" t="s">
        <v>950</v>
      </c>
      <c r="I443" s="66">
        <v>40</v>
      </c>
      <c r="J443" s="444" t="s">
        <v>948</v>
      </c>
      <c r="K443" s="621">
        <v>2.5</v>
      </c>
      <c r="L443" s="621">
        <v>2.5</v>
      </c>
      <c r="M443" s="745">
        <f t="shared" si="14"/>
        <v>0</v>
      </c>
      <c r="N443" s="19">
        <v>0</v>
      </c>
      <c r="O443" s="19">
        <v>0</v>
      </c>
      <c r="P443" s="19">
        <v>0</v>
      </c>
      <c r="Q443" s="19">
        <v>0</v>
      </c>
      <c r="R443" s="95" t="s">
        <v>944</v>
      </c>
      <c r="S443" s="204">
        <v>0</v>
      </c>
      <c r="T443" s="246">
        <f>AVERAGE(30,20,20,20,20)</f>
        <v>22</v>
      </c>
      <c r="U443" s="658">
        <v>0</v>
      </c>
      <c r="V443" s="204" t="s">
        <v>714</v>
      </c>
      <c r="W443" s="65" t="s">
        <v>714</v>
      </c>
      <c r="X443" s="245">
        <v>0</v>
      </c>
      <c r="Y443" s="233">
        <v>2</v>
      </c>
      <c r="Z443" s="66" t="s">
        <v>948</v>
      </c>
      <c r="AA443" s="221">
        <v>65.16</v>
      </c>
      <c r="AB443" s="66">
        <v>6</v>
      </c>
      <c r="AC443" s="233">
        <v>1</v>
      </c>
      <c r="AD443" s="19">
        <v>0</v>
      </c>
      <c r="AE443" s="225">
        <v>4</v>
      </c>
      <c r="AF443" s="254" t="s">
        <v>1036</v>
      </c>
    </row>
    <row r="444" spans="1:32" s="147" customFormat="1" ht="27" customHeight="1" thickBot="1">
      <c r="A444" s="302" t="s">
        <v>1323</v>
      </c>
      <c r="B444" s="303">
        <v>21</v>
      </c>
      <c r="C444" s="302" t="s">
        <v>1324</v>
      </c>
      <c r="D444" s="265">
        <v>18</v>
      </c>
      <c r="E444" s="308" t="s">
        <v>1340</v>
      </c>
      <c r="F444" s="278">
        <v>45198</v>
      </c>
      <c r="G444" s="326" t="s">
        <v>1490</v>
      </c>
      <c r="H444" s="279" t="s">
        <v>950</v>
      </c>
      <c r="I444" s="286">
        <v>15</v>
      </c>
      <c r="J444" s="693">
        <v>20</v>
      </c>
      <c r="K444" s="720">
        <v>20</v>
      </c>
      <c r="L444" s="623"/>
      <c r="M444" s="746"/>
      <c r="N444" s="44">
        <v>0</v>
      </c>
      <c r="O444" s="44">
        <v>0</v>
      </c>
      <c r="P444" s="44">
        <v>0</v>
      </c>
      <c r="Q444" s="44">
        <v>0</v>
      </c>
      <c r="R444" s="103" t="s">
        <v>944</v>
      </c>
      <c r="S444" s="281">
        <v>0</v>
      </c>
      <c r="T444" s="284">
        <f>AVERAGE(30,10,10,20,40)</f>
        <v>22</v>
      </c>
      <c r="U444" s="664">
        <v>0</v>
      </c>
      <c r="V444" s="375" t="s">
        <v>714</v>
      </c>
      <c r="W444" s="360" t="s">
        <v>714</v>
      </c>
      <c r="X444" s="674">
        <v>0</v>
      </c>
      <c r="Y444" s="285">
        <v>1</v>
      </c>
      <c r="Z444" s="296">
        <v>0</v>
      </c>
      <c r="AA444" s="295">
        <v>49.3</v>
      </c>
      <c r="AB444" s="296" t="s">
        <v>988</v>
      </c>
      <c r="AC444" s="304">
        <v>5</v>
      </c>
      <c r="AD444" s="360">
        <v>0</v>
      </c>
      <c r="AE444" s="296">
        <v>2</v>
      </c>
      <c r="AF444" s="297" t="s">
        <v>1036</v>
      </c>
    </row>
    <row r="445" spans="1:32" s="147" customFormat="1" ht="27" customHeight="1" thickTop="1">
      <c r="A445" s="298" t="s">
        <v>1341</v>
      </c>
      <c r="B445" s="299">
        <v>22</v>
      </c>
      <c r="C445" s="298" t="s">
        <v>1342</v>
      </c>
      <c r="D445" s="289">
        <v>1</v>
      </c>
      <c r="E445" s="289" t="s">
        <v>1001</v>
      </c>
      <c r="F445" s="300">
        <v>45231</v>
      </c>
      <c r="G445" s="361" t="s">
        <v>1343</v>
      </c>
      <c r="H445" s="152" t="s">
        <v>950</v>
      </c>
      <c r="I445" s="262"/>
      <c r="J445" s="691">
        <v>30</v>
      </c>
      <c r="K445" s="726">
        <v>30</v>
      </c>
      <c r="L445" s="683">
        <v>30</v>
      </c>
      <c r="M445" s="687">
        <f>K445-L445</f>
        <v>0</v>
      </c>
      <c r="N445" s="724" t="s">
        <v>948</v>
      </c>
      <c r="O445" s="724">
        <v>0</v>
      </c>
      <c r="P445" s="724">
        <v>0</v>
      </c>
      <c r="Q445" s="724">
        <v>0</v>
      </c>
      <c r="R445" s="155" t="s">
        <v>1346</v>
      </c>
      <c r="S445" s="724">
        <v>0</v>
      </c>
      <c r="T445" s="676">
        <f>AVERAGE(100,100,90,90,80)</f>
        <v>92</v>
      </c>
      <c r="U445" s="665">
        <v>0</v>
      </c>
      <c r="V445" s="374" t="s">
        <v>714</v>
      </c>
      <c r="W445" s="361" t="s">
        <v>714</v>
      </c>
      <c r="X445" s="676">
        <v>0</v>
      </c>
      <c r="Y445" s="261">
        <v>1</v>
      </c>
      <c r="Z445" s="262">
        <v>0</v>
      </c>
      <c r="AA445" s="366">
        <v>23.71</v>
      </c>
      <c r="AB445" s="436" t="s">
        <v>973</v>
      </c>
      <c r="AC445" s="307"/>
      <c r="AD445" s="361"/>
      <c r="AE445" s="262"/>
      <c r="AF445" s="301" t="s">
        <v>1117</v>
      </c>
    </row>
    <row r="446" spans="1:32" s="147" customFormat="1" ht="27" customHeight="1">
      <c r="A446" s="207" t="s">
        <v>1341</v>
      </c>
      <c r="B446" s="208">
        <v>22</v>
      </c>
      <c r="C446" s="207" t="s">
        <v>1342</v>
      </c>
      <c r="D446" s="213">
        <v>2</v>
      </c>
      <c r="E446" s="213" t="s">
        <v>1344</v>
      </c>
      <c r="F446" s="209">
        <v>45223</v>
      </c>
      <c r="G446" s="191" t="s">
        <v>1343</v>
      </c>
      <c r="H446" s="65" t="s">
        <v>950</v>
      </c>
      <c r="I446" s="248"/>
      <c r="J446" s="710" t="s">
        <v>948</v>
      </c>
      <c r="K446" s="621">
        <v>2.5</v>
      </c>
      <c r="L446" s="625">
        <v>2.5</v>
      </c>
      <c r="M446" s="687">
        <v>0</v>
      </c>
      <c r="N446" s="721">
        <v>0</v>
      </c>
      <c r="O446" s="721">
        <v>0</v>
      </c>
      <c r="P446" s="721">
        <v>0</v>
      </c>
      <c r="Q446" s="721">
        <v>0</v>
      </c>
      <c r="R446" s="95" t="s">
        <v>944</v>
      </c>
      <c r="S446" s="721">
        <v>0</v>
      </c>
      <c r="T446" s="677">
        <f>AVERAGE(50,50,50,40,40)</f>
        <v>46</v>
      </c>
      <c r="U446" s="666">
        <v>0</v>
      </c>
      <c r="V446" s="67" t="s">
        <v>714</v>
      </c>
      <c r="W446" s="191" t="s">
        <v>714</v>
      </c>
      <c r="X446" s="677">
        <v>0</v>
      </c>
      <c r="Y446" s="233">
        <v>1</v>
      </c>
      <c r="Z446" s="248">
        <v>0</v>
      </c>
      <c r="AA446" s="435">
        <v>10.5</v>
      </c>
      <c r="AB446" s="437" t="s">
        <v>973</v>
      </c>
      <c r="AC446" s="236">
        <v>13</v>
      </c>
      <c r="AD446" s="191">
        <v>5</v>
      </c>
      <c r="AE446" s="248">
        <v>7</v>
      </c>
      <c r="AF446" s="254" t="s">
        <v>1036</v>
      </c>
    </row>
    <row r="447" spans="1:32" s="147" customFormat="1" ht="27" customHeight="1">
      <c r="A447" s="207" t="s">
        <v>1341</v>
      </c>
      <c r="B447" s="208">
        <v>22</v>
      </c>
      <c r="C447" s="207" t="s">
        <v>1342</v>
      </c>
      <c r="D447" s="213">
        <v>3</v>
      </c>
      <c r="E447" s="213" t="s">
        <v>1002</v>
      </c>
      <c r="F447" s="209">
        <v>45223</v>
      </c>
      <c r="G447" s="191" t="s">
        <v>1343</v>
      </c>
      <c r="H447" s="65" t="s">
        <v>950</v>
      </c>
      <c r="I447" s="248"/>
      <c r="J447" s="443">
        <v>20</v>
      </c>
      <c r="K447" s="685">
        <v>20</v>
      </c>
      <c r="L447" s="684">
        <v>10</v>
      </c>
      <c r="M447" s="687">
        <f t="shared" ref="M447:M452" si="15">K447-L447</f>
        <v>10</v>
      </c>
      <c r="N447" s="721" t="s">
        <v>948</v>
      </c>
      <c r="O447" s="721">
        <v>0</v>
      </c>
      <c r="P447" s="721">
        <v>0</v>
      </c>
      <c r="Q447" s="721">
        <v>0</v>
      </c>
      <c r="R447" s="95" t="s">
        <v>1208</v>
      </c>
      <c r="S447" s="210">
        <v>1.6666666666666667</v>
      </c>
      <c r="T447" s="677">
        <f>AVERAGE(120,100,100,80,80)</f>
        <v>96</v>
      </c>
      <c r="U447" s="666">
        <v>2</v>
      </c>
      <c r="V447" s="376" t="s">
        <v>1661</v>
      </c>
      <c r="W447" s="191" t="s">
        <v>1661</v>
      </c>
      <c r="X447" s="677" t="s">
        <v>948</v>
      </c>
      <c r="Y447" s="233">
        <v>2</v>
      </c>
      <c r="Z447" s="248" t="s">
        <v>948</v>
      </c>
      <c r="AA447" s="435">
        <v>9.42</v>
      </c>
      <c r="AB447" s="437">
        <v>4</v>
      </c>
      <c r="AC447" s="236">
        <v>0</v>
      </c>
      <c r="AD447" s="191">
        <v>8</v>
      </c>
      <c r="AE447" s="248">
        <v>5</v>
      </c>
      <c r="AF447" s="254" t="s">
        <v>1036</v>
      </c>
    </row>
    <row r="448" spans="1:32" s="147" customFormat="1" ht="27" customHeight="1">
      <c r="A448" s="207" t="s">
        <v>1341</v>
      </c>
      <c r="B448" s="208">
        <v>22</v>
      </c>
      <c r="C448" s="207" t="s">
        <v>1342</v>
      </c>
      <c r="D448" s="213">
        <v>4</v>
      </c>
      <c r="E448" s="213" t="s">
        <v>1003</v>
      </c>
      <c r="F448" s="209">
        <v>45232</v>
      </c>
      <c r="G448" s="191" t="s">
        <v>1343</v>
      </c>
      <c r="H448" s="65" t="s">
        <v>950</v>
      </c>
      <c r="I448" s="248"/>
      <c r="J448" s="443">
        <v>40</v>
      </c>
      <c r="K448" s="685">
        <v>40</v>
      </c>
      <c r="L448" s="684">
        <v>30</v>
      </c>
      <c r="M448" s="687">
        <f t="shared" si="15"/>
        <v>10</v>
      </c>
      <c r="N448" s="721" t="s">
        <v>948</v>
      </c>
      <c r="O448" s="721">
        <v>0</v>
      </c>
      <c r="P448" s="721">
        <v>0</v>
      </c>
      <c r="Q448" s="721">
        <v>0</v>
      </c>
      <c r="R448" s="95" t="s">
        <v>1101</v>
      </c>
      <c r="S448" s="721">
        <v>0</v>
      </c>
      <c r="T448" s="677">
        <v>60</v>
      </c>
      <c r="U448" s="666">
        <v>0</v>
      </c>
      <c r="V448" s="67" t="s">
        <v>714</v>
      </c>
      <c r="W448" s="191" t="s">
        <v>714</v>
      </c>
      <c r="X448" s="677">
        <v>0</v>
      </c>
      <c r="Y448" s="233">
        <v>1</v>
      </c>
      <c r="Z448" s="248">
        <v>0</v>
      </c>
      <c r="AA448" s="435">
        <v>3.5</v>
      </c>
      <c r="AB448" s="437">
        <v>3</v>
      </c>
      <c r="AC448" s="236">
        <v>0</v>
      </c>
      <c r="AD448" s="191">
        <v>0</v>
      </c>
      <c r="AE448" s="248">
        <v>5</v>
      </c>
      <c r="AF448" s="254" t="s">
        <v>1036</v>
      </c>
    </row>
    <row r="449" spans="1:32" s="147" customFormat="1" ht="27" customHeight="1">
      <c r="A449" s="207" t="s">
        <v>1341</v>
      </c>
      <c r="B449" s="208">
        <v>22</v>
      </c>
      <c r="C449" s="207" t="s">
        <v>1342</v>
      </c>
      <c r="D449" s="213">
        <v>5</v>
      </c>
      <c r="E449" s="213" t="s">
        <v>1004</v>
      </c>
      <c r="F449" s="211">
        <v>45232</v>
      </c>
      <c r="G449" s="191" t="s">
        <v>1343</v>
      </c>
      <c r="H449" s="65" t="s">
        <v>950</v>
      </c>
      <c r="I449" s="248"/>
      <c r="J449" s="443">
        <v>30</v>
      </c>
      <c r="K449" s="685">
        <v>30</v>
      </c>
      <c r="L449" s="684">
        <v>20</v>
      </c>
      <c r="M449" s="687">
        <f t="shared" si="15"/>
        <v>10</v>
      </c>
      <c r="N449" s="721" t="s">
        <v>948</v>
      </c>
      <c r="O449" s="721" t="s">
        <v>948</v>
      </c>
      <c r="P449" s="721">
        <v>0</v>
      </c>
      <c r="Q449" s="721">
        <v>0</v>
      </c>
      <c r="R449" s="95" t="s">
        <v>1101</v>
      </c>
      <c r="S449" s="751">
        <v>0</v>
      </c>
      <c r="T449" s="753">
        <f>AVERAGE(60,30)</f>
        <v>45</v>
      </c>
      <c r="U449" s="666">
        <v>3</v>
      </c>
      <c r="V449" s="376" t="s">
        <v>955</v>
      </c>
      <c r="W449" s="191" t="s">
        <v>955</v>
      </c>
      <c r="X449" s="677" t="s">
        <v>948</v>
      </c>
      <c r="Y449" s="233">
        <v>2</v>
      </c>
      <c r="Z449" s="248" t="s">
        <v>948</v>
      </c>
      <c r="AA449" s="435">
        <v>10.15</v>
      </c>
      <c r="AB449" s="437" t="s">
        <v>973</v>
      </c>
      <c r="AC449" s="236"/>
      <c r="AD449" s="191"/>
      <c r="AE449" s="248"/>
      <c r="AF449" s="254" t="s">
        <v>1036</v>
      </c>
    </row>
    <row r="450" spans="1:32" s="147" customFormat="1" ht="27" customHeight="1">
      <c r="A450" s="207" t="s">
        <v>1341</v>
      </c>
      <c r="B450" s="208">
        <v>22</v>
      </c>
      <c r="C450" s="207" t="s">
        <v>1342</v>
      </c>
      <c r="D450" s="213">
        <v>6</v>
      </c>
      <c r="E450" s="213" t="s">
        <v>1345</v>
      </c>
      <c r="F450" s="209">
        <v>45223</v>
      </c>
      <c r="G450" s="191" t="s">
        <v>1343</v>
      </c>
      <c r="H450" s="65" t="s">
        <v>950</v>
      </c>
      <c r="I450" s="248"/>
      <c r="J450" s="443">
        <v>40</v>
      </c>
      <c r="K450" s="685">
        <v>40</v>
      </c>
      <c r="L450" s="684">
        <v>40</v>
      </c>
      <c r="M450" s="687">
        <f t="shared" si="15"/>
        <v>0</v>
      </c>
      <c r="N450" s="721">
        <v>0</v>
      </c>
      <c r="O450" s="721">
        <v>0</v>
      </c>
      <c r="P450" s="721">
        <v>0</v>
      </c>
      <c r="Q450" s="721">
        <v>0</v>
      </c>
      <c r="R450" s="158" t="s">
        <v>1346</v>
      </c>
      <c r="S450" s="751">
        <v>0</v>
      </c>
      <c r="T450" s="753">
        <f>AVERAGE(150,100,120,100,80)</f>
        <v>110</v>
      </c>
      <c r="U450" s="666">
        <v>0</v>
      </c>
      <c r="V450" s="67" t="s">
        <v>714</v>
      </c>
      <c r="W450" s="191" t="s">
        <v>714</v>
      </c>
      <c r="X450" s="677"/>
      <c r="Y450" s="236">
        <v>3</v>
      </c>
      <c r="Z450" s="248" t="s">
        <v>948</v>
      </c>
      <c r="AA450" s="230">
        <v>16.170000000000002</v>
      </c>
      <c r="AB450" s="437" t="s">
        <v>973</v>
      </c>
      <c r="AC450" s="236">
        <v>1</v>
      </c>
      <c r="AD450" s="191">
        <v>1</v>
      </c>
      <c r="AE450" s="248">
        <v>0</v>
      </c>
      <c r="AF450" s="254" t="s">
        <v>1117</v>
      </c>
    </row>
    <row r="451" spans="1:32" ht="27" customHeight="1">
      <c r="A451" s="212" t="s">
        <v>1341</v>
      </c>
      <c r="B451" s="213">
        <v>22</v>
      </c>
      <c r="C451" s="212" t="s">
        <v>1342</v>
      </c>
      <c r="D451" s="213">
        <v>7</v>
      </c>
      <c r="E451" s="213" t="s">
        <v>1005</v>
      </c>
      <c r="F451" s="209">
        <v>45268</v>
      </c>
      <c r="G451" s="191" t="s">
        <v>1343</v>
      </c>
      <c r="H451" s="65" t="s">
        <v>950</v>
      </c>
      <c r="I451" s="248"/>
      <c r="J451" s="443">
        <v>30</v>
      </c>
      <c r="K451" s="685">
        <v>30</v>
      </c>
      <c r="L451" s="684">
        <v>40</v>
      </c>
      <c r="M451" s="687">
        <f t="shared" si="15"/>
        <v>-10</v>
      </c>
      <c r="N451" s="721" t="s">
        <v>948</v>
      </c>
      <c r="O451" s="721">
        <v>0</v>
      </c>
      <c r="P451" s="721" t="s">
        <v>948</v>
      </c>
      <c r="Q451" s="721">
        <v>0</v>
      </c>
      <c r="R451" s="95" t="s">
        <v>1208</v>
      </c>
      <c r="S451" s="427">
        <v>0.33333333333333331</v>
      </c>
      <c r="T451" s="755">
        <f>AVERAGE(220,180,180,130,130)</f>
        <v>168</v>
      </c>
      <c r="U451" s="666">
        <v>6</v>
      </c>
      <c r="V451" s="376" t="s">
        <v>714</v>
      </c>
      <c r="W451" s="191" t="s">
        <v>714</v>
      </c>
      <c r="X451" s="677" t="s">
        <v>948</v>
      </c>
      <c r="Y451" s="232">
        <v>2</v>
      </c>
      <c r="Z451" s="248" t="s">
        <v>948</v>
      </c>
      <c r="AA451" s="230">
        <v>5.43</v>
      </c>
      <c r="AB451" s="437">
        <v>4</v>
      </c>
      <c r="AC451" s="236">
        <v>0</v>
      </c>
      <c r="AD451" s="191">
        <v>0</v>
      </c>
      <c r="AE451" s="248">
        <v>6</v>
      </c>
      <c r="AF451" s="254" t="s">
        <v>1117</v>
      </c>
    </row>
    <row r="452" spans="1:32" s="147" customFormat="1" ht="27" customHeight="1">
      <c r="A452" s="207" t="s">
        <v>1341</v>
      </c>
      <c r="B452" s="208">
        <v>22</v>
      </c>
      <c r="C452" s="207" t="s">
        <v>1342</v>
      </c>
      <c r="D452" s="213">
        <v>8</v>
      </c>
      <c r="E452" s="213" t="s">
        <v>1347</v>
      </c>
      <c r="F452" s="209">
        <v>45268</v>
      </c>
      <c r="G452" s="191" t="s">
        <v>1343</v>
      </c>
      <c r="H452" s="65" t="s">
        <v>950</v>
      </c>
      <c r="I452" s="248"/>
      <c r="J452" s="443">
        <v>30</v>
      </c>
      <c r="K452" s="685">
        <v>30</v>
      </c>
      <c r="L452" s="684">
        <v>40</v>
      </c>
      <c r="M452" s="687">
        <f t="shared" si="15"/>
        <v>-10</v>
      </c>
      <c r="N452" s="721" t="s">
        <v>948</v>
      </c>
      <c r="O452" s="721">
        <v>0</v>
      </c>
      <c r="P452" s="721">
        <v>0</v>
      </c>
      <c r="Q452" s="721">
        <v>0</v>
      </c>
      <c r="R452" s="95" t="s">
        <v>1208</v>
      </c>
      <c r="S452" s="751">
        <v>0</v>
      </c>
      <c r="T452" s="755">
        <f>AVERAGE(250,100,110,120,90)</f>
        <v>134</v>
      </c>
      <c r="U452" s="666">
        <v>0</v>
      </c>
      <c r="V452" s="376" t="s">
        <v>714</v>
      </c>
      <c r="W452" s="191" t="s">
        <v>714</v>
      </c>
      <c r="X452" s="677" t="s">
        <v>948</v>
      </c>
      <c r="Y452" s="232">
        <v>2</v>
      </c>
      <c r="Z452" s="248" t="s">
        <v>948</v>
      </c>
      <c r="AA452" s="230">
        <v>11.4</v>
      </c>
      <c r="AB452" s="437" t="s">
        <v>973</v>
      </c>
      <c r="AC452" s="236">
        <v>2</v>
      </c>
      <c r="AD452" s="191">
        <v>0</v>
      </c>
      <c r="AE452" s="248">
        <v>4</v>
      </c>
      <c r="AF452" s="254" t="s">
        <v>1117</v>
      </c>
    </row>
    <row r="453" spans="1:32" s="147" customFormat="1" ht="27" customHeight="1">
      <c r="A453" s="207" t="s">
        <v>1341</v>
      </c>
      <c r="B453" s="208">
        <v>22</v>
      </c>
      <c r="C453" s="207" t="s">
        <v>1342</v>
      </c>
      <c r="D453" s="213">
        <v>9</v>
      </c>
      <c r="E453" s="213" t="s">
        <v>1348</v>
      </c>
      <c r="F453" s="209">
        <v>45268</v>
      </c>
      <c r="G453" s="191" t="s">
        <v>1343</v>
      </c>
      <c r="H453" s="65" t="s">
        <v>950</v>
      </c>
      <c r="I453" s="248"/>
      <c r="J453" s="710" t="s">
        <v>948</v>
      </c>
      <c r="K453" s="621">
        <v>2.5</v>
      </c>
      <c r="L453" s="625">
        <v>2.5</v>
      </c>
      <c r="M453" s="687">
        <v>0</v>
      </c>
      <c r="N453" s="721">
        <v>0</v>
      </c>
      <c r="O453" s="721">
        <v>0</v>
      </c>
      <c r="P453" s="721">
        <v>0</v>
      </c>
      <c r="Q453" s="721">
        <v>0</v>
      </c>
      <c r="R453" s="95" t="s">
        <v>944</v>
      </c>
      <c r="S453" s="427">
        <v>1</v>
      </c>
      <c r="T453" s="755">
        <f>AVERAGE(23,15,15,15,17)</f>
        <v>17</v>
      </c>
      <c r="U453" s="666">
        <v>0</v>
      </c>
      <c r="V453" s="67" t="s">
        <v>714</v>
      </c>
      <c r="W453" s="191" t="s">
        <v>714</v>
      </c>
      <c r="X453" s="677">
        <v>0</v>
      </c>
      <c r="Y453" s="233">
        <v>1</v>
      </c>
      <c r="Z453" s="248">
        <v>0</v>
      </c>
      <c r="AA453" s="230">
        <v>5.08</v>
      </c>
      <c r="AB453" s="437">
        <v>4</v>
      </c>
      <c r="AC453" s="236">
        <v>5</v>
      </c>
      <c r="AD453" s="191">
        <v>0</v>
      </c>
      <c r="AE453" s="248">
        <v>0</v>
      </c>
      <c r="AF453" s="254" t="s">
        <v>1036</v>
      </c>
    </row>
    <row r="454" spans="1:32" s="147" customFormat="1" ht="27" customHeight="1">
      <c r="A454" s="207" t="s">
        <v>1341</v>
      </c>
      <c r="B454" s="208">
        <v>22</v>
      </c>
      <c r="C454" s="207" t="s">
        <v>1342</v>
      </c>
      <c r="D454" s="213">
        <v>10</v>
      </c>
      <c r="E454" s="213" t="s">
        <v>1349</v>
      </c>
      <c r="F454" s="209">
        <v>45232</v>
      </c>
      <c r="G454" s="191" t="s">
        <v>1343</v>
      </c>
      <c r="H454" s="65" t="s">
        <v>950</v>
      </c>
      <c r="I454" s="248"/>
      <c r="J454" s="443">
        <v>20</v>
      </c>
      <c r="K454" s="685">
        <v>20</v>
      </c>
      <c r="L454" s="684">
        <v>30</v>
      </c>
      <c r="M454" s="687">
        <f t="shared" ref="M454:M459" si="16">K454-L454</f>
        <v>-10</v>
      </c>
      <c r="N454" s="721" t="s">
        <v>948</v>
      </c>
      <c r="O454" s="721" t="s">
        <v>948</v>
      </c>
      <c r="P454" s="721">
        <v>0</v>
      </c>
      <c r="Q454" s="721">
        <v>0</v>
      </c>
      <c r="R454" s="95" t="s">
        <v>944</v>
      </c>
      <c r="S454" s="751">
        <v>0</v>
      </c>
      <c r="T454" s="755">
        <f>AVERAGE(60,40,40,40,30)</f>
        <v>42</v>
      </c>
      <c r="U454" s="666">
        <v>0</v>
      </c>
      <c r="V454" s="67" t="s">
        <v>714</v>
      </c>
      <c r="W454" s="191" t="s">
        <v>714</v>
      </c>
      <c r="X454" s="677">
        <v>0</v>
      </c>
      <c r="Y454" s="232">
        <v>2</v>
      </c>
      <c r="Z454" s="248" t="s">
        <v>948</v>
      </c>
      <c r="AA454" s="230">
        <v>21.72</v>
      </c>
      <c r="AB454" s="437" t="s">
        <v>973</v>
      </c>
      <c r="AC454" s="236"/>
      <c r="AD454" s="191"/>
      <c r="AE454" s="248"/>
      <c r="AF454" s="254" t="s">
        <v>1036</v>
      </c>
    </row>
    <row r="455" spans="1:32" s="147" customFormat="1" ht="27" customHeight="1">
      <c r="A455" s="207" t="s">
        <v>1341</v>
      </c>
      <c r="B455" s="208">
        <v>22</v>
      </c>
      <c r="C455" s="207" t="s">
        <v>1342</v>
      </c>
      <c r="D455" s="213">
        <v>11</v>
      </c>
      <c r="E455" s="213" t="s">
        <v>1350</v>
      </c>
      <c r="F455" s="209">
        <v>45232</v>
      </c>
      <c r="G455" s="191" t="s">
        <v>1343</v>
      </c>
      <c r="H455" s="65" t="s">
        <v>950</v>
      </c>
      <c r="I455" s="248"/>
      <c r="J455" s="443">
        <v>20</v>
      </c>
      <c r="K455" s="685">
        <v>20</v>
      </c>
      <c r="L455" s="684">
        <v>30</v>
      </c>
      <c r="M455" s="687">
        <f t="shared" si="16"/>
        <v>-10</v>
      </c>
      <c r="N455" s="721" t="s">
        <v>948</v>
      </c>
      <c r="O455" s="721" t="s">
        <v>948</v>
      </c>
      <c r="P455" s="721">
        <v>0</v>
      </c>
      <c r="Q455" s="721">
        <v>0</v>
      </c>
      <c r="R455" s="95" t="s">
        <v>1208</v>
      </c>
      <c r="S455" s="751">
        <v>0</v>
      </c>
      <c r="T455" s="755">
        <f>AVERAGE(50,60,60,50,70)</f>
        <v>58</v>
      </c>
      <c r="U455" s="666">
        <v>0</v>
      </c>
      <c r="V455" s="376" t="s">
        <v>714</v>
      </c>
      <c r="W455" s="191" t="s">
        <v>714</v>
      </c>
      <c r="X455" s="677">
        <v>0</v>
      </c>
      <c r="Y455" s="233">
        <v>2</v>
      </c>
      <c r="Z455" s="248" t="s">
        <v>948</v>
      </c>
      <c r="AA455" s="230">
        <v>4.8099999999999996</v>
      </c>
      <c r="AB455" s="437">
        <v>3</v>
      </c>
      <c r="AC455" s="236">
        <v>0</v>
      </c>
      <c r="AD455" s="191">
        <v>0</v>
      </c>
      <c r="AE455" s="248">
        <v>1</v>
      </c>
      <c r="AF455" s="254" t="s">
        <v>1036</v>
      </c>
    </row>
    <row r="456" spans="1:32" s="147" customFormat="1" ht="27" customHeight="1">
      <c r="A456" s="207" t="s">
        <v>1341</v>
      </c>
      <c r="B456" s="208">
        <v>22</v>
      </c>
      <c r="C456" s="207" t="s">
        <v>1342</v>
      </c>
      <c r="D456" s="213">
        <v>12</v>
      </c>
      <c r="E456" s="213" t="s">
        <v>1351</v>
      </c>
      <c r="F456" s="209">
        <v>45225</v>
      </c>
      <c r="G456" s="191" t="s">
        <v>1343</v>
      </c>
      <c r="H456" s="65" t="s">
        <v>950</v>
      </c>
      <c r="I456" s="248"/>
      <c r="J456" s="443">
        <v>30</v>
      </c>
      <c r="K456" s="685">
        <v>30</v>
      </c>
      <c r="L456" s="684">
        <v>30</v>
      </c>
      <c r="M456" s="687">
        <f t="shared" si="16"/>
        <v>0</v>
      </c>
      <c r="N456" s="721">
        <v>10</v>
      </c>
      <c r="O456" s="721" t="s">
        <v>948</v>
      </c>
      <c r="P456" s="721">
        <v>0</v>
      </c>
      <c r="Q456" s="721">
        <v>0</v>
      </c>
      <c r="R456" s="95" t="s">
        <v>944</v>
      </c>
      <c r="S456" s="751">
        <v>0</v>
      </c>
      <c r="T456" s="755">
        <f>AVERAGE(100,130,100,80,80)</f>
        <v>98</v>
      </c>
      <c r="U456" s="666">
        <v>1</v>
      </c>
      <c r="V456" s="67" t="s">
        <v>1658</v>
      </c>
      <c r="W456" s="191" t="s">
        <v>1658</v>
      </c>
      <c r="X456" s="677" t="s">
        <v>948</v>
      </c>
      <c r="Y456" s="233">
        <v>1</v>
      </c>
      <c r="Z456" s="248">
        <v>0</v>
      </c>
      <c r="AA456" s="230">
        <v>2.72</v>
      </c>
      <c r="AB456" s="437">
        <v>3</v>
      </c>
      <c r="AC456" s="236">
        <v>0</v>
      </c>
      <c r="AD456" s="191">
        <v>0</v>
      </c>
      <c r="AE456" s="248">
        <v>3</v>
      </c>
      <c r="AF456" s="254" t="s">
        <v>1117</v>
      </c>
    </row>
    <row r="457" spans="1:32" ht="27" customHeight="1">
      <c r="A457" s="212" t="s">
        <v>1341</v>
      </c>
      <c r="B457" s="213">
        <v>22</v>
      </c>
      <c r="C457" s="212" t="s">
        <v>1342</v>
      </c>
      <c r="D457" s="213">
        <v>13</v>
      </c>
      <c r="E457" s="213" t="s">
        <v>1352</v>
      </c>
      <c r="F457" s="209">
        <v>45225</v>
      </c>
      <c r="G457" s="191" t="s">
        <v>1343</v>
      </c>
      <c r="H457" s="65" t="s">
        <v>950</v>
      </c>
      <c r="I457" s="248"/>
      <c r="J457" s="443">
        <v>30</v>
      </c>
      <c r="K457" s="685">
        <v>30</v>
      </c>
      <c r="L457" s="684">
        <v>30</v>
      </c>
      <c r="M457" s="687">
        <f t="shared" si="16"/>
        <v>0</v>
      </c>
      <c r="N457" s="721" t="s">
        <v>948</v>
      </c>
      <c r="O457" s="721" t="s">
        <v>948</v>
      </c>
      <c r="P457" s="721">
        <v>0</v>
      </c>
      <c r="Q457" s="721">
        <v>0</v>
      </c>
      <c r="R457" s="95" t="s">
        <v>1208</v>
      </c>
      <c r="S457" s="751">
        <v>0</v>
      </c>
      <c r="T457" s="755">
        <f>AVERAGE(80,80,100,80,80)</f>
        <v>84</v>
      </c>
      <c r="U457" s="666">
        <v>0</v>
      </c>
      <c r="V457" s="67" t="s">
        <v>714</v>
      </c>
      <c r="W457" s="191" t="s">
        <v>714</v>
      </c>
      <c r="X457" s="677">
        <v>0</v>
      </c>
      <c r="Y457" s="233">
        <v>2</v>
      </c>
      <c r="Z457" s="248" t="s">
        <v>948</v>
      </c>
      <c r="AA457" s="230">
        <v>34.770000000000003</v>
      </c>
      <c r="AB457" s="437" t="s">
        <v>988</v>
      </c>
      <c r="AC457" s="236"/>
      <c r="AD457" s="191"/>
      <c r="AE457" s="248"/>
      <c r="AF457" s="254" t="s">
        <v>1036</v>
      </c>
    </row>
    <row r="458" spans="1:32" s="147" customFormat="1" ht="27" customHeight="1">
      <c r="A458" s="207" t="s">
        <v>1341</v>
      </c>
      <c r="B458" s="208">
        <v>22</v>
      </c>
      <c r="C458" s="207" t="s">
        <v>1342</v>
      </c>
      <c r="D458" s="213">
        <v>14</v>
      </c>
      <c r="E458" s="213" t="s">
        <v>1353</v>
      </c>
      <c r="F458" s="209">
        <v>45225</v>
      </c>
      <c r="G458" s="191" t="s">
        <v>1343</v>
      </c>
      <c r="H458" s="65" t="s">
        <v>950</v>
      </c>
      <c r="I458" s="248"/>
      <c r="J458" s="443">
        <v>10</v>
      </c>
      <c r="K458" s="685">
        <v>10</v>
      </c>
      <c r="L458" s="684">
        <v>20</v>
      </c>
      <c r="M458" s="687">
        <f t="shared" si="16"/>
        <v>-10</v>
      </c>
      <c r="N458" s="721" t="s">
        <v>948</v>
      </c>
      <c r="O458" s="721" t="s">
        <v>948</v>
      </c>
      <c r="P458" s="721">
        <v>0</v>
      </c>
      <c r="Q458" s="721">
        <v>0</v>
      </c>
      <c r="R458" s="95" t="s">
        <v>1208</v>
      </c>
      <c r="S458" s="751">
        <v>0</v>
      </c>
      <c r="T458" s="754">
        <f>AVERAGE(120,80,80,80,60)</f>
        <v>84</v>
      </c>
      <c r="U458" s="666">
        <v>0</v>
      </c>
      <c r="V458" s="67" t="s">
        <v>714</v>
      </c>
      <c r="W458" s="191" t="s">
        <v>714</v>
      </c>
      <c r="X458" s="677">
        <v>0</v>
      </c>
      <c r="Y458" s="232">
        <v>2</v>
      </c>
      <c r="Z458" s="248" t="s">
        <v>948</v>
      </c>
      <c r="AA458" s="230">
        <v>1.68</v>
      </c>
      <c r="AB458" s="437">
        <v>3</v>
      </c>
      <c r="AC458" s="236">
        <v>0</v>
      </c>
      <c r="AD458" s="191">
        <v>0</v>
      </c>
      <c r="AE458" s="248">
        <v>8</v>
      </c>
      <c r="AF458" s="254" t="s">
        <v>1036</v>
      </c>
    </row>
    <row r="459" spans="1:32" s="147" customFormat="1" ht="27" customHeight="1">
      <c r="A459" s="207" t="s">
        <v>1341</v>
      </c>
      <c r="B459" s="208">
        <v>22</v>
      </c>
      <c r="C459" s="207" t="s">
        <v>1342</v>
      </c>
      <c r="D459" s="213">
        <v>15</v>
      </c>
      <c r="E459" s="213" t="s">
        <v>1354</v>
      </c>
      <c r="F459" s="209">
        <v>45225</v>
      </c>
      <c r="G459" s="191" t="s">
        <v>1343</v>
      </c>
      <c r="H459" s="65" t="s">
        <v>950</v>
      </c>
      <c r="I459" s="248"/>
      <c r="J459" s="443">
        <v>30</v>
      </c>
      <c r="K459" s="685">
        <v>30</v>
      </c>
      <c r="L459" s="684">
        <v>30</v>
      </c>
      <c r="M459" s="687">
        <f t="shared" si="16"/>
        <v>0</v>
      </c>
      <c r="N459" s="721" t="s">
        <v>948</v>
      </c>
      <c r="O459" s="721" t="s">
        <v>948</v>
      </c>
      <c r="P459" s="721">
        <v>0</v>
      </c>
      <c r="Q459" s="721">
        <v>0</v>
      </c>
      <c r="R459" s="95" t="s">
        <v>1208</v>
      </c>
      <c r="S459" s="751">
        <v>0</v>
      </c>
      <c r="T459" s="754">
        <f>AVERAGE(120,120,100,80,80)</f>
        <v>100</v>
      </c>
      <c r="U459" s="666">
        <v>0</v>
      </c>
      <c r="V459" s="376" t="s">
        <v>714</v>
      </c>
      <c r="W459" s="191" t="s">
        <v>714</v>
      </c>
      <c r="X459" s="677" t="s">
        <v>948</v>
      </c>
      <c r="Y459" s="232">
        <v>2</v>
      </c>
      <c r="Z459" s="248" t="s">
        <v>948</v>
      </c>
      <c r="AA459" s="230">
        <v>14.08</v>
      </c>
      <c r="AB459" s="437" t="s">
        <v>973</v>
      </c>
      <c r="AC459" s="236"/>
      <c r="AD459" s="191"/>
      <c r="AE459" s="248"/>
      <c r="AF459" s="254" t="s">
        <v>1117</v>
      </c>
    </row>
    <row r="460" spans="1:32" s="147" customFormat="1" ht="27" customHeight="1">
      <c r="A460" s="207" t="s">
        <v>1341</v>
      </c>
      <c r="B460" s="208">
        <v>22</v>
      </c>
      <c r="C460" s="207" t="s">
        <v>1342</v>
      </c>
      <c r="D460" s="213">
        <v>16</v>
      </c>
      <c r="E460" s="213" t="s">
        <v>1006</v>
      </c>
      <c r="F460" s="209">
        <v>45225</v>
      </c>
      <c r="G460" s="191" t="s">
        <v>1343</v>
      </c>
      <c r="H460" s="65" t="s">
        <v>950</v>
      </c>
      <c r="I460" s="248"/>
      <c r="J460" s="710" t="s">
        <v>948</v>
      </c>
      <c r="K460" s="621">
        <v>2.5</v>
      </c>
      <c r="L460" s="625">
        <v>2.5</v>
      </c>
      <c r="M460" s="687">
        <v>0</v>
      </c>
      <c r="N460" s="210" t="s">
        <v>948</v>
      </c>
      <c r="O460" s="721">
        <v>0</v>
      </c>
      <c r="P460" s="721">
        <v>0</v>
      </c>
      <c r="Q460" s="721">
        <v>0</v>
      </c>
      <c r="R460" s="95" t="s">
        <v>944</v>
      </c>
      <c r="S460" s="751">
        <v>0</v>
      </c>
      <c r="T460" s="754">
        <f>(30+20)/2</f>
        <v>25</v>
      </c>
      <c r="U460" s="666">
        <v>0</v>
      </c>
      <c r="V460" s="67" t="s">
        <v>714</v>
      </c>
      <c r="W460" s="191" t="s">
        <v>714</v>
      </c>
      <c r="X460" s="677">
        <v>0</v>
      </c>
      <c r="Y460" s="232">
        <v>2</v>
      </c>
      <c r="Z460" s="248" t="s">
        <v>948</v>
      </c>
      <c r="AA460" s="230">
        <v>6.48</v>
      </c>
      <c r="AB460" s="437">
        <v>4</v>
      </c>
      <c r="AC460" s="236">
        <v>0</v>
      </c>
      <c r="AD460" s="191">
        <v>0</v>
      </c>
      <c r="AE460" s="248">
        <v>11</v>
      </c>
      <c r="AF460" s="254" t="s">
        <v>1036</v>
      </c>
    </row>
    <row r="461" spans="1:32" ht="27" customHeight="1">
      <c r="A461" s="212" t="s">
        <v>1341</v>
      </c>
      <c r="B461" s="213">
        <v>22</v>
      </c>
      <c r="C461" s="212" t="s">
        <v>1355</v>
      </c>
      <c r="D461" s="213">
        <v>17</v>
      </c>
      <c r="E461" s="213" t="s">
        <v>1356</v>
      </c>
      <c r="F461" s="209">
        <v>45220</v>
      </c>
      <c r="G461" s="191" t="s">
        <v>1343</v>
      </c>
      <c r="H461" s="158" t="s">
        <v>1111</v>
      </c>
      <c r="I461" s="248"/>
      <c r="J461" s="452" t="s">
        <v>948</v>
      </c>
      <c r="K461" s="621">
        <v>2.5</v>
      </c>
      <c r="L461" s="639">
        <v>2.5</v>
      </c>
      <c r="M461" s="617">
        <v>7.5</v>
      </c>
      <c r="N461" s="214" t="s">
        <v>948</v>
      </c>
      <c r="O461" s="749">
        <v>0</v>
      </c>
      <c r="P461" s="749">
        <v>0</v>
      </c>
      <c r="Q461" s="749">
        <v>0</v>
      </c>
      <c r="R461" s="95" t="s">
        <v>1208</v>
      </c>
      <c r="S461" s="751">
        <v>0</v>
      </c>
      <c r="T461" s="754">
        <f>AVERAGE(100,80,80,80,80)</f>
        <v>84</v>
      </c>
      <c r="U461" s="661">
        <v>0</v>
      </c>
      <c r="V461" s="67" t="s">
        <v>714</v>
      </c>
      <c r="W461" s="191" t="s">
        <v>714</v>
      </c>
      <c r="X461" s="677">
        <v>0</v>
      </c>
      <c r="Y461" s="232">
        <v>2</v>
      </c>
      <c r="Z461" s="248" t="s">
        <v>948</v>
      </c>
      <c r="AA461" s="435">
        <v>15.66</v>
      </c>
      <c r="AB461" s="438" t="s">
        <v>973</v>
      </c>
      <c r="AC461" s="236">
        <v>0</v>
      </c>
      <c r="AD461" s="191">
        <v>0</v>
      </c>
      <c r="AE461" s="248">
        <v>1</v>
      </c>
      <c r="AF461" s="254" t="s">
        <v>1036</v>
      </c>
    </row>
    <row r="462" spans="1:32" s="147" customFormat="1" ht="27" customHeight="1">
      <c r="A462" s="207" t="s">
        <v>1341</v>
      </c>
      <c r="B462" s="208">
        <v>22</v>
      </c>
      <c r="C462" s="207" t="s">
        <v>1355</v>
      </c>
      <c r="D462" s="213">
        <v>18</v>
      </c>
      <c r="E462" s="213" t="s">
        <v>1357</v>
      </c>
      <c r="F462" s="209">
        <v>45220</v>
      </c>
      <c r="G462" s="191" t="s">
        <v>1343</v>
      </c>
      <c r="H462" s="158" t="s">
        <v>1111</v>
      </c>
      <c r="I462" s="248"/>
      <c r="J462" s="452" t="s">
        <v>948</v>
      </c>
      <c r="K462" s="621">
        <v>2.5</v>
      </c>
      <c r="L462" s="639"/>
      <c r="M462" s="687"/>
      <c r="N462" s="214" t="s">
        <v>948</v>
      </c>
      <c r="O462" s="749">
        <v>0</v>
      </c>
      <c r="P462" s="749">
        <v>0</v>
      </c>
      <c r="Q462" s="749">
        <v>0</v>
      </c>
      <c r="R462" s="95" t="s">
        <v>1208</v>
      </c>
      <c r="S462" s="751">
        <v>0</v>
      </c>
      <c r="T462" s="754">
        <f>AVERAGE(100,110,110,110,100)</f>
        <v>106</v>
      </c>
      <c r="U462" s="661">
        <v>0</v>
      </c>
      <c r="V462" s="67" t="s">
        <v>714</v>
      </c>
      <c r="W462" s="191" t="s">
        <v>714</v>
      </c>
      <c r="X462" s="677">
        <v>0</v>
      </c>
      <c r="Y462" s="232">
        <v>2</v>
      </c>
      <c r="Z462" s="248" t="s">
        <v>948</v>
      </c>
      <c r="AA462" s="435">
        <v>5.56</v>
      </c>
      <c r="AB462" s="438">
        <v>4</v>
      </c>
      <c r="AC462" s="236"/>
      <c r="AD462" s="191"/>
      <c r="AE462" s="248"/>
      <c r="AF462" s="254" t="s">
        <v>1036</v>
      </c>
    </row>
    <row r="463" spans="1:32" s="147" customFormat="1" ht="27" customHeight="1">
      <c r="A463" s="207" t="s">
        <v>1341</v>
      </c>
      <c r="B463" s="208">
        <v>22</v>
      </c>
      <c r="C463" s="207" t="s">
        <v>1355</v>
      </c>
      <c r="D463" s="213">
        <v>19</v>
      </c>
      <c r="E463" s="213" t="s">
        <v>1358</v>
      </c>
      <c r="F463" s="209">
        <v>45220</v>
      </c>
      <c r="G463" s="191" t="s">
        <v>1343</v>
      </c>
      <c r="H463" s="158" t="s">
        <v>1111</v>
      </c>
      <c r="I463" s="248"/>
      <c r="J463" s="768">
        <v>30</v>
      </c>
      <c r="K463" s="685">
        <v>30</v>
      </c>
      <c r="L463" s="747">
        <v>20</v>
      </c>
      <c r="M463" s="687">
        <f>K463-L463</f>
        <v>10</v>
      </c>
      <c r="N463" s="749">
        <v>10</v>
      </c>
      <c r="O463" s="214" t="s">
        <v>948</v>
      </c>
      <c r="P463" s="749">
        <v>0</v>
      </c>
      <c r="Q463" s="749">
        <v>0</v>
      </c>
      <c r="R463" s="95" t="s">
        <v>1208</v>
      </c>
      <c r="S463" s="427">
        <v>0.66666666666666663</v>
      </c>
      <c r="T463" s="754">
        <f>AVERAGE(110,90,100,100,100)</f>
        <v>100</v>
      </c>
      <c r="U463" s="661">
        <v>0</v>
      </c>
      <c r="V463" s="67" t="s">
        <v>714</v>
      </c>
      <c r="W463" s="191" t="s">
        <v>714</v>
      </c>
      <c r="X463" s="677">
        <v>0</v>
      </c>
      <c r="Y463" s="233">
        <v>2</v>
      </c>
      <c r="Z463" s="248" t="s">
        <v>948</v>
      </c>
      <c r="AA463" s="230">
        <v>2.57</v>
      </c>
      <c r="AB463" s="437">
        <v>3</v>
      </c>
      <c r="AC463" s="236">
        <v>0</v>
      </c>
      <c r="AD463" s="191">
        <v>0</v>
      </c>
      <c r="AE463" s="248">
        <v>1</v>
      </c>
      <c r="AF463" s="254" t="s">
        <v>1036</v>
      </c>
    </row>
    <row r="464" spans="1:32" s="147" customFormat="1" ht="27" customHeight="1">
      <c r="A464" s="207" t="s">
        <v>1341</v>
      </c>
      <c r="B464" s="208">
        <v>22</v>
      </c>
      <c r="C464" s="207" t="s">
        <v>1355</v>
      </c>
      <c r="D464" s="213">
        <v>20</v>
      </c>
      <c r="E464" s="213" t="s">
        <v>1359</v>
      </c>
      <c r="F464" s="209">
        <v>45220</v>
      </c>
      <c r="G464" s="191" t="s">
        <v>1343</v>
      </c>
      <c r="H464" s="158" t="s">
        <v>1111</v>
      </c>
      <c r="I464" s="248"/>
      <c r="J464" s="452" t="s">
        <v>948</v>
      </c>
      <c r="K464" s="621">
        <v>2.5</v>
      </c>
      <c r="L464" s="639"/>
      <c r="M464" s="687"/>
      <c r="N464" s="210" t="s">
        <v>948</v>
      </c>
      <c r="O464" s="721">
        <v>0</v>
      </c>
      <c r="P464" s="721">
        <v>0</v>
      </c>
      <c r="Q464" s="721">
        <v>0</v>
      </c>
      <c r="R464" s="95" t="s">
        <v>944</v>
      </c>
      <c r="S464" s="427">
        <v>4</v>
      </c>
      <c r="T464" s="754">
        <f>AVERAGE(60,60,50,50,40)</f>
        <v>52</v>
      </c>
      <c r="U464" s="661">
        <v>0</v>
      </c>
      <c r="V464" s="67" t="s">
        <v>714</v>
      </c>
      <c r="W464" s="191" t="s">
        <v>714</v>
      </c>
      <c r="X464" s="678">
        <v>0</v>
      </c>
      <c r="Y464" s="233">
        <v>1</v>
      </c>
      <c r="Z464" s="248">
        <v>0</v>
      </c>
      <c r="AA464" s="435">
        <v>2.59</v>
      </c>
      <c r="AB464" s="438">
        <v>3</v>
      </c>
      <c r="AC464" s="236">
        <v>0</v>
      </c>
      <c r="AD464" s="191">
        <v>0</v>
      </c>
      <c r="AE464" s="248">
        <v>1</v>
      </c>
      <c r="AF464" s="254" t="s">
        <v>1036</v>
      </c>
    </row>
    <row r="465" spans="1:32" ht="27" customHeight="1">
      <c r="A465" s="212" t="s">
        <v>1341</v>
      </c>
      <c r="B465" s="213">
        <v>22</v>
      </c>
      <c r="C465" s="212" t="s">
        <v>1355</v>
      </c>
      <c r="D465" s="213">
        <v>21</v>
      </c>
      <c r="E465" s="213" t="s">
        <v>1360</v>
      </c>
      <c r="F465" s="211">
        <v>45276</v>
      </c>
      <c r="G465" s="191" t="s">
        <v>1343</v>
      </c>
      <c r="H465" s="158" t="s">
        <v>1111</v>
      </c>
      <c r="I465" s="248"/>
      <c r="J465" s="443">
        <v>40</v>
      </c>
      <c r="K465" s="685">
        <v>40</v>
      </c>
      <c r="L465" s="684">
        <v>40</v>
      </c>
      <c r="M465" s="687">
        <f>K465-L465</f>
        <v>0</v>
      </c>
      <c r="N465" s="214" t="s">
        <v>948</v>
      </c>
      <c r="O465" s="749">
        <v>0</v>
      </c>
      <c r="P465" s="749">
        <v>0</v>
      </c>
      <c r="Q465" s="749">
        <v>0</v>
      </c>
      <c r="R465" s="95" t="s">
        <v>943</v>
      </c>
      <c r="S465" s="752">
        <v>0</v>
      </c>
      <c r="T465" s="754">
        <v>15</v>
      </c>
      <c r="U465" s="661">
        <v>0</v>
      </c>
      <c r="V465" s="67" t="s">
        <v>714</v>
      </c>
      <c r="W465" s="191" t="s">
        <v>714</v>
      </c>
      <c r="X465" s="677">
        <v>0</v>
      </c>
      <c r="Y465" s="232">
        <v>1</v>
      </c>
      <c r="Z465" s="248">
        <v>0</v>
      </c>
      <c r="AA465" s="230">
        <v>36.4</v>
      </c>
      <c r="AB465" s="439" t="s">
        <v>988</v>
      </c>
      <c r="AC465" s="236"/>
      <c r="AD465" s="191"/>
      <c r="AE465" s="248"/>
      <c r="AF465" s="254" t="s">
        <v>1036</v>
      </c>
    </row>
    <row r="466" spans="1:32" ht="27" customHeight="1">
      <c r="A466" s="212" t="s">
        <v>1341</v>
      </c>
      <c r="B466" s="213">
        <v>22</v>
      </c>
      <c r="C466" s="212" t="s">
        <v>1355</v>
      </c>
      <c r="D466" s="213">
        <v>22</v>
      </c>
      <c r="E466" s="213" t="s">
        <v>1361</v>
      </c>
      <c r="F466" s="211">
        <v>45276</v>
      </c>
      <c r="G466" s="191" t="s">
        <v>1343</v>
      </c>
      <c r="H466" s="158" t="s">
        <v>1111</v>
      </c>
      <c r="I466" s="248"/>
      <c r="J466" s="443">
        <v>40</v>
      </c>
      <c r="K466" s="685">
        <v>40</v>
      </c>
      <c r="L466" s="684">
        <v>50</v>
      </c>
      <c r="M466" s="687">
        <f>K466-L466</f>
        <v>-10</v>
      </c>
      <c r="N466" s="214" t="s">
        <v>948</v>
      </c>
      <c r="O466" s="214" t="s">
        <v>948</v>
      </c>
      <c r="P466" s="749">
        <v>0</v>
      </c>
      <c r="Q466" s="749">
        <v>0</v>
      </c>
      <c r="R466" s="95" t="s">
        <v>943</v>
      </c>
      <c r="S466" s="749">
        <v>0</v>
      </c>
      <c r="T466" s="677">
        <v>0</v>
      </c>
      <c r="U466" s="661">
        <v>0</v>
      </c>
      <c r="V466" s="67" t="s">
        <v>714</v>
      </c>
      <c r="W466" s="191" t="s">
        <v>714</v>
      </c>
      <c r="X466" s="677">
        <v>0</v>
      </c>
      <c r="Y466" s="233">
        <v>1</v>
      </c>
      <c r="Z466" s="248">
        <v>0</v>
      </c>
      <c r="AA466" s="230">
        <v>23.86</v>
      </c>
      <c r="AB466" s="437" t="s">
        <v>973</v>
      </c>
      <c r="AC466" s="236"/>
      <c r="AD466" s="191"/>
      <c r="AE466" s="248"/>
      <c r="AF466" s="254" t="s">
        <v>1036</v>
      </c>
    </row>
    <row r="467" spans="1:32" ht="27" customHeight="1">
      <c r="A467" s="212" t="s">
        <v>1341</v>
      </c>
      <c r="B467" s="213">
        <v>22</v>
      </c>
      <c r="C467" s="212" t="s">
        <v>1355</v>
      </c>
      <c r="D467" s="213">
        <v>23</v>
      </c>
      <c r="E467" s="213" t="s">
        <v>1362</v>
      </c>
      <c r="F467" s="211">
        <v>45276</v>
      </c>
      <c r="G467" s="191" t="s">
        <v>1343</v>
      </c>
      <c r="H467" s="158" t="s">
        <v>1111</v>
      </c>
      <c r="I467" s="248"/>
      <c r="J467" s="443">
        <v>20</v>
      </c>
      <c r="K467" s="685">
        <v>20</v>
      </c>
      <c r="L467" s="684">
        <v>30</v>
      </c>
      <c r="M467" s="687">
        <f>K467-L467</f>
        <v>-10</v>
      </c>
      <c r="N467" s="749">
        <v>0</v>
      </c>
      <c r="O467" s="749">
        <v>0</v>
      </c>
      <c r="P467" s="749">
        <v>0</v>
      </c>
      <c r="Q467" s="749">
        <v>0</v>
      </c>
      <c r="R467" s="95" t="s">
        <v>944</v>
      </c>
      <c r="S467" s="749">
        <v>0</v>
      </c>
      <c r="T467" s="677">
        <v>30</v>
      </c>
      <c r="U467" s="661">
        <v>0</v>
      </c>
      <c r="V467" s="67" t="s">
        <v>714</v>
      </c>
      <c r="W467" s="191" t="s">
        <v>714</v>
      </c>
      <c r="X467" s="677">
        <v>0</v>
      </c>
      <c r="Y467" s="233">
        <v>1</v>
      </c>
      <c r="Z467" s="248">
        <v>0</v>
      </c>
      <c r="AA467" s="230">
        <v>47.31</v>
      </c>
      <c r="AB467" s="439" t="s">
        <v>988</v>
      </c>
      <c r="AC467" s="236">
        <v>0</v>
      </c>
      <c r="AD467" s="191">
        <v>0</v>
      </c>
      <c r="AE467" s="248">
        <v>1</v>
      </c>
      <c r="AF467" s="254" t="s">
        <v>1036</v>
      </c>
    </row>
    <row r="468" spans="1:32" ht="27" customHeight="1">
      <c r="A468" s="212" t="s">
        <v>1341</v>
      </c>
      <c r="B468" s="213">
        <v>22</v>
      </c>
      <c r="C468" s="212" t="s">
        <v>1355</v>
      </c>
      <c r="D468" s="213">
        <v>24</v>
      </c>
      <c r="E468" s="213" t="s">
        <v>1363</v>
      </c>
      <c r="F468" s="211">
        <v>45276</v>
      </c>
      <c r="G468" s="191" t="s">
        <v>1343</v>
      </c>
      <c r="H468" s="158" t="s">
        <v>1111</v>
      </c>
      <c r="I468" s="248"/>
      <c r="J468" s="443">
        <v>10</v>
      </c>
      <c r="K468" s="685">
        <v>10</v>
      </c>
      <c r="L468" s="684">
        <v>30</v>
      </c>
      <c r="M468" s="687">
        <f>K468-L468</f>
        <v>-20</v>
      </c>
      <c r="N468" s="749">
        <v>0</v>
      </c>
      <c r="O468" s="749">
        <v>0</v>
      </c>
      <c r="P468" s="749">
        <v>0</v>
      </c>
      <c r="Q468" s="749">
        <v>0</v>
      </c>
      <c r="R468" s="95" t="s">
        <v>944</v>
      </c>
      <c r="S468" s="721">
        <v>0</v>
      </c>
      <c r="T468" s="677">
        <v>0</v>
      </c>
      <c r="U468" s="661">
        <v>0</v>
      </c>
      <c r="V468" s="67" t="s">
        <v>714</v>
      </c>
      <c r="W468" s="191" t="s">
        <v>714</v>
      </c>
      <c r="X468" s="677">
        <v>0</v>
      </c>
      <c r="Y468" s="233">
        <v>1</v>
      </c>
      <c r="Z468" s="248">
        <v>0</v>
      </c>
      <c r="AA468" s="230">
        <v>13.84</v>
      </c>
      <c r="AB468" s="439" t="s">
        <v>973</v>
      </c>
      <c r="AC468" s="236"/>
      <c r="AD468" s="191"/>
      <c r="AE468" s="248"/>
      <c r="AF468" s="254" t="s">
        <v>1036</v>
      </c>
    </row>
    <row r="469" spans="1:32" ht="27" customHeight="1">
      <c r="A469" s="212" t="s">
        <v>1341</v>
      </c>
      <c r="B469" s="213">
        <v>22</v>
      </c>
      <c r="C469" s="212" t="s">
        <v>1355</v>
      </c>
      <c r="D469" s="213">
        <v>25</v>
      </c>
      <c r="E469" s="213" t="s">
        <v>1364</v>
      </c>
      <c r="F469" s="211">
        <v>45276</v>
      </c>
      <c r="G469" s="191" t="s">
        <v>1343</v>
      </c>
      <c r="H469" s="158" t="s">
        <v>1111</v>
      </c>
      <c r="I469" s="248"/>
      <c r="J469" s="443">
        <v>10</v>
      </c>
      <c r="K469" s="685">
        <v>10</v>
      </c>
      <c r="L469" s="684">
        <v>10</v>
      </c>
      <c r="M469" s="687">
        <f>K469-L469</f>
        <v>0</v>
      </c>
      <c r="N469" s="749">
        <v>0</v>
      </c>
      <c r="O469" s="749">
        <v>0</v>
      </c>
      <c r="P469" s="749">
        <v>0</v>
      </c>
      <c r="Q469" s="749">
        <v>0</v>
      </c>
      <c r="R469" s="95" t="s">
        <v>944</v>
      </c>
      <c r="S469" s="749">
        <v>0</v>
      </c>
      <c r="T469" s="677">
        <v>15</v>
      </c>
      <c r="U469" s="661">
        <v>0</v>
      </c>
      <c r="V469" s="67" t="s">
        <v>714</v>
      </c>
      <c r="W469" s="191" t="s">
        <v>714</v>
      </c>
      <c r="X469" s="677">
        <v>0</v>
      </c>
      <c r="Y469" s="233">
        <v>1</v>
      </c>
      <c r="Z469" s="248">
        <v>0</v>
      </c>
      <c r="AA469" s="230">
        <v>24.84</v>
      </c>
      <c r="AB469" s="439" t="s">
        <v>973</v>
      </c>
      <c r="AC469" s="236">
        <v>0</v>
      </c>
      <c r="AD469" s="191">
        <v>0</v>
      </c>
      <c r="AE469" s="248">
        <v>2</v>
      </c>
      <c r="AF469" s="254" t="s">
        <v>1036</v>
      </c>
    </row>
    <row r="470" spans="1:32" s="147" customFormat="1" ht="27" customHeight="1">
      <c r="A470" s="207" t="s">
        <v>1341</v>
      </c>
      <c r="B470" s="208">
        <v>22</v>
      </c>
      <c r="C470" s="207" t="s">
        <v>1365</v>
      </c>
      <c r="D470" s="213">
        <v>26</v>
      </c>
      <c r="E470" s="213" t="s">
        <v>1366</v>
      </c>
      <c r="F470" s="209"/>
      <c r="G470" s="65"/>
      <c r="H470" s="65"/>
      <c r="I470" s="66"/>
      <c r="J470" s="444"/>
      <c r="K470" s="685"/>
      <c r="L470" s="621"/>
      <c r="M470" s="687"/>
      <c r="N470" s="179"/>
      <c r="O470" s="697"/>
      <c r="P470" s="697"/>
      <c r="Q470" s="697"/>
      <c r="R470" s="65"/>
      <c r="S470" s="179"/>
      <c r="T470" s="241"/>
      <c r="U470" s="658"/>
      <c r="V470" s="204" t="s">
        <v>714</v>
      </c>
      <c r="W470" s="65" t="s">
        <v>714</v>
      </c>
      <c r="X470" s="245"/>
      <c r="Y470" s="228"/>
      <c r="Z470" s="66"/>
      <c r="AA470" s="221"/>
      <c r="AB470" s="434"/>
      <c r="AC470" s="228"/>
      <c r="AD470" s="65"/>
      <c r="AE470" s="66"/>
      <c r="AF470" s="151"/>
    </row>
    <row r="471" spans="1:32" s="147" customFormat="1" ht="27" customHeight="1">
      <c r="A471" s="207" t="s">
        <v>1341</v>
      </c>
      <c r="B471" s="208">
        <v>22</v>
      </c>
      <c r="C471" s="207" t="s">
        <v>1365</v>
      </c>
      <c r="D471" s="213">
        <v>27</v>
      </c>
      <c r="E471" s="213" t="s">
        <v>1367</v>
      </c>
      <c r="F471" s="209">
        <v>45203</v>
      </c>
      <c r="G471" s="191" t="s">
        <v>1343</v>
      </c>
      <c r="H471" s="65" t="s">
        <v>950</v>
      </c>
      <c r="I471" s="66"/>
      <c r="J471" s="444" t="s">
        <v>948</v>
      </c>
      <c r="K471" s="621">
        <v>2.5</v>
      </c>
      <c r="L471" s="621"/>
      <c r="M471" s="687"/>
      <c r="N471" s="179" t="s">
        <v>948</v>
      </c>
      <c r="O471" s="697">
        <v>0</v>
      </c>
      <c r="P471" s="697">
        <v>0</v>
      </c>
      <c r="Q471" s="697">
        <v>0</v>
      </c>
      <c r="R471" s="65" t="s">
        <v>1304</v>
      </c>
      <c r="S471" s="425">
        <v>0.33333333333333331</v>
      </c>
      <c r="T471" s="755">
        <f>AVERAGE(45,60,30,60,50)</f>
        <v>49</v>
      </c>
      <c r="U471" s="658">
        <v>0</v>
      </c>
      <c r="V471" s="204" t="s">
        <v>714</v>
      </c>
      <c r="W471" s="65" t="s">
        <v>714</v>
      </c>
      <c r="X471" s="245" t="s">
        <v>948</v>
      </c>
      <c r="Y471" s="233">
        <v>1</v>
      </c>
      <c r="Z471" s="66">
        <v>0</v>
      </c>
      <c r="AA471" s="221">
        <v>23.71</v>
      </c>
      <c r="AB471" s="434" t="s">
        <v>973</v>
      </c>
      <c r="AC471" s="233">
        <v>4</v>
      </c>
      <c r="AD471" s="19">
        <v>0</v>
      </c>
      <c r="AE471" s="225">
        <v>3</v>
      </c>
      <c r="AF471" s="151" t="s">
        <v>1117</v>
      </c>
    </row>
    <row r="472" spans="1:32" s="147" customFormat="1" ht="27" customHeight="1">
      <c r="A472" s="207" t="s">
        <v>1341</v>
      </c>
      <c r="B472" s="208">
        <v>22</v>
      </c>
      <c r="C472" s="207" t="s">
        <v>1365</v>
      </c>
      <c r="D472" s="213">
        <v>28</v>
      </c>
      <c r="E472" s="213" t="s">
        <v>1368</v>
      </c>
      <c r="F472" s="209">
        <v>45203</v>
      </c>
      <c r="G472" s="191" t="s">
        <v>1343</v>
      </c>
      <c r="H472" s="65" t="s">
        <v>950</v>
      </c>
      <c r="I472" s="66"/>
      <c r="J472" s="444" t="s">
        <v>948</v>
      </c>
      <c r="K472" s="621">
        <v>2.5</v>
      </c>
      <c r="L472" s="621">
        <v>2.5</v>
      </c>
      <c r="M472" s="687">
        <v>0</v>
      </c>
      <c r="N472" s="179" t="s">
        <v>948</v>
      </c>
      <c r="O472" s="697">
        <v>0</v>
      </c>
      <c r="P472" s="697">
        <v>0</v>
      </c>
      <c r="Q472" s="697">
        <v>0</v>
      </c>
      <c r="R472" s="65" t="s">
        <v>1304</v>
      </c>
      <c r="S472" s="425">
        <v>0.33333333333333331</v>
      </c>
      <c r="T472" s="755">
        <f>AVERAGE(60,30,40,40,60)</f>
        <v>46</v>
      </c>
      <c r="U472" s="658">
        <v>1</v>
      </c>
      <c r="V472" s="204" t="s">
        <v>1661</v>
      </c>
      <c r="W472" s="65" t="s">
        <v>1661</v>
      </c>
      <c r="X472" s="245" t="s">
        <v>948</v>
      </c>
      <c r="Y472" s="228">
        <v>2</v>
      </c>
      <c r="Z472" s="66" t="s">
        <v>948</v>
      </c>
      <c r="AA472" s="221">
        <v>11.26</v>
      </c>
      <c r="AB472" s="434" t="s">
        <v>973</v>
      </c>
      <c r="AC472" s="233">
        <v>3</v>
      </c>
      <c r="AD472" s="19">
        <v>0</v>
      </c>
      <c r="AE472" s="225">
        <v>4</v>
      </c>
      <c r="AF472" s="151" t="s">
        <v>1117</v>
      </c>
    </row>
    <row r="473" spans="1:32" ht="27" customHeight="1">
      <c r="A473" s="212" t="s">
        <v>1341</v>
      </c>
      <c r="B473" s="213">
        <v>22</v>
      </c>
      <c r="C473" s="212" t="s">
        <v>1365</v>
      </c>
      <c r="D473" s="213">
        <v>29</v>
      </c>
      <c r="E473" s="213" t="s">
        <v>1369</v>
      </c>
      <c r="F473" s="209">
        <v>45203</v>
      </c>
      <c r="G473" s="191" t="s">
        <v>1343</v>
      </c>
      <c r="H473" s="65" t="s">
        <v>950</v>
      </c>
      <c r="I473" s="66"/>
      <c r="J473" s="692">
        <v>40</v>
      </c>
      <c r="K473" s="685">
        <v>40</v>
      </c>
      <c r="L473" s="685">
        <v>40</v>
      </c>
      <c r="M473" s="687">
        <f>K473-L473</f>
        <v>0</v>
      </c>
      <c r="N473" s="179" t="s">
        <v>948</v>
      </c>
      <c r="O473" s="697">
        <v>0</v>
      </c>
      <c r="P473" s="697">
        <v>0</v>
      </c>
      <c r="Q473" s="697">
        <v>0</v>
      </c>
      <c r="R473" s="65" t="s">
        <v>1304</v>
      </c>
      <c r="S473" s="425">
        <v>0.33333333333333331</v>
      </c>
      <c r="T473" s="755">
        <f>AVERAGE(150,70,50,50,50)</f>
        <v>74</v>
      </c>
      <c r="U473" s="658">
        <v>2</v>
      </c>
      <c r="V473" s="204" t="s">
        <v>1658</v>
      </c>
      <c r="W473" s="65" t="s">
        <v>1658</v>
      </c>
      <c r="X473" s="245" t="s">
        <v>948</v>
      </c>
      <c r="Y473" s="228">
        <v>2</v>
      </c>
      <c r="Z473" s="66" t="s">
        <v>948</v>
      </c>
      <c r="AA473" s="221">
        <v>29.77</v>
      </c>
      <c r="AB473" s="434" t="s">
        <v>973</v>
      </c>
      <c r="AC473" s="233">
        <v>0</v>
      </c>
      <c r="AD473" s="19">
        <v>0</v>
      </c>
      <c r="AE473" s="225">
        <v>2</v>
      </c>
      <c r="AF473" s="151" t="s">
        <v>1117</v>
      </c>
    </row>
    <row r="474" spans="1:32" s="147" customFormat="1" ht="27" customHeight="1">
      <c r="A474" s="207" t="s">
        <v>1341</v>
      </c>
      <c r="B474" s="208">
        <v>22</v>
      </c>
      <c r="C474" s="207" t="s">
        <v>1365</v>
      </c>
      <c r="D474" s="213">
        <v>30</v>
      </c>
      <c r="E474" s="213" t="s">
        <v>1370</v>
      </c>
      <c r="F474" s="209"/>
      <c r="G474" s="65"/>
      <c r="H474" s="65"/>
      <c r="I474" s="66"/>
      <c r="J474" s="444"/>
      <c r="K474" s="685"/>
      <c r="L474" s="621"/>
      <c r="M474" s="687"/>
      <c r="N474" s="697"/>
      <c r="O474" s="697"/>
      <c r="P474" s="697"/>
      <c r="Q474" s="697"/>
      <c r="R474" s="65"/>
      <c r="S474" s="425"/>
      <c r="T474" s="246"/>
      <c r="U474" s="658"/>
      <c r="V474" s="204" t="s">
        <v>714</v>
      </c>
      <c r="W474" s="65" t="s">
        <v>714</v>
      </c>
      <c r="X474" s="245"/>
      <c r="Y474" s="228"/>
      <c r="Z474" s="66"/>
      <c r="AA474" s="221"/>
      <c r="AB474" s="434"/>
      <c r="AC474" s="228"/>
      <c r="AD474" s="65"/>
      <c r="AE474" s="66"/>
      <c r="AF474" s="151"/>
    </row>
    <row r="475" spans="1:32" s="147" customFormat="1" ht="27" customHeight="1">
      <c r="A475" s="207" t="s">
        <v>1341</v>
      </c>
      <c r="B475" s="208">
        <v>22</v>
      </c>
      <c r="C475" s="207" t="s">
        <v>1365</v>
      </c>
      <c r="D475" s="213">
        <v>31</v>
      </c>
      <c r="E475" s="176" t="s">
        <v>1007</v>
      </c>
      <c r="F475" s="209"/>
      <c r="G475" s="65"/>
      <c r="H475" s="65"/>
      <c r="I475" s="66"/>
      <c r="J475" s="444"/>
      <c r="K475" s="685"/>
      <c r="L475" s="621"/>
      <c r="M475" s="687"/>
      <c r="N475" s="697"/>
      <c r="O475" s="697"/>
      <c r="P475" s="697"/>
      <c r="Q475" s="697"/>
      <c r="R475" s="65"/>
      <c r="S475" s="425"/>
      <c r="T475" s="246"/>
      <c r="U475" s="658"/>
      <c r="V475" s="204" t="s">
        <v>714</v>
      </c>
      <c r="W475" s="65" t="s">
        <v>714</v>
      </c>
      <c r="X475" s="245"/>
      <c r="Y475" s="228"/>
      <c r="Z475" s="66"/>
      <c r="AA475" s="221"/>
      <c r="AB475" s="434"/>
      <c r="AC475" s="228"/>
      <c r="AD475" s="65"/>
      <c r="AE475" s="66"/>
      <c r="AF475" s="151"/>
    </row>
    <row r="476" spans="1:32" s="147" customFormat="1" ht="27" customHeight="1">
      <c r="A476" s="207" t="s">
        <v>1341</v>
      </c>
      <c r="B476" s="208">
        <v>22</v>
      </c>
      <c r="C476" s="207" t="s">
        <v>1371</v>
      </c>
      <c r="D476" s="213">
        <v>32</v>
      </c>
      <c r="E476" s="213" t="s">
        <v>1009</v>
      </c>
      <c r="F476" s="211">
        <v>45182</v>
      </c>
      <c r="G476" s="191" t="s">
        <v>1343</v>
      </c>
      <c r="H476" s="65" t="s">
        <v>1111</v>
      </c>
      <c r="I476" s="248"/>
      <c r="J476" s="446" t="s">
        <v>948</v>
      </c>
      <c r="K476" s="621">
        <v>2.5</v>
      </c>
      <c r="L476" s="625">
        <v>2.5</v>
      </c>
      <c r="M476" s="687">
        <v>0</v>
      </c>
      <c r="N476" s="721">
        <v>0</v>
      </c>
      <c r="O476" s="721">
        <v>0</v>
      </c>
      <c r="P476" s="721">
        <v>0</v>
      </c>
      <c r="Q476" s="721">
        <v>0</v>
      </c>
      <c r="R476" s="95" t="s">
        <v>944</v>
      </c>
      <c r="S476" s="752">
        <v>0</v>
      </c>
      <c r="T476" s="755">
        <f>AVERAGE(40,30)</f>
        <v>35</v>
      </c>
      <c r="U476" s="655">
        <v>0</v>
      </c>
      <c r="V476" s="67" t="s">
        <v>714</v>
      </c>
      <c r="W476" s="191" t="s">
        <v>714</v>
      </c>
      <c r="X476" s="671">
        <v>0</v>
      </c>
      <c r="Y476" s="233">
        <v>1</v>
      </c>
      <c r="Z476" s="248">
        <v>0</v>
      </c>
      <c r="AA476" s="230">
        <v>14.08</v>
      </c>
      <c r="AB476" s="439" t="s">
        <v>973</v>
      </c>
      <c r="AC476" s="236"/>
      <c r="AD476" s="191"/>
      <c r="AE476" s="248"/>
      <c r="AF476" s="254" t="s">
        <v>1036</v>
      </c>
    </row>
    <row r="477" spans="1:32" ht="27" customHeight="1">
      <c r="A477" s="212" t="s">
        <v>1341</v>
      </c>
      <c r="B477" s="213">
        <v>22</v>
      </c>
      <c r="C477" s="212" t="s">
        <v>1371</v>
      </c>
      <c r="D477" s="213">
        <v>33</v>
      </c>
      <c r="E477" s="213" t="s">
        <v>1010</v>
      </c>
      <c r="F477" s="211">
        <v>45133</v>
      </c>
      <c r="G477" s="191" t="s">
        <v>1343</v>
      </c>
      <c r="H477" s="65" t="s">
        <v>1111</v>
      </c>
      <c r="I477" s="248"/>
      <c r="J477" s="443">
        <v>30</v>
      </c>
      <c r="K477" s="685">
        <v>30</v>
      </c>
      <c r="L477" s="684">
        <v>20</v>
      </c>
      <c r="M477" s="687">
        <f t="shared" ref="M477:M485" si="17">K477-L477</f>
        <v>10</v>
      </c>
      <c r="N477" s="721">
        <v>0</v>
      </c>
      <c r="O477" s="721">
        <v>0</v>
      </c>
      <c r="P477" s="721">
        <v>0</v>
      </c>
      <c r="Q477" s="721">
        <v>0</v>
      </c>
      <c r="R477" s="95" t="s">
        <v>944</v>
      </c>
      <c r="S477" s="752">
        <v>0</v>
      </c>
      <c r="T477" s="755">
        <f>AVERAGE(40,30,20,30,30)</f>
        <v>30</v>
      </c>
      <c r="U477" s="661">
        <v>0</v>
      </c>
      <c r="V477" s="67" t="s">
        <v>714</v>
      </c>
      <c r="W477" s="191" t="s">
        <v>714</v>
      </c>
      <c r="X477" s="677">
        <v>0</v>
      </c>
      <c r="Y477" s="233">
        <v>1</v>
      </c>
      <c r="Z477" s="248">
        <v>0</v>
      </c>
      <c r="AA477" s="230">
        <v>48.75</v>
      </c>
      <c r="AB477" s="439" t="s">
        <v>988</v>
      </c>
      <c r="AC477" s="236"/>
      <c r="AD477" s="191"/>
      <c r="AE477" s="248"/>
      <c r="AF477" s="254" t="s">
        <v>1117</v>
      </c>
    </row>
    <row r="478" spans="1:32" ht="27" customHeight="1">
      <c r="A478" s="212" t="s">
        <v>1341</v>
      </c>
      <c r="B478" s="213">
        <v>22</v>
      </c>
      <c r="C478" s="212" t="s">
        <v>1371</v>
      </c>
      <c r="D478" s="213">
        <v>34</v>
      </c>
      <c r="E478" s="213" t="s">
        <v>1372</v>
      </c>
      <c r="F478" s="209">
        <v>45182</v>
      </c>
      <c r="G478" s="191" t="s">
        <v>1343</v>
      </c>
      <c r="H478" s="65" t="s">
        <v>1111</v>
      </c>
      <c r="I478" s="248"/>
      <c r="J478" s="443">
        <v>20</v>
      </c>
      <c r="K478" s="685">
        <v>20</v>
      </c>
      <c r="L478" s="684">
        <v>40</v>
      </c>
      <c r="M478" s="687">
        <f t="shared" si="17"/>
        <v>-20</v>
      </c>
      <c r="N478" s="721">
        <v>0</v>
      </c>
      <c r="O478" s="748">
        <v>0</v>
      </c>
      <c r="P478" s="748">
        <v>0</v>
      </c>
      <c r="Q478" s="721">
        <v>0</v>
      </c>
      <c r="R478" s="95" t="s">
        <v>1208</v>
      </c>
      <c r="S478" s="751">
        <v>0</v>
      </c>
      <c r="T478" s="756">
        <f>AVERAGE(50,90,30,40,50)</f>
        <v>52</v>
      </c>
      <c r="U478" s="661">
        <v>0</v>
      </c>
      <c r="V478" s="67" t="s">
        <v>714</v>
      </c>
      <c r="W478" s="191" t="s">
        <v>714</v>
      </c>
      <c r="X478" s="677">
        <v>0</v>
      </c>
      <c r="Y478" s="233">
        <v>1</v>
      </c>
      <c r="Z478" s="248">
        <v>0</v>
      </c>
      <c r="AA478" s="230">
        <v>55.49</v>
      </c>
      <c r="AB478" s="437">
        <v>6</v>
      </c>
      <c r="AC478" s="236"/>
      <c r="AD478" s="191"/>
      <c r="AE478" s="248"/>
      <c r="AF478" s="254" t="s">
        <v>1036</v>
      </c>
    </row>
    <row r="479" spans="1:32" ht="27" customHeight="1">
      <c r="A479" s="212" t="s">
        <v>1341</v>
      </c>
      <c r="B479" s="213">
        <v>22</v>
      </c>
      <c r="C479" s="212" t="s">
        <v>1373</v>
      </c>
      <c r="D479" s="213">
        <v>35</v>
      </c>
      <c r="E479" s="213" t="s">
        <v>1057</v>
      </c>
      <c r="F479" s="209">
        <v>45246</v>
      </c>
      <c r="G479" s="191" t="s">
        <v>1343</v>
      </c>
      <c r="H479" s="65" t="s">
        <v>950</v>
      </c>
      <c r="I479" s="248"/>
      <c r="J479" s="443">
        <v>60</v>
      </c>
      <c r="K479" s="685">
        <v>60</v>
      </c>
      <c r="L479" s="684">
        <v>60</v>
      </c>
      <c r="M479" s="687">
        <f t="shared" si="17"/>
        <v>0</v>
      </c>
      <c r="N479" s="721">
        <v>0</v>
      </c>
      <c r="O479" s="721">
        <v>0</v>
      </c>
      <c r="P479" s="721">
        <v>0</v>
      </c>
      <c r="Q479" s="721">
        <v>0</v>
      </c>
      <c r="R479" s="95" t="s">
        <v>944</v>
      </c>
      <c r="S479" s="751">
        <v>0</v>
      </c>
      <c r="T479" s="756">
        <f>AVERAGE(60,40,40,40,60)</f>
        <v>48</v>
      </c>
      <c r="U479" s="661">
        <v>0</v>
      </c>
      <c r="V479" s="67" t="s">
        <v>714</v>
      </c>
      <c r="W479" s="191" t="s">
        <v>714</v>
      </c>
      <c r="X479" s="677">
        <v>0</v>
      </c>
      <c r="Y479" s="233">
        <v>2</v>
      </c>
      <c r="Z479" s="248" t="s">
        <v>948</v>
      </c>
      <c r="AA479" s="230">
        <v>168.24</v>
      </c>
      <c r="AB479" s="439">
        <v>6</v>
      </c>
      <c r="AC479" s="236">
        <v>0</v>
      </c>
      <c r="AD479" s="191">
        <v>0</v>
      </c>
      <c r="AE479" s="248">
        <v>4</v>
      </c>
      <c r="AF479" s="254" t="s">
        <v>1036</v>
      </c>
    </row>
    <row r="480" spans="1:32" ht="27" customHeight="1">
      <c r="A480" s="212" t="s">
        <v>1341</v>
      </c>
      <c r="B480" s="213">
        <v>22</v>
      </c>
      <c r="C480" s="212" t="s">
        <v>1373</v>
      </c>
      <c r="D480" s="213">
        <v>36</v>
      </c>
      <c r="E480" s="213" t="s">
        <v>1058</v>
      </c>
      <c r="F480" s="209">
        <v>45246</v>
      </c>
      <c r="G480" s="191" t="s">
        <v>1343</v>
      </c>
      <c r="H480" s="65" t="s">
        <v>950</v>
      </c>
      <c r="I480" s="248"/>
      <c r="J480" s="443">
        <v>20</v>
      </c>
      <c r="K480" s="685">
        <v>20</v>
      </c>
      <c r="L480" s="684">
        <v>20</v>
      </c>
      <c r="M480" s="687">
        <f t="shared" si="17"/>
        <v>0</v>
      </c>
      <c r="N480" s="721">
        <v>0</v>
      </c>
      <c r="O480" s="721">
        <v>0</v>
      </c>
      <c r="P480" s="721">
        <v>0</v>
      </c>
      <c r="Q480" s="721">
        <v>0</v>
      </c>
      <c r="R480" s="95" t="s">
        <v>944</v>
      </c>
      <c r="S480" s="427">
        <v>1.3333333333333333</v>
      </c>
      <c r="T480" s="756">
        <f>AVERAGE(80,80,80,90,90)</f>
        <v>84</v>
      </c>
      <c r="U480" s="661">
        <v>0</v>
      </c>
      <c r="V480" s="67" t="s">
        <v>714</v>
      </c>
      <c r="W480" s="191" t="s">
        <v>714</v>
      </c>
      <c r="X480" s="677">
        <v>0</v>
      </c>
      <c r="Y480" s="233">
        <v>1</v>
      </c>
      <c r="Z480" s="248">
        <v>0</v>
      </c>
      <c r="AA480" s="230">
        <v>7.04</v>
      </c>
      <c r="AB480" s="437">
        <v>4</v>
      </c>
      <c r="AC480" s="236">
        <v>0</v>
      </c>
      <c r="AD480" s="191">
        <v>0</v>
      </c>
      <c r="AE480" s="248">
        <v>5</v>
      </c>
      <c r="AF480" s="254" t="s">
        <v>1036</v>
      </c>
    </row>
    <row r="481" spans="1:32" ht="27" customHeight="1">
      <c r="A481" s="212" t="s">
        <v>1341</v>
      </c>
      <c r="B481" s="213">
        <v>22</v>
      </c>
      <c r="C481" s="212" t="s">
        <v>1373</v>
      </c>
      <c r="D481" s="213">
        <v>37</v>
      </c>
      <c r="E481" s="213" t="s">
        <v>1059</v>
      </c>
      <c r="F481" s="209">
        <v>45246</v>
      </c>
      <c r="G481" s="191" t="s">
        <v>1343</v>
      </c>
      <c r="H481" s="65" t="s">
        <v>950</v>
      </c>
      <c r="I481" s="248"/>
      <c r="J481" s="443">
        <v>20</v>
      </c>
      <c r="K481" s="685">
        <v>20</v>
      </c>
      <c r="L481" s="684">
        <v>20</v>
      </c>
      <c r="M481" s="687">
        <f t="shared" si="17"/>
        <v>0</v>
      </c>
      <c r="N481" s="749">
        <v>0</v>
      </c>
      <c r="O481" s="749">
        <v>0</v>
      </c>
      <c r="P481" s="749">
        <v>0</v>
      </c>
      <c r="Q481" s="749">
        <v>0</v>
      </c>
      <c r="R481" s="95" t="s">
        <v>944</v>
      </c>
      <c r="S481" s="427">
        <v>1.3333333333333333</v>
      </c>
      <c r="T481" s="756">
        <f>AVERAGE(70,20,30,20,30)</f>
        <v>34</v>
      </c>
      <c r="U481" s="661">
        <v>0</v>
      </c>
      <c r="V481" s="67" t="s">
        <v>714</v>
      </c>
      <c r="W481" s="191" t="s">
        <v>714</v>
      </c>
      <c r="X481" s="677">
        <v>0</v>
      </c>
      <c r="Y481" s="233">
        <v>2</v>
      </c>
      <c r="Z481" s="248" t="s">
        <v>948</v>
      </c>
      <c r="AA481" s="230">
        <v>55.49</v>
      </c>
      <c r="AB481" s="437">
        <v>6</v>
      </c>
      <c r="AC481" s="236">
        <v>0</v>
      </c>
      <c r="AD481" s="191">
        <v>0</v>
      </c>
      <c r="AE481" s="248">
        <v>3</v>
      </c>
      <c r="AF481" s="254" t="s">
        <v>1117</v>
      </c>
    </row>
    <row r="482" spans="1:32" ht="27" customHeight="1" thickBot="1">
      <c r="A482" s="293" t="s">
        <v>1341</v>
      </c>
      <c r="B482" s="276">
        <v>22</v>
      </c>
      <c r="C482" s="293" t="s">
        <v>1373</v>
      </c>
      <c r="D482" s="276">
        <v>38</v>
      </c>
      <c r="E482" s="276" t="s">
        <v>1060</v>
      </c>
      <c r="F482" s="294">
        <v>45246</v>
      </c>
      <c r="G482" s="360" t="s">
        <v>1343</v>
      </c>
      <c r="H482" s="279" t="s">
        <v>950</v>
      </c>
      <c r="I482" s="296"/>
      <c r="J482" s="693">
        <v>30</v>
      </c>
      <c r="K482" s="720">
        <v>30</v>
      </c>
      <c r="L482" s="686">
        <v>30</v>
      </c>
      <c r="M482" s="686">
        <f t="shared" si="17"/>
        <v>0</v>
      </c>
      <c r="N482" s="750">
        <v>0</v>
      </c>
      <c r="O482" s="750">
        <v>0</v>
      </c>
      <c r="P482" s="750">
        <v>0</v>
      </c>
      <c r="Q482" s="750">
        <v>0</v>
      </c>
      <c r="R482" s="103" t="s">
        <v>1102</v>
      </c>
      <c r="S482" s="428">
        <v>0.33333333333333331</v>
      </c>
      <c r="T482" s="757">
        <f>AVERAGE(40,50,30,30,20)</f>
        <v>34</v>
      </c>
      <c r="U482" s="662">
        <v>0</v>
      </c>
      <c r="V482" s="375" t="s">
        <v>714</v>
      </c>
      <c r="W482" s="360" t="s">
        <v>714</v>
      </c>
      <c r="X482" s="679">
        <v>0</v>
      </c>
      <c r="Y482" s="285">
        <v>2</v>
      </c>
      <c r="Z482" s="296" t="s">
        <v>948</v>
      </c>
      <c r="AA482" s="295">
        <v>3.68</v>
      </c>
      <c r="AB482" s="440">
        <v>3</v>
      </c>
      <c r="AC482" s="304"/>
      <c r="AD482" s="360"/>
      <c r="AE482" s="296"/>
      <c r="AF482" s="297" t="s">
        <v>1036</v>
      </c>
    </row>
    <row r="483" spans="1:32" ht="27" customHeight="1" thickTop="1">
      <c r="A483" s="216" t="s">
        <v>1374</v>
      </c>
      <c r="B483" s="217">
        <v>23</v>
      </c>
      <c r="C483" s="216" t="s">
        <v>1375</v>
      </c>
      <c r="D483" s="289">
        <v>1</v>
      </c>
      <c r="E483" s="290" t="s">
        <v>1376</v>
      </c>
      <c r="F483" s="258">
        <v>45302</v>
      </c>
      <c r="G483" s="152" t="s">
        <v>1377</v>
      </c>
      <c r="H483" s="152" t="s">
        <v>950</v>
      </c>
      <c r="I483" s="291">
        <v>15</v>
      </c>
      <c r="J483" s="691">
        <v>10</v>
      </c>
      <c r="K483" s="687">
        <v>10</v>
      </c>
      <c r="L483" s="683">
        <v>10</v>
      </c>
      <c r="M483" s="687">
        <f t="shared" si="17"/>
        <v>0</v>
      </c>
      <c r="N483" s="727" t="s">
        <v>948</v>
      </c>
      <c r="O483" s="727" t="s">
        <v>948</v>
      </c>
      <c r="P483" s="727" t="s">
        <v>948</v>
      </c>
      <c r="Q483" s="727" t="s">
        <v>948</v>
      </c>
      <c r="R483" s="93" t="s">
        <v>945</v>
      </c>
      <c r="S483" s="727">
        <v>0</v>
      </c>
      <c r="T483" s="270">
        <v>8.8000000000000007</v>
      </c>
      <c r="U483" s="681">
        <v>1.5</v>
      </c>
      <c r="V483" s="374" t="s">
        <v>955</v>
      </c>
      <c r="W483" s="361" t="s">
        <v>1153</v>
      </c>
      <c r="X483" s="337">
        <v>30</v>
      </c>
      <c r="Y483" s="261">
        <v>1</v>
      </c>
      <c r="Z483" s="260">
        <v>0</v>
      </c>
      <c r="AA483" s="271"/>
      <c r="AB483" s="153"/>
      <c r="AC483" s="307">
        <v>0</v>
      </c>
      <c r="AD483" s="361">
        <v>4</v>
      </c>
      <c r="AE483" s="262">
        <v>3</v>
      </c>
      <c r="AF483" s="363"/>
    </row>
    <row r="484" spans="1:32" ht="27" customHeight="1">
      <c r="A484" s="175" t="s">
        <v>1374</v>
      </c>
      <c r="B484" s="176">
        <v>23</v>
      </c>
      <c r="C484" s="175" t="s">
        <v>1375</v>
      </c>
      <c r="D484" s="213">
        <v>2</v>
      </c>
      <c r="E484" s="215" t="s">
        <v>1378</v>
      </c>
      <c r="F484" s="189">
        <v>45302</v>
      </c>
      <c r="G484" s="65" t="s">
        <v>1377</v>
      </c>
      <c r="H484" s="65" t="s">
        <v>950</v>
      </c>
      <c r="I484" s="226">
        <v>15</v>
      </c>
      <c r="J484" s="710" t="s">
        <v>948</v>
      </c>
      <c r="K484" s="624">
        <v>2.5</v>
      </c>
      <c r="L484" s="694">
        <v>10</v>
      </c>
      <c r="M484" s="617">
        <f t="shared" si="17"/>
        <v>-7.5</v>
      </c>
      <c r="N484" s="697" t="s">
        <v>948</v>
      </c>
      <c r="O484" s="697" t="s">
        <v>948</v>
      </c>
      <c r="P484" s="697" t="s">
        <v>948</v>
      </c>
      <c r="Q484" s="697" t="s">
        <v>948</v>
      </c>
      <c r="R484" s="95" t="s">
        <v>944</v>
      </c>
      <c r="S484" s="697">
        <v>2</v>
      </c>
      <c r="T484" s="241">
        <v>16</v>
      </c>
      <c r="U484" s="658">
        <v>0</v>
      </c>
      <c r="V484" s="67" t="s">
        <v>714</v>
      </c>
      <c r="W484" s="191" t="s">
        <v>714</v>
      </c>
      <c r="X484" s="245" t="s">
        <v>948</v>
      </c>
      <c r="Y484" s="233">
        <v>1</v>
      </c>
      <c r="Z484" s="225">
        <v>0</v>
      </c>
      <c r="AA484" s="221"/>
      <c r="AB484" s="66"/>
      <c r="AC484" s="236">
        <v>2</v>
      </c>
      <c r="AD484" s="191">
        <v>8</v>
      </c>
      <c r="AE484" s="248">
        <v>0</v>
      </c>
      <c r="AF484" s="364"/>
    </row>
    <row r="485" spans="1:32" s="147" customFormat="1" ht="27" customHeight="1">
      <c r="A485" s="192" t="s">
        <v>1374</v>
      </c>
      <c r="B485" s="193">
        <v>23</v>
      </c>
      <c r="C485" s="192" t="s">
        <v>1375</v>
      </c>
      <c r="D485" s="213">
        <v>3</v>
      </c>
      <c r="E485" s="215" t="s">
        <v>1379</v>
      </c>
      <c r="F485" s="189">
        <v>45302</v>
      </c>
      <c r="G485" s="65" t="s">
        <v>1377</v>
      </c>
      <c r="H485" s="65" t="s">
        <v>950</v>
      </c>
      <c r="I485" s="66">
        <v>15</v>
      </c>
      <c r="J485" s="692">
        <v>20</v>
      </c>
      <c r="K485" s="689">
        <v>20</v>
      </c>
      <c r="L485" s="621">
        <v>2.5</v>
      </c>
      <c r="M485" s="617">
        <f t="shared" si="17"/>
        <v>17.5</v>
      </c>
      <c r="N485" s="697" t="s">
        <v>948</v>
      </c>
      <c r="O485" s="697" t="s">
        <v>948</v>
      </c>
      <c r="P485" s="697" t="s">
        <v>948</v>
      </c>
      <c r="Q485" s="697" t="s">
        <v>948</v>
      </c>
      <c r="R485" s="95" t="s">
        <v>944</v>
      </c>
      <c r="S485" s="697">
        <v>0</v>
      </c>
      <c r="T485" s="66">
        <v>96</v>
      </c>
      <c r="U485" s="658">
        <v>1</v>
      </c>
      <c r="V485" s="204" t="s">
        <v>955</v>
      </c>
      <c r="W485" s="65" t="s">
        <v>955</v>
      </c>
      <c r="X485" s="245" t="s">
        <v>948</v>
      </c>
      <c r="Y485" s="228">
        <v>2</v>
      </c>
      <c r="Z485" s="66" t="s">
        <v>948</v>
      </c>
      <c r="AA485" s="221"/>
      <c r="AB485" s="66"/>
      <c r="AC485" s="233">
        <v>2</v>
      </c>
      <c r="AD485" s="19">
        <v>2</v>
      </c>
      <c r="AE485" s="225">
        <v>0</v>
      </c>
      <c r="AF485" s="151"/>
    </row>
    <row r="486" spans="1:32" ht="27" customHeight="1">
      <c r="A486" s="175" t="s">
        <v>1374</v>
      </c>
      <c r="B486" s="176">
        <v>23</v>
      </c>
      <c r="C486" s="175" t="s">
        <v>1375</v>
      </c>
      <c r="D486" s="213">
        <v>4</v>
      </c>
      <c r="E486" s="215" t="s">
        <v>1380</v>
      </c>
      <c r="F486" s="189"/>
      <c r="G486" s="65"/>
      <c r="H486" s="65"/>
      <c r="I486" s="226"/>
      <c r="J486" s="710"/>
      <c r="K486" s="708"/>
      <c r="L486" s="625">
        <v>2.5</v>
      </c>
      <c r="M486" s="617"/>
      <c r="N486" s="697"/>
      <c r="O486" s="697"/>
      <c r="P486" s="697"/>
      <c r="Q486" s="697"/>
      <c r="R486" s="95"/>
      <c r="S486" s="697"/>
      <c r="T486" s="241"/>
      <c r="U486" s="658"/>
      <c r="V486" s="67"/>
      <c r="W486" s="191"/>
      <c r="X486" s="245"/>
      <c r="Y486" s="233"/>
      <c r="Z486" s="225"/>
      <c r="AA486" s="221"/>
      <c r="AB486" s="66"/>
      <c r="AC486" s="233"/>
      <c r="AD486" s="19"/>
      <c r="AE486" s="248"/>
      <c r="AF486" s="364"/>
    </row>
    <row r="487" spans="1:32" s="147" customFormat="1" ht="27" customHeight="1">
      <c r="A487" s="192" t="s">
        <v>1374</v>
      </c>
      <c r="B487" s="193">
        <v>23</v>
      </c>
      <c r="C487" s="192" t="s">
        <v>1375</v>
      </c>
      <c r="D487" s="213">
        <v>5</v>
      </c>
      <c r="E487" s="215" t="s">
        <v>1381</v>
      </c>
      <c r="F487" s="189">
        <v>45302</v>
      </c>
      <c r="G487" s="65" t="s">
        <v>1377</v>
      </c>
      <c r="H487" s="65" t="s">
        <v>950</v>
      </c>
      <c r="I487" s="226">
        <v>15</v>
      </c>
      <c r="J487" s="443">
        <v>30</v>
      </c>
      <c r="K487" s="688">
        <v>30</v>
      </c>
      <c r="L487" s="684">
        <v>20</v>
      </c>
      <c r="M487" s="687">
        <f>K487-L487</f>
        <v>10</v>
      </c>
      <c r="N487" s="697" t="s">
        <v>948</v>
      </c>
      <c r="O487" s="697" t="s">
        <v>948</v>
      </c>
      <c r="P487" s="697" t="s">
        <v>948</v>
      </c>
      <c r="Q487" s="697" t="s">
        <v>948</v>
      </c>
      <c r="R487" s="95" t="s">
        <v>944</v>
      </c>
      <c r="S487" s="697">
        <v>1</v>
      </c>
      <c r="T487" s="241">
        <v>92</v>
      </c>
      <c r="U487" s="658">
        <v>0</v>
      </c>
      <c r="V487" s="67" t="s">
        <v>714</v>
      </c>
      <c r="W487" s="191" t="s">
        <v>714</v>
      </c>
      <c r="X487" s="245">
        <v>0</v>
      </c>
      <c r="Y487" s="233">
        <v>2</v>
      </c>
      <c r="Z487" s="248" t="s">
        <v>948</v>
      </c>
      <c r="AA487" s="221"/>
      <c r="AB487" s="66"/>
      <c r="AC487" s="236">
        <v>2</v>
      </c>
      <c r="AD487" s="191">
        <v>5</v>
      </c>
      <c r="AE487" s="248">
        <v>4</v>
      </c>
      <c r="AF487" s="364"/>
    </row>
    <row r="488" spans="1:32" s="147" customFormat="1" ht="27" customHeight="1">
      <c r="A488" s="192" t="s">
        <v>1374</v>
      </c>
      <c r="B488" s="193">
        <v>23</v>
      </c>
      <c r="C488" s="192" t="s">
        <v>1375</v>
      </c>
      <c r="D488" s="213">
        <v>6</v>
      </c>
      <c r="E488" s="215" t="s">
        <v>1382</v>
      </c>
      <c r="F488" s="189">
        <v>45281</v>
      </c>
      <c r="G488" s="65" t="s">
        <v>1377</v>
      </c>
      <c r="H488" s="65" t="s">
        <v>950</v>
      </c>
      <c r="I488" s="226">
        <v>15</v>
      </c>
      <c r="J488" s="443">
        <v>70</v>
      </c>
      <c r="K488" s="688">
        <v>70</v>
      </c>
      <c r="L488" s="684">
        <v>40</v>
      </c>
      <c r="M488" s="687">
        <f>K488-L488</f>
        <v>30</v>
      </c>
      <c r="N488" s="697" t="s">
        <v>948</v>
      </c>
      <c r="O488" s="697">
        <v>0</v>
      </c>
      <c r="P488" s="697" t="s">
        <v>948</v>
      </c>
      <c r="Q488" s="697">
        <v>0</v>
      </c>
      <c r="R488" s="95" t="s">
        <v>1208</v>
      </c>
      <c r="S488" s="697">
        <v>1</v>
      </c>
      <c r="T488" s="241">
        <v>180</v>
      </c>
      <c r="U488" s="658">
        <v>0</v>
      </c>
      <c r="V488" s="67" t="s">
        <v>714</v>
      </c>
      <c r="W488" s="191" t="s">
        <v>714</v>
      </c>
      <c r="X488" s="253">
        <v>0</v>
      </c>
      <c r="Y488" s="233">
        <v>2</v>
      </c>
      <c r="Z488" s="248" t="s">
        <v>948</v>
      </c>
      <c r="AA488" s="221"/>
      <c r="AB488" s="66"/>
      <c r="AC488" s="236">
        <v>0</v>
      </c>
      <c r="AD488" s="191">
        <v>0</v>
      </c>
      <c r="AE488" s="248">
        <v>2</v>
      </c>
      <c r="AF488" s="254"/>
    </row>
    <row r="489" spans="1:32" s="147" customFormat="1" ht="27" customHeight="1">
      <c r="A489" s="192" t="s">
        <v>1374</v>
      </c>
      <c r="B489" s="193">
        <v>23</v>
      </c>
      <c r="C489" s="192" t="s">
        <v>1375</v>
      </c>
      <c r="D489" s="213">
        <v>7</v>
      </c>
      <c r="E489" s="215" t="s">
        <v>1383</v>
      </c>
      <c r="F489" s="189">
        <v>45281</v>
      </c>
      <c r="G489" s="65" t="s">
        <v>1377</v>
      </c>
      <c r="H489" s="65" t="s">
        <v>950</v>
      </c>
      <c r="I489" s="226">
        <v>15</v>
      </c>
      <c r="J489" s="443">
        <v>50</v>
      </c>
      <c r="K489" s="688">
        <v>50</v>
      </c>
      <c r="L489" s="684">
        <v>30</v>
      </c>
      <c r="M489" s="687">
        <f>K489-L489</f>
        <v>20</v>
      </c>
      <c r="N489" s="697" t="s">
        <v>948</v>
      </c>
      <c r="O489" s="697">
        <v>0</v>
      </c>
      <c r="P489" s="697" t="s">
        <v>948</v>
      </c>
      <c r="Q489" s="697">
        <v>0</v>
      </c>
      <c r="R489" s="95" t="s">
        <v>944</v>
      </c>
      <c r="S489" s="697">
        <v>2</v>
      </c>
      <c r="T489" s="241">
        <v>170</v>
      </c>
      <c r="U489" s="658">
        <v>0</v>
      </c>
      <c r="V489" s="67" t="s">
        <v>714</v>
      </c>
      <c r="W489" s="191" t="s">
        <v>714</v>
      </c>
      <c r="X489" s="245">
        <v>0</v>
      </c>
      <c r="Y489" s="233">
        <v>2</v>
      </c>
      <c r="Z489" s="248" t="s">
        <v>948</v>
      </c>
      <c r="AA489" s="221"/>
      <c r="AB489" s="66"/>
      <c r="AC489" s="236">
        <v>0</v>
      </c>
      <c r="AD489" s="191">
        <v>0</v>
      </c>
      <c r="AE489" s="248">
        <v>5</v>
      </c>
      <c r="AF489" s="254"/>
    </row>
    <row r="490" spans="1:32" s="147" customFormat="1" ht="27" customHeight="1">
      <c r="A490" s="192" t="s">
        <v>1374</v>
      </c>
      <c r="B490" s="193">
        <v>23</v>
      </c>
      <c r="C490" s="192" t="s">
        <v>1375</v>
      </c>
      <c r="D490" s="213">
        <v>8</v>
      </c>
      <c r="E490" s="215" t="s">
        <v>1384</v>
      </c>
      <c r="F490" s="65"/>
      <c r="G490" s="65"/>
      <c r="H490" s="65"/>
      <c r="I490" s="66"/>
      <c r="J490" s="692"/>
      <c r="K490" s="689"/>
      <c r="L490" s="621"/>
      <c r="M490" s="687"/>
      <c r="N490" s="697"/>
      <c r="O490" s="697"/>
      <c r="P490" s="697"/>
      <c r="Q490" s="697"/>
      <c r="R490" s="65"/>
      <c r="S490" s="697"/>
      <c r="T490" s="66"/>
      <c r="U490" s="658"/>
      <c r="V490" s="204"/>
      <c r="W490" s="65"/>
      <c r="X490" s="245"/>
      <c r="Y490" s="228"/>
      <c r="Z490" s="66"/>
      <c r="AA490" s="221"/>
      <c r="AB490" s="66"/>
      <c r="AC490" s="228"/>
      <c r="AD490" s="65"/>
      <c r="AE490" s="66"/>
      <c r="AF490" s="151"/>
    </row>
    <row r="491" spans="1:32" ht="27" customHeight="1">
      <c r="A491" s="175" t="s">
        <v>1374</v>
      </c>
      <c r="B491" s="176">
        <v>23</v>
      </c>
      <c r="C491" s="175" t="s">
        <v>1375</v>
      </c>
      <c r="D491" s="213">
        <v>9</v>
      </c>
      <c r="E491" s="215" t="s">
        <v>1385</v>
      </c>
      <c r="F491" s="189">
        <v>45282</v>
      </c>
      <c r="G491" s="65" t="s">
        <v>1377</v>
      </c>
      <c r="H491" s="65" t="s">
        <v>950</v>
      </c>
      <c r="I491" s="226">
        <v>15</v>
      </c>
      <c r="J491" s="710" t="s">
        <v>948</v>
      </c>
      <c r="K491" s="624">
        <v>2.5</v>
      </c>
      <c r="L491" s="625">
        <v>2.5</v>
      </c>
      <c r="M491" s="687">
        <f t="shared" ref="M491:M503" si="18">K491-L491</f>
        <v>0</v>
      </c>
      <c r="N491" s="697" t="s">
        <v>948</v>
      </c>
      <c r="O491" s="697" t="s">
        <v>948</v>
      </c>
      <c r="P491" s="697" t="s">
        <v>948</v>
      </c>
      <c r="Q491" s="697" t="s">
        <v>948</v>
      </c>
      <c r="R491" s="95" t="s">
        <v>944</v>
      </c>
      <c r="S491" s="697">
        <v>3</v>
      </c>
      <c r="T491" s="241">
        <v>14</v>
      </c>
      <c r="U491" s="643">
        <v>0</v>
      </c>
      <c r="V491" s="67" t="s">
        <v>714</v>
      </c>
      <c r="W491" s="191" t="s">
        <v>714</v>
      </c>
      <c r="X491" s="245">
        <v>0</v>
      </c>
      <c r="Y491" s="233">
        <v>1</v>
      </c>
      <c r="Z491" s="225">
        <v>0</v>
      </c>
      <c r="AA491" s="221"/>
      <c r="AB491" s="66"/>
      <c r="AC491" s="236"/>
      <c r="AD491" s="191"/>
      <c r="AE491" s="248"/>
      <c r="AF491" s="364"/>
    </row>
    <row r="492" spans="1:32" s="147" customFormat="1" ht="27" customHeight="1">
      <c r="A492" s="192" t="s">
        <v>1374</v>
      </c>
      <c r="B492" s="193">
        <v>23</v>
      </c>
      <c r="C492" s="192" t="s">
        <v>1375</v>
      </c>
      <c r="D492" s="213">
        <v>10</v>
      </c>
      <c r="E492" s="215" t="s">
        <v>1386</v>
      </c>
      <c r="F492" s="189">
        <v>45214</v>
      </c>
      <c r="G492" s="65" t="s">
        <v>1377</v>
      </c>
      <c r="H492" s="65" t="s">
        <v>950</v>
      </c>
      <c r="I492" s="226">
        <v>30</v>
      </c>
      <c r="J492" s="710">
        <v>10</v>
      </c>
      <c r="K492" s="708">
        <v>10</v>
      </c>
      <c r="L492" s="625">
        <v>2.5</v>
      </c>
      <c r="M492" s="617">
        <f t="shared" si="18"/>
        <v>7.5</v>
      </c>
      <c r="N492" s="697" t="s">
        <v>948</v>
      </c>
      <c r="O492" s="697" t="s">
        <v>948</v>
      </c>
      <c r="P492" s="697" t="s">
        <v>948</v>
      </c>
      <c r="Q492" s="697" t="s">
        <v>948</v>
      </c>
      <c r="R492" s="95" t="s">
        <v>944</v>
      </c>
      <c r="S492" s="697">
        <v>1</v>
      </c>
      <c r="T492" s="241">
        <v>16</v>
      </c>
      <c r="U492" s="643">
        <v>0</v>
      </c>
      <c r="V492" s="67" t="s">
        <v>714</v>
      </c>
      <c r="W492" s="191" t="s">
        <v>714</v>
      </c>
      <c r="X492" s="245">
        <v>0</v>
      </c>
      <c r="Y492" s="233">
        <v>2</v>
      </c>
      <c r="Z492" s="248">
        <v>10</v>
      </c>
      <c r="AA492" s="221"/>
      <c r="AB492" s="66"/>
      <c r="AC492" s="236">
        <v>0</v>
      </c>
      <c r="AD492" s="191">
        <v>0</v>
      </c>
      <c r="AE492" s="248">
        <v>1</v>
      </c>
      <c r="AF492" s="364"/>
    </row>
    <row r="493" spans="1:32" ht="27" customHeight="1">
      <c r="A493" s="175" t="s">
        <v>1374</v>
      </c>
      <c r="B493" s="176">
        <v>23</v>
      </c>
      <c r="C493" s="175" t="s">
        <v>1375</v>
      </c>
      <c r="D493" s="213">
        <v>11</v>
      </c>
      <c r="E493" s="215" t="s">
        <v>1387</v>
      </c>
      <c r="F493" s="189">
        <v>45214</v>
      </c>
      <c r="G493" s="65" t="s">
        <v>1377</v>
      </c>
      <c r="H493" s="65" t="s">
        <v>950</v>
      </c>
      <c r="I493" s="226">
        <v>15</v>
      </c>
      <c r="J493" s="710" t="s">
        <v>948</v>
      </c>
      <c r="K493" s="624">
        <v>2.5</v>
      </c>
      <c r="L493" s="625">
        <v>2.5</v>
      </c>
      <c r="M493" s="687">
        <f t="shared" si="18"/>
        <v>0</v>
      </c>
      <c r="N493" s="697">
        <v>40</v>
      </c>
      <c r="O493" s="697" t="s">
        <v>948</v>
      </c>
      <c r="P493" s="697" t="s">
        <v>948</v>
      </c>
      <c r="Q493" s="697" t="s">
        <v>948</v>
      </c>
      <c r="R493" s="95" t="s">
        <v>944</v>
      </c>
      <c r="S493" s="697">
        <v>0</v>
      </c>
      <c r="T493" s="241">
        <v>7.5</v>
      </c>
      <c r="U493" s="643">
        <v>0</v>
      </c>
      <c r="V493" s="67" t="s">
        <v>714</v>
      </c>
      <c r="W493" s="191" t="s">
        <v>714</v>
      </c>
      <c r="X493" s="245">
        <v>0</v>
      </c>
      <c r="Y493" s="233">
        <v>1</v>
      </c>
      <c r="Z493" s="225">
        <v>0</v>
      </c>
      <c r="AA493" s="221"/>
      <c r="AB493" s="66"/>
      <c r="AC493" s="236"/>
      <c r="AD493" s="191"/>
      <c r="AE493" s="248"/>
      <c r="AF493" s="364"/>
    </row>
    <row r="494" spans="1:32" s="147" customFormat="1" ht="27" customHeight="1">
      <c r="A494" s="192" t="s">
        <v>1374</v>
      </c>
      <c r="B494" s="193">
        <v>23</v>
      </c>
      <c r="C494" s="192" t="s">
        <v>1375</v>
      </c>
      <c r="D494" s="213">
        <v>12</v>
      </c>
      <c r="E494" s="215" t="s">
        <v>1388</v>
      </c>
      <c r="F494" s="189">
        <v>45214</v>
      </c>
      <c r="G494" s="65" t="s">
        <v>1377</v>
      </c>
      <c r="H494" s="65" t="s">
        <v>950</v>
      </c>
      <c r="I494" s="226">
        <v>15</v>
      </c>
      <c r="J494" s="710" t="s">
        <v>948</v>
      </c>
      <c r="K494" s="624">
        <v>2.5</v>
      </c>
      <c r="L494" s="625">
        <v>2.5</v>
      </c>
      <c r="M494" s="687">
        <f t="shared" si="18"/>
        <v>0</v>
      </c>
      <c r="N494" s="697">
        <v>40</v>
      </c>
      <c r="O494" s="697" t="s">
        <v>948</v>
      </c>
      <c r="P494" s="697" t="s">
        <v>948</v>
      </c>
      <c r="Q494" s="697" t="s">
        <v>948</v>
      </c>
      <c r="R494" s="95" t="s">
        <v>944</v>
      </c>
      <c r="S494" s="697">
        <v>2</v>
      </c>
      <c r="T494" s="241">
        <v>9</v>
      </c>
      <c r="U494" s="643">
        <v>0</v>
      </c>
      <c r="V494" s="67" t="s">
        <v>714</v>
      </c>
      <c r="W494" s="191" t="s">
        <v>714</v>
      </c>
      <c r="X494" s="245">
        <v>0</v>
      </c>
      <c r="Y494" s="233">
        <v>1</v>
      </c>
      <c r="Z494" s="225">
        <v>0</v>
      </c>
      <c r="AA494" s="221"/>
      <c r="AB494" s="66"/>
      <c r="AC494" s="236"/>
      <c r="AD494" s="191"/>
      <c r="AE494" s="248"/>
      <c r="AF494" s="364"/>
    </row>
    <row r="495" spans="1:32" s="147" customFormat="1" ht="27" customHeight="1">
      <c r="A495" s="192" t="s">
        <v>1374</v>
      </c>
      <c r="B495" s="193">
        <v>23</v>
      </c>
      <c r="C495" s="192" t="s">
        <v>1375</v>
      </c>
      <c r="D495" s="213">
        <v>13</v>
      </c>
      <c r="E495" s="215" t="s">
        <v>1389</v>
      </c>
      <c r="F495" s="189">
        <v>45274</v>
      </c>
      <c r="G495" s="65" t="s">
        <v>1377</v>
      </c>
      <c r="H495" s="65" t="s">
        <v>950</v>
      </c>
      <c r="I495" s="226">
        <v>30</v>
      </c>
      <c r="J495" s="710" t="s">
        <v>948</v>
      </c>
      <c r="K495" s="624">
        <v>2.5</v>
      </c>
      <c r="L495" s="625">
        <v>2.5</v>
      </c>
      <c r="M495" s="687">
        <f t="shared" si="18"/>
        <v>0</v>
      </c>
      <c r="N495" s="697" t="s">
        <v>948</v>
      </c>
      <c r="O495" s="697">
        <v>0</v>
      </c>
      <c r="P495" s="697" t="s">
        <v>948</v>
      </c>
      <c r="Q495" s="697">
        <v>0</v>
      </c>
      <c r="R495" s="95" t="s">
        <v>944</v>
      </c>
      <c r="S495" s="697">
        <v>3</v>
      </c>
      <c r="T495" s="245">
        <v>0</v>
      </c>
      <c r="U495" s="643">
        <v>2</v>
      </c>
      <c r="V495" s="204" t="s">
        <v>1665</v>
      </c>
      <c r="W495" s="65" t="s">
        <v>1664</v>
      </c>
      <c r="X495" s="245">
        <v>10</v>
      </c>
      <c r="Y495" s="233">
        <v>2</v>
      </c>
      <c r="Z495" s="248" t="s">
        <v>948</v>
      </c>
      <c r="AA495" s="221"/>
      <c r="AB495" s="66"/>
      <c r="AC495" s="236">
        <v>4</v>
      </c>
      <c r="AD495" s="191">
        <v>0</v>
      </c>
      <c r="AE495" s="248">
        <v>6</v>
      </c>
      <c r="AF495" s="364"/>
    </row>
    <row r="496" spans="1:32" s="147" customFormat="1" ht="27" customHeight="1">
      <c r="A496" s="192" t="s">
        <v>1374</v>
      </c>
      <c r="B496" s="193">
        <v>23</v>
      </c>
      <c r="C496" s="192" t="s">
        <v>1375</v>
      </c>
      <c r="D496" s="213">
        <v>14</v>
      </c>
      <c r="E496" s="215" t="s">
        <v>1390</v>
      </c>
      <c r="F496" s="189">
        <v>45274</v>
      </c>
      <c r="G496" s="65" t="s">
        <v>1377</v>
      </c>
      <c r="H496" s="65" t="s">
        <v>950</v>
      </c>
      <c r="I496" s="226">
        <v>15</v>
      </c>
      <c r="J496" s="710" t="s">
        <v>948</v>
      </c>
      <c r="K496" s="624">
        <v>2.5</v>
      </c>
      <c r="L496" s="625">
        <v>2.5</v>
      </c>
      <c r="M496" s="687">
        <f t="shared" si="18"/>
        <v>0</v>
      </c>
      <c r="N496" s="697" t="s">
        <v>948</v>
      </c>
      <c r="O496" s="697">
        <v>80</v>
      </c>
      <c r="P496" s="697" t="s">
        <v>948</v>
      </c>
      <c r="Q496" s="697">
        <v>30</v>
      </c>
      <c r="R496" s="95" t="s">
        <v>944</v>
      </c>
      <c r="S496" s="697">
        <v>1</v>
      </c>
      <c r="T496" s="241">
        <v>13.3</v>
      </c>
      <c r="U496" s="643">
        <v>0</v>
      </c>
      <c r="V496" s="204" t="s">
        <v>714</v>
      </c>
      <c r="W496" s="65" t="s">
        <v>714</v>
      </c>
      <c r="X496" s="245" t="s">
        <v>948</v>
      </c>
      <c r="Y496" s="233">
        <v>1</v>
      </c>
      <c r="Z496" s="225">
        <v>0</v>
      </c>
      <c r="AA496" s="221"/>
      <c r="AB496" s="66"/>
      <c r="AC496" s="236">
        <v>1</v>
      </c>
      <c r="AD496" s="191">
        <v>0</v>
      </c>
      <c r="AE496" s="248">
        <v>2</v>
      </c>
      <c r="AF496" s="364"/>
    </row>
    <row r="497" spans="1:32" s="147" customFormat="1" ht="27" customHeight="1">
      <c r="A497" s="192" t="s">
        <v>1374</v>
      </c>
      <c r="B497" s="193">
        <v>23</v>
      </c>
      <c r="C497" s="192" t="s">
        <v>1375</v>
      </c>
      <c r="D497" s="213">
        <v>15</v>
      </c>
      <c r="E497" s="215" t="s">
        <v>1391</v>
      </c>
      <c r="F497" s="189">
        <v>45274</v>
      </c>
      <c r="G497" s="65" t="s">
        <v>1377</v>
      </c>
      <c r="H497" s="65" t="s">
        <v>950</v>
      </c>
      <c r="I497" s="226">
        <v>30</v>
      </c>
      <c r="J497" s="443">
        <v>70</v>
      </c>
      <c r="K497" s="688">
        <v>70</v>
      </c>
      <c r="L497" s="684">
        <v>60</v>
      </c>
      <c r="M497" s="687">
        <f t="shared" si="18"/>
        <v>10</v>
      </c>
      <c r="N497" s="697" t="s">
        <v>948</v>
      </c>
      <c r="O497" s="697">
        <v>0</v>
      </c>
      <c r="P497" s="697" t="s">
        <v>948</v>
      </c>
      <c r="Q497" s="697">
        <v>0</v>
      </c>
      <c r="R497" s="95" t="s">
        <v>945</v>
      </c>
      <c r="S497" s="697">
        <v>1</v>
      </c>
      <c r="T497" s="241">
        <v>20</v>
      </c>
      <c r="U497" s="658">
        <v>0</v>
      </c>
      <c r="V497" s="67" t="s">
        <v>714</v>
      </c>
      <c r="W497" s="191" t="s">
        <v>714</v>
      </c>
      <c r="X497" s="245">
        <v>0</v>
      </c>
      <c r="Y497" s="233">
        <v>3</v>
      </c>
      <c r="Z497" s="225">
        <v>30</v>
      </c>
      <c r="AA497" s="221"/>
      <c r="AB497" s="66"/>
      <c r="AC497" s="233">
        <v>0</v>
      </c>
      <c r="AD497" s="191">
        <v>0</v>
      </c>
      <c r="AE497" s="248">
        <v>2</v>
      </c>
      <c r="AF497" s="364"/>
    </row>
    <row r="498" spans="1:32" s="147" customFormat="1" ht="27" customHeight="1">
      <c r="A498" s="192" t="s">
        <v>1374</v>
      </c>
      <c r="B498" s="193">
        <v>23</v>
      </c>
      <c r="C498" s="192" t="s">
        <v>1375</v>
      </c>
      <c r="D498" s="213">
        <v>16</v>
      </c>
      <c r="E498" s="213" t="s">
        <v>1392</v>
      </c>
      <c r="F498" s="189">
        <v>45263</v>
      </c>
      <c r="G498" s="65" t="s">
        <v>1377</v>
      </c>
      <c r="H498" s="65" t="s">
        <v>950</v>
      </c>
      <c r="I498" s="226">
        <v>15</v>
      </c>
      <c r="J498" s="443">
        <v>10</v>
      </c>
      <c r="K498" s="688">
        <v>10</v>
      </c>
      <c r="L498" s="620">
        <v>2.5</v>
      </c>
      <c r="M498" s="617">
        <f t="shared" si="18"/>
        <v>7.5</v>
      </c>
      <c r="N498" s="697" t="s">
        <v>948</v>
      </c>
      <c r="O498" s="697">
        <v>0</v>
      </c>
      <c r="P498" s="697">
        <v>0</v>
      </c>
      <c r="Q498" s="697">
        <v>0</v>
      </c>
      <c r="R498" s="95" t="s">
        <v>1415</v>
      </c>
      <c r="S498" s="697">
        <v>4</v>
      </c>
      <c r="T498" s="241">
        <v>24</v>
      </c>
      <c r="U498" s="658">
        <v>0</v>
      </c>
      <c r="V498" s="67" t="s">
        <v>714</v>
      </c>
      <c r="W498" s="191" t="s">
        <v>714</v>
      </c>
      <c r="X498" s="245">
        <v>0</v>
      </c>
      <c r="Y498" s="233">
        <v>1</v>
      </c>
      <c r="Z498" s="225">
        <v>0</v>
      </c>
      <c r="AA498" s="221"/>
      <c r="AB498" s="66"/>
      <c r="AC498" s="236">
        <v>1</v>
      </c>
      <c r="AD498" s="191">
        <v>0</v>
      </c>
      <c r="AE498" s="248">
        <v>0</v>
      </c>
      <c r="AF498" s="364"/>
    </row>
    <row r="499" spans="1:32" s="147" customFormat="1" ht="27" customHeight="1">
      <c r="A499" s="192" t="s">
        <v>1374</v>
      </c>
      <c r="B499" s="193">
        <v>23</v>
      </c>
      <c r="C499" s="192" t="s">
        <v>1375</v>
      </c>
      <c r="D499" s="213">
        <v>17</v>
      </c>
      <c r="E499" s="213" t="s">
        <v>1393</v>
      </c>
      <c r="F499" s="189">
        <v>45263</v>
      </c>
      <c r="G499" s="65" t="s">
        <v>1377</v>
      </c>
      <c r="H499" s="65" t="s">
        <v>950</v>
      </c>
      <c r="I499" s="226">
        <v>15</v>
      </c>
      <c r="J499" s="443" t="s">
        <v>948</v>
      </c>
      <c r="K499" s="619">
        <v>2.5</v>
      </c>
      <c r="L499" s="620">
        <v>2.5</v>
      </c>
      <c r="M499" s="687">
        <f t="shared" si="18"/>
        <v>0</v>
      </c>
      <c r="N499" s="697" t="s">
        <v>948</v>
      </c>
      <c r="O499" s="697">
        <v>0</v>
      </c>
      <c r="P499" s="697">
        <v>0</v>
      </c>
      <c r="Q499" s="697">
        <v>0</v>
      </c>
      <c r="R499" s="95" t="s">
        <v>944</v>
      </c>
      <c r="S499" s="697">
        <v>0</v>
      </c>
      <c r="T499" s="241">
        <v>67.5</v>
      </c>
      <c r="U499" s="658">
        <v>0</v>
      </c>
      <c r="V499" s="67" t="s">
        <v>714</v>
      </c>
      <c r="W499" s="191" t="s">
        <v>714</v>
      </c>
      <c r="X499" s="245">
        <v>0</v>
      </c>
      <c r="Y499" s="233">
        <v>1</v>
      </c>
      <c r="Z499" s="225">
        <v>0</v>
      </c>
      <c r="AA499" s="221"/>
      <c r="AB499" s="66"/>
      <c r="AC499" s="236">
        <v>0</v>
      </c>
      <c r="AD499" s="191">
        <v>0</v>
      </c>
      <c r="AE499" s="248">
        <v>2</v>
      </c>
      <c r="AF499" s="254"/>
    </row>
    <row r="500" spans="1:32" ht="27" customHeight="1" thickBot="1">
      <c r="A500" s="274" t="s">
        <v>1374</v>
      </c>
      <c r="B500" s="275">
        <v>23</v>
      </c>
      <c r="C500" s="274" t="s">
        <v>1375</v>
      </c>
      <c r="D500" s="276">
        <v>18</v>
      </c>
      <c r="E500" s="277" t="s">
        <v>1394</v>
      </c>
      <c r="F500" s="278">
        <v>45263</v>
      </c>
      <c r="G500" s="279" t="s">
        <v>1377</v>
      </c>
      <c r="H500" s="279" t="s">
        <v>950</v>
      </c>
      <c r="I500" s="280">
        <v>15</v>
      </c>
      <c r="J500" s="758" t="s">
        <v>948</v>
      </c>
      <c r="K500" s="632">
        <v>2.5</v>
      </c>
      <c r="L500" s="633">
        <v>2.5</v>
      </c>
      <c r="M500" s="686">
        <f t="shared" si="18"/>
        <v>0</v>
      </c>
      <c r="N500" s="728" t="s">
        <v>948</v>
      </c>
      <c r="O500" s="728">
        <v>0</v>
      </c>
      <c r="P500" s="728">
        <v>0</v>
      </c>
      <c r="Q500" s="728">
        <v>0</v>
      </c>
      <c r="R500" s="103" t="s">
        <v>944</v>
      </c>
      <c r="S500" s="728">
        <v>5</v>
      </c>
      <c r="T500" s="282">
        <v>24</v>
      </c>
      <c r="U500" s="659">
        <v>0</v>
      </c>
      <c r="V500" s="375" t="s">
        <v>714</v>
      </c>
      <c r="W500" s="360" t="s">
        <v>714</v>
      </c>
      <c r="X500" s="674">
        <v>0</v>
      </c>
      <c r="Y500" s="285">
        <v>1</v>
      </c>
      <c r="Z500" s="286">
        <v>0</v>
      </c>
      <c r="AA500" s="283"/>
      <c r="AB500" s="288"/>
      <c r="AC500" s="304"/>
      <c r="AD500" s="360"/>
      <c r="AE500" s="296"/>
      <c r="AF500" s="365"/>
    </row>
    <row r="501" spans="1:32" s="147" customFormat="1" ht="27" customHeight="1" thickTop="1">
      <c r="A501" s="256" t="s">
        <v>1395</v>
      </c>
      <c r="B501" s="257">
        <v>24</v>
      </c>
      <c r="C501" s="256" t="s">
        <v>1396</v>
      </c>
      <c r="D501" s="268">
        <v>1</v>
      </c>
      <c r="E501" s="257" t="s">
        <v>1397</v>
      </c>
      <c r="F501" s="258">
        <v>45251</v>
      </c>
      <c r="G501" s="152" t="s">
        <v>1398</v>
      </c>
      <c r="H501" s="152" t="s">
        <v>950</v>
      </c>
      <c r="I501" s="260">
        <v>15</v>
      </c>
      <c r="J501" s="691" t="s">
        <v>1637</v>
      </c>
      <c r="K501" s="726">
        <v>10</v>
      </c>
      <c r="L501" s="618">
        <v>2.5</v>
      </c>
      <c r="M501" s="760">
        <f t="shared" si="18"/>
        <v>7.5</v>
      </c>
      <c r="N501" s="269">
        <v>2.5</v>
      </c>
      <c r="O501" s="269">
        <v>2.5</v>
      </c>
      <c r="P501" s="727">
        <v>0</v>
      </c>
      <c r="Q501" s="727">
        <v>0</v>
      </c>
      <c r="R501" s="93" t="s">
        <v>1208</v>
      </c>
      <c r="S501" s="269">
        <v>0.34285714285714286</v>
      </c>
      <c r="T501" s="270">
        <v>47.625</v>
      </c>
      <c r="U501" s="657">
        <v>0</v>
      </c>
      <c r="V501" s="374" t="s">
        <v>855</v>
      </c>
      <c r="W501" s="361" t="s">
        <v>714</v>
      </c>
      <c r="X501" s="673">
        <v>0</v>
      </c>
      <c r="Y501" s="261">
        <v>1</v>
      </c>
      <c r="Z501" s="260">
        <v>0</v>
      </c>
      <c r="AA501" s="324"/>
      <c r="AB501" s="273"/>
      <c r="AC501" s="307"/>
      <c r="AD501" s="361"/>
      <c r="AE501" s="262"/>
      <c r="AF501" s="363"/>
    </row>
    <row r="502" spans="1:32" ht="27" customHeight="1">
      <c r="A502" s="186" t="s">
        <v>1395</v>
      </c>
      <c r="B502" s="181">
        <v>24</v>
      </c>
      <c r="C502" s="186" t="s">
        <v>1396</v>
      </c>
      <c r="D502" s="182">
        <v>2</v>
      </c>
      <c r="E502" s="181" t="s">
        <v>1399</v>
      </c>
      <c r="F502" s="189">
        <v>45251</v>
      </c>
      <c r="G502" s="65" t="s">
        <v>1398</v>
      </c>
      <c r="H502" s="65" t="s">
        <v>950</v>
      </c>
      <c r="I502" s="225">
        <v>15</v>
      </c>
      <c r="J502" s="443">
        <v>50</v>
      </c>
      <c r="K502" s="685">
        <v>50</v>
      </c>
      <c r="L502" s="684">
        <v>40</v>
      </c>
      <c r="M502" s="687">
        <f t="shared" si="18"/>
        <v>10</v>
      </c>
      <c r="N502" s="179">
        <v>5</v>
      </c>
      <c r="O502" s="179">
        <v>5</v>
      </c>
      <c r="P502" s="697">
        <v>0</v>
      </c>
      <c r="Q502" s="697">
        <v>0</v>
      </c>
      <c r="R502" s="95" t="s">
        <v>1208</v>
      </c>
      <c r="S502" s="179">
        <v>0.22857142857142856</v>
      </c>
      <c r="T502" s="241">
        <v>122.66666666666666</v>
      </c>
      <c r="U502" s="658">
        <v>0</v>
      </c>
      <c r="V502" s="67" t="s">
        <v>714</v>
      </c>
      <c r="W502" s="191" t="s">
        <v>714</v>
      </c>
      <c r="X502" s="245">
        <v>0</v>
      </c>
      <c r="Y502" s="233">
        <v>1</v>
      </c>
      <c r="Z502" s="225">
        <v>0</v>
      </c>
      <c r="AA502" s="229"/>
      <c r="AB502" s="247"/>
      <c r="AC502" s="236"/>
      <c r="AD502" s="191"/>
      <c r="AE502" s="248"/>
      <c r="AF502" s="364"/>
    </row>
    <row r="503" spans="1:32" ht="27" customHeight="1">
      <c r="A503" s="186" t="s">
        <v>1395</v>
      </c>
      <c r="B503" s="181">
        <v>24</v>
      </c>
      <c r="C503" s="186" t="s">
        <v>1396</v>
      </c>
      <c r="D503" s="182">
        <v>3</v>
      </c>
      <c r="E503" s="181" t="s">
        <v>1400</v>
      </c>
      <c r="F503" s="189">
        <v>45251</v>
      </c>
      <c r="G503" s="65" t="s">
        <v>1398</v>
      </c>
      <c r="H503" s="65" t="s">
        <v>950</v>
      </c>
      <c r="I503" s="225">
        <v>15</v>
      </c>
      <c r="J503" s="443">
        <v>30</v>
      </c>
      <c r="K503" s="685">
        <v>30</v>
      </c>
      <c r="L503" s="684">
        <v>30</v>
      </c>
      <c r="M503" s="687">
        <f t="shared" si="18"/>
        <v>0</v>
      </c>
      <c r="N503" s="179">
        <v>2.5</v>
      </c>
      <c r="O503" s="179">
        <v>2.5</v>
      </c>
      <c r="P503" s="697">
        <v>0</v>
      </c>
      <c r="Q503" s="697">
        <v>0</v>
      </c>
      <c r="R503" s="95" t="s">
        <v>1208</v>
      </c>
      <c r="S503" s="179">
        <v>0.68571428571428572</v>
      </c>
      <c r="T503" s="241">
        <v>132.6</v>
      </c>
      <c r="U503" s="658">
        <v>0</v>
      </c>
      <c r="V503" s="67" t="s">
        <v>714</v>
      </c>
      <c r="W503" s="191" t="s">
        <v>714</v>
      </c>
      <c r="X503" s="245">
        <v>0</v>
      </c>
      <c r="Y503" s="233">
        <v>1</v>
      </c>
      <c r="Z503" s="225">
        <v>0</v>
      </c>
      <c r="AA503" s="229"/>
      <c r="AB503" s="247"/>
      <c r="AC503" s="236"/>
      <c r="AD503" s="191"/>
      <c r="AE503" s="248"/>
      <c r="AF503" s="364"/>
    </row>
    <row r="504" spans="1:32" ht="27" customHeight="1">
      <c r="A504" s="186" t="s">
        <v>1395</v>
      </c>
      <c r="B504" s="181">
        <v>24</v>
      </c>
      <c r="C504" s="186" t="s">
        <v>1396</v>
      </c>
      <c r="D504" s="182">
        <v>4</v>
      </c>
      <c r="E504" s="181" t="s">
        <v>1401</v>
      </c>
      <c r="F504" s="189">
        <v>45251</v>
      </c>
      <c r="G504" s="65" t="s">
        <v>1398</v>
      </c>
      <c r="H504" s="65" t="s">
        <v>950</v>
      </c>
      <c r="I504" s="225">
        <v>15</v>
      </c>
      <c r="J504" s="443" t="s">
        <v>1637</v>
      </c>
      <c r="K504" s="685">
        <v>10</v>
      </c>
      <c r="L504" s="620">
        <v>2.5</v>
      </c>
      <c r="M504" s="640">
        <v>7.5</v>
      </c>
      <c r="N504" s="179">
        <v>2.5</v>
      </c>
      <c r="O504" s="179">
        <v>2.5</v>
      </c>
      <c r="P504" s="697">
        <v>0</v>
      </c>
      <c r="Q504" s="697">
        <v>0</v>
      </c>
      <c r="R504" s="95" t="s">
        <v>1208</v>
      </c>
      <c r="S504" s="179">
        <v>2.6285714285714286</v>
      </c>
      <c r="T504" s="241">
        <v>33</v>
      </c>
      <c r="U504" s="658">
        <v>0</v>
      </c>
      <c r="V504" s="67" t="s">
        <v>714</v>
      </c>
      <c r="W504" s="191" t="s">
        <v>714</v>
      </c>
      <c r="X504" s="245">
        <v>0</v>
      </c>
      <c r="Y504" s="233">
        <v>1</v>
      </c>
      <c r="Z504" s="225">
        <v>0</v>
      </c>
      <c r="AA504" s="229"/>
      <c r="AB504" s="247"/>
      <c r="AC504" s="236"/>
      <c r="AD504" s="191"/>
      <c r="AE504" s="248"/>
      <c r="AF504" s="364"/>
    </row>
    <row r="505" spans="1:32" ht="27" customHeight="1">
      <c r="A505" s="186" t="s">
        <v>1395</v>
      </c>
      <c r="B505" s="181">
        <v>24</v>
      </c>
      <c r="C505" s="186" t="s">
        <v>1396</v>
      </c>
      <c r="D505" s="182">
        <v>5</v>
      </c>
      <c r="E505" s="181" t="s">
        <v>1402</v>
      </c>
      <c r="F505" s="189">
        <v>45238</v>
      </c>
      <c r="G505" s="65" t="s">
        <v>1398</v>
      </c>
      <c r="H505" s="65" t="s">
        <v>950</v>
      </c>
      <c r="I505" s="225">
        <v>15</v>
      </c>
      <c r="J505" s="443">
        <v>20</v>
      </c>
      <c r="K505" s="685">
        <v>20</v>
      </c>
      <c r="L505" s="684">
        <v>20</v>
      </c>
      <c r="M505" s="687">
        <f>K505-L505</f>
        <v>0</v>
      </c>
      <c r="N505" s="179">
        <v>2.5</v>
      </c>
      <c r="O505" s="179">
        <v>2.5</v>
      </c>
      <c r="P505" s="697">
        <v>0</v>
      </c>
      <c r="Q505" s="697">
        <v>0</v>
      </c>
      <c r="R505" s="95" t="s">
        <v>1208</v>
      </c>
      <c r="S505" s="179">
        <v>1.0476190476190477</v>
      </c>
      <c r="T505" s="241">
        <v>117.46666666666665</v>
      </c>
      <c r="U505" s="658">
        <v>0</v>
      </c>
      <c r="V505" s="67" t="s">
        <v>714</v>
      </c>
      <c r="W505" s="191" t="s">
        <v>714</v>
      </c>
      <c r="X505" s="245">
        <v>0</v>
      </c>
      <c r="Y505" s="233">
        <v>1</v>
      </c>
      <c r="Z505" s="225">
        <v>0</v>
      </c>
      <c r="AA505" s="229"/>
      <c r="AB505" s="247"/>
      <c r="AC505" s="236"/>
      <c r="AD505" s="191"/>
      <c r="AE505" s="248"/>
      <c r="AF505" s="364"/>
    </row>
    <row r="506" spans="1:32" ht="27" customHeight="1">
      <c r="A506" s="186" t="s">
        <v>1395</v>
      </c>
      <c r="B506" s="181">
        <v>24</v>
      </c>
      <c r="C506" s="186" t="s">
        <v>1396</v>
      </c>
      <c r="D506" s="182">
        <v>6</v>
      </c>
      <c r="E506" s="181" t="s">
        <v>1403</v>
      </c>
      <c r="F506" s="189">
        <v>45238</v>
      </c>
      <c r="G506" s="65" t="s">
        <v>1398</v>
      </c>
      <c r="H506" s="65" t="s">
        <v>950</v>
      </c>
      <c r="I506" s="225">
        <v>15</v>
      </c>
      <c r="J506" s="443" t="s">
        <v>1637</v>
      </c>
      <c r="K506" s="685">
        <v>10</v>
      </c>
      <c r="L506" s="620">
        <v>2.5</v>
      </c>
      <c r="M506" s="640">
        <v>7.5</v>
      </c>
      <c r="N506" s="179">
        <v>2.5</v>
      </c>
      <c r="O506" s="179">
        <v>2.5</v>
      </c>
      <c r="P506" s="697">
        <v>0</v>
      </c>
      <c r="Q506" s="697">
        <v>0</v>
      </c>
      <c r="R506" s="95" t="s">
        <v>1208</v>
      </c>
      <c r="S506" s="179">
        <v>2.2857142857142856</v>
      </c>
      <c r="T506" s="241">
        <v>29.388888888888889</v>
      </c>
      <c r="U506" s="658">
        <v>0</v>
      </c>
      <c r="V506" s="67" t="s">
        <v>714</v>
      </c>
      <c r="W506" s="191" t="s">
        <v>714</v>
      </c>
      <c r="X506" s="245">
        <v>0</v>
      </c>
      <c r="Y506" s="233">
        <v>1</v>
      </c>
      <c r="Z506" s="225">
        <v>0</v>
      </c>
      <c r="AA506" s="229"/>
      <c r="AB506" s="247"/>
      <c r="AC506" s="236"/>
      <c r="AD506" s="191"/>
      <c r="AE506" s="248"/>
      <c r="AF506" s="364"/>
    </row>
    <row r="507" spans="1:32" ht="27" customHeight="1">
      <c r="A507" s="186" t="s">
        <v>1395</v>
      </c>
      <c r="B507" s="181">
        <v>24</v>
      </c>
      <c r="C507" s="186" t="s">
        <v>1396</v>
      </c>
      <c r="D507" s="182">
        <v>7</v>
      </c>
      <c r="E507" s="181" t="s">
        <v>1404</v>
      </c>
      <c r="F507" s="189">
        <v>45191</v>
      </c>
      <c r="G507" s="65" t="s">
        <v>1398</v>
      </c>
      <c r="H507" s="65" t="s">
        <v>950</v>
      </c>
      <c r="I507" s="225">
        <v>15</v>
      </c>
      <c r="J507" s="443">
        <v>30</v>
      </c>
      <c r="K507" s="685">
        <v>30</v>
      </c>
      <c r="L507" s="684">
        <v>40</v>
      </c>
      <c r="M507" s="687">
        <f t="shared" ref="M507:M515" si="19">K507-L507</f>
        <v>-10</v>
      </c>
      <c r="N507" s="179">
        <v>5</v>
      </c>
      <c r="O507" s="179">
        <v>5</v>
      </c>
      <c r="P507" s="697">
        <v>0</v>
      </c>
      <c r="Q507" s="697">
        <v>0</v>
      </c>
      <c r="R507" s="95" t="s">
        <v>1208</v>
      </c>
      <c r="S507" s="179">
        <v>2.6666666666666665</v>
      </c>
      <c r="T507" s="241">
        <v>150.4</v>
      </c>
      <c r="U507" s="658">
        <v>0</v>
      </c>
      <c r="V507" s="67" t="s">
        <v>714</v>
      </c>
      <c r="W507" s="191" t="s">
        <v>714</v>
      </c>
      <c r="X507" s="245">
        <v>0</v>
      </c>
      <c r="Y507" s="233">
        <v>1</v>
      </c>
      <c r="Z507" s="225">
        <v>0</v>
      </c>
      <c r="AA507" s="229"/>
      <c r="AB507" s="247"/>
      <c r="AC507" s="236"/>
      <c r="AD507" s="191"/>
      <c r="AE507" s="248"/>
      <c r="AF507" s="364"/>
    </row>
    <row r="508" spans="1:32" ht="27" customHeight="1">
      <c r="A508" s="186" t="s">
        <v>1395</v>
      </c>
      <c r="B508" s="181">
        <v>24</v>
      </c>
      <c r="C508" s="186" t="s">
        <v>1396</v>
      </c>
      <c r="D508" s="182">
        <v>8</v>
      </c>
      <c r="E508" s="181" t="s">
        <v>1405</v>
      </c>
      <c r="F508" s="189">
        <v>45238</v>
      </c>
      <c r="G508" s="65" t="s">
        <v>1398</v>
      </c>
      <c r="H508" s="65" t="s">
        <v>950</v>
      </c>
      <c r="I508" s="225">
        <v>15</v>
      </c>
      <c r="J508" s="443">
        <v>20</v>
      </c>
      <c r="K508" s="685">
        <v>20</v>
      </c>
      <c r="L508" s="684">
        <v>30</v>
      </c>
      <c r="M508" s="687">
        <f t="shared" si="19"/>
        <v>-10</v>
      </c>
      <c r="N508" s="179">
        <v>2.5</v>
      </c>
      <c r="O508" s="179">
        <v>2.5</v>
      </c>
      <c r="P508" s="697">
        <v>0</v>
      </c>
      <c r="Q508" s="697">
        <v>0</v>
      </c>
      <c r="R508" s="95" t="s">
        <v>1208</v>
      </c>
      <c r="S508" s="179">
        <v>1.4358974358974359</v>
      </c>
      <c r="T508" s="241">
        <v>150.46666666666667</v>
      </c>
      <c r="U508" s="658">
        <v>0</v>
      </c>
      <c r="V508" s="67" t="s">
        <v>714</v>
      </c>
      <c r="W508" s="191" t="s">
        <v>714</v>
      </c>
      <c r="X508" s="245">
        <v>0</v>
      </c>
      <c r="Y508" s="233">
        <v>1</v>
      </c>
      <c r="Z508" s="225">
        <v>0</v>
      </c>
      <c r="AA508" s="229"/>
      <c r="AB508" s="247"/>
      <c r="AC508" s="236"/>
      <c r="AD508" s="191"/>
      <c r="AE508" s="248"/>
      <c r="AF508" s="364"/>
    </row>
    <row r="509" spans="1:32" ht="27" customHeight="1">
      <c r="A509" s="186" t="s">
        <v>1395</v>
      </c>
      <c r="B509" s="181">
        <v>24</v>
      </c>
      <c r="C509" s="186" t="s">
        <v>1396</v>
      </c>
      <c r="D509" s="182">
        <v>9</v>
      </c>
      <c r="E509" s="181" t="s">
        <v>1406</v>
      </c>
      <c r="F509" s="189">
        <v>45239</v>
      </c>
      <c r="G509" s="65" t="s">
        <v>1398</v>
      </c>
      <c r="H509" s="65" t="s">
        <v>950</v>
      </c>
      <c r="I509" s="225">
        <v>15</v>
      </c>
      <c r="J509" s="443">
        <v>20</v>
      </c>
      <c r="K509" s="685">
        <v>20</v>
      </c>
      <c r="L509" s="684">
        <v>20</v>
      </c>
      <c r="M509" s="687">
        <f t="shared" si="19"/>
        <v>0</v>
      </c>
      <c r="N509" s="697">
        <v>0</v>
      </c>
      <c r="O509" s="697">
        <v>0</v>
      </c>
      <c r="P509" s="697">
        <v>0</v>
      </c>
      <c r="Q509" s="697">
        <v>0</v>
      </c>
      <c r="R509" s="95" t="s">
        <v>1208</v>
      </c>
      <c r="S509" s="179">
        <v>0.97297297297297303</v>
      </c>
      <c r="T509" s="241">
        <v>145.96666666666667</v>
      </c>
      <c r="U509" s="658">
        <v>0</v>
      </c>
      <c r="V509" s="67" t="s">
        <v>714</v>
      </c>
      <c r="W509" s="191" t="s">
        <v>714</v>
      </c>
      <c r="X509" s="245">
        <v>0</v>
      </c>
      <c r="Y509" s="233">
        <v>1</v>
      </c>
      <c r="Z509" s="225">
        <v>0</v>
      </c>
      <c r="AA509" s="229"/>
      <c r="AB509" s="247"/>
      <c r="AC509" s="236"/>
      <c r="AD509" s="191"/>
      <c r="AE509" s="248"/>
      <c r="AF509" s="364"/>
    </row>
    <row r="510" spans="1:32" ht="27" customHeight="1">
      <c r="A510" s="186" t="s">
        <v>1395</v>
      </c>
      <c r="B510" s="181">
        <v>24</v>
      </c>
      <c r="C510" s="186" t="s">
        <v>1396</v>
      </c>
      <c r="D510" s="182">
        <v>10</v>
      </c>
      <c r="E510" s="181" t="s">
        <v>1407</v>
      </c>
      <c r="F510" s="189">
        <v>45189</v>
      </c>
      <c r="G510" s="65" t="s">
        <v>1398</v>
      </c>
      <c r="H510" s="65" t="s">
        <v>950</v>
      </c>
      <c r="I510" s="225">
        <v>15</v>
      </c>
      <c r="J510" s="443">
        <v>30</v>
      </c>
      <c r="K510" s="685">
        <v>30</v>
      </c>
      <c r="L510" s="684">
        <v>40</v>
      </c>
      <c r="M510" s="687">
        <f t="shared" si="19"/>
        <v>-10</v>
      </c>
      <c r="N510" s="179">
        <v>5</v>
      </c>
      <c r="O510" s="179">
        <v>5</v>
      </c>
      <c r="P510" s="697">
        <v>0</v>
      </c>
      <c r="Q510" s="697">
        <v>0</v>
      </c>
      <c r="R510" s="95" t="s">
        <v>1208</v>
      </c>
      <c r="S510" s="179">
        <v>1.9130434782608696</v>
      </c>
      <c r="T510" s="241">
        <v>127</v>
      </c>
      <c r="U510" s="658">
        <v>0</v>
      </c>
      <c r="V510" s="67" t="s">
        <v>714</v>
      </c>
      <c r="W510" s="191" t="s">
        <v>714</v>
      </c>
      <c r="X510" s="245">
        <v>0</v>
      </c>
      <c r="Y510" s="233">
        <v>1</v>
      </c>
      <c r="Z510" s="225">
        <v>0</v>
      </c>
      <c r="AA510" s="229"/>
      <c r="AB510" s="247"/>
      <c r="AC510" s="236"/>
      <c r="AD510" s="191"/>
      <c r="AE510" s="248"/>
      <c r="AF510" s="364"/>
    </row>
    <row r="511" spans="1:32" ht="27" customHeight="1">
      <c r="A511" s="186" t="s">
        <v>1395</v>
      </c>
      <c r="B511" s="181">
        <v>24</v>
      </c>
      <c r="C511" s="186" t="s">
        <v>1396</v>
      </c>
      <c r="D511" s="182">
        <v>11</v>
      </c>
      <c r="E511" s="181" t="s">
        <v>1408</v>
      </c>
      <c r="F511" s="189">
        <v>45239</v>
      </c>
      <c r="G511" s="65" t="s">
        <v>1398</v>
      </c>
      <c r="H511" s="65" t="s">
        <v>950</v>
      </c>
      <c r="I511" s="225">
        <v>15</v>
      </c>
      <c r="J511" s="443">
        <v>70</v>
      </c>
      <c r="K511" s="685">
        <v>70</v>
      </c>
      <c r="L511" s="684">
        <v>80</v>
      </c>
      <c r="M511" s="687">
        <f t="shared" si="19"/>
        <v>-10</v>
      </c>
      <c r="N511" s="179">
        <v>2.5</v>
      </c>
      <c r="O511" s="179">
        <v>2.5</v>
      </c>
      <c r="P511" s="697">
        <v>0</v>
      </c>
      <c r="Q511" s="697">
        <v>0</v>
      </c>
      <c r="R511" s="95" t="s">
        <v>944</v>
      </c>
      <c r="S511" s="179">
        <v>1.7272727272727273</v>
      </c>
      <c r="T511" s="241">
        <v>233.83333333333334</v>
      </c>
      <c r="U511" s="658">
        <v>0</v>
      </c>
      <c r="V511" s="67" t="s">
        <v>714</v>
      </c>
      <c r="W511" s="191" t="s">
        <v>714</v>
      </c>
      <c r="X511" s="245">
        <v>0</v>
      </c>
      <c r="Y511" s="233">
        <v>1</v>
      </c>
      <c r="Z511" s="225">
        <v>0</v>
      </c>
      <c r="AA511" s="229"/>
      <c r="AB511" s="247"/>
      <c r="AC511" s="236"/>
      <c r="AD511" s="191"/>
      <c r="AE511" s="248"/>
      <c r="AF511" s="364"/>
    </row>
    <row r="512" spans="1:32" ht="27" customHeight="1">
      <c r="A512" s="186" t="s">
        <v>1395</v>
      </c>
      <c r="B512" s="181">
        <v>24</v>
      </c>
      <c r="C512" s="186" t="s">
        <v>1396</v>
      </c>
      <c r="D512" s="182">
        <v>12</v>
      </c>
      <c r="E512" s="181" t="s">
        <v>1409</v>
      </c>
      <c r="F512" s="189">
        <v>45238</v>
      </c>
      <c r="G512" s="65" t="s">
        <v>1398</v>
      </c>
      <c r="H512" s="65" t="s">
        <v>950</v>
      </c>
      <c r="I512" s="225">
        <v>15</v>
      </c>
      <c r="J512" s="443">
        <v>60</v>
      </c>
      <c r="K512" s="685">
        <v>60</v>
      </c>
      <c r="L512" s="684">
        <v>60</v>
      </c>
      <c r="M512" s="687">
        <f t="shared" si="19"/>
        <v>0</v>
      </c>
      <c r="N512" s="179">
        <v>2.5</v>
      </c>
      <c r="O512" s="179">
        <v>2.5</v>
      </c>
      <c r="P512" s="697">
        <v>0</v>
      </c>
      <c r="Q512" s="697">
        <v>0</v>
      </c>
      <c r="R512" s="95" t="s">
        <v>1208</v>
      </c>
      <c r="S512" s="179">
        <v>0.84210526315789469</v>
      </c>
      <c r="T512" s="241">
        <v>213.48888888888891</v>
      </c>
      <c r="U512" s="658">
        <v>0</v>
      </c>
      <c r="V512" s="67" t="s">
        <v>714</v>
      </c>
      <c r="W512" s="191" t="s">
        <v>714</v>
      </c>
      <c r="X512" s="245">
        <v>0</v>
      </c>
      <c r="Y512" s="233">
        <v>1</v>
      </c>
      <c r="Z512" s="225">
        <v>0</v>
      </c>
      <c r="AA512" s="229"/>
      <c r="AB512" s="247"/>
      <c r="AC512" s="236"/>
      <c r="AD512" s="191"/>
      <c r="AE512" s="248"/>
      <c r="AF512" s="364"/>
    </row>
    <row r="513" spans="1:33" ht="27" customHeight="1">
      <c r="A513" s="186" t="s">
        <v>1395</v>
      </c>
      <c r="B513" s="181">
        <v>24</v>
      </c>
      <c r="C513" s="186" t="s">
        <v>1396</v>
      </c>
      <c r="D513" s="182">
        <v>13</v>
      </c>
      <c r="E513" s="181" t="s">
        <v>1410</v>
      </c>
      <c r="F513" s="189">
        <v>45195</v>
      </c>
      <c r="G513" s="65" t="s">
        <v>1398</v>
      </c>
      <c r="H513" s="65" t="s">
        <v>950</v>
      </c>
      <c r="I513" s="225">
        <v>15</v>
      </c>
      <c r="J513" s="443">
        <v>30</v>
      </c>
      <c r="K513" s="685">
        <v>30</v>
      </c>
      <c r="L513" s="684">
        <v>30</v>
      </c>
      <c r="M513" s="687">
        <f t="shared" si="19"/>
        <v>0</v>
      </c>
      <c r="N513" s="179">
        <v>2.5</v>
      </c>
      <c r="O513" s="179">
        <v>2.5</v>
      </c>
      <c r="P513" s="697">
        <v>0</v>
      </c>
      <c r="Q513" s="697">
        <v>0</v>
      </c>
      <c r="R513" s="95" t="s">
        <v>1208</v>
      </c>
      <c r="S513" s="179">
        <v>2.0606060606060606</v>
      </c>
      <c r="T513" s="241">
        <v>153.5</v>
      </c>
      <c r="U513" s="658">
        <v>0</v>
      </c>
      <c r="V513" s="67" t="s">
        <v>714</v>
      </c>
      <c r="W513" s="191" t="s">
        <v>714</v>
      </c>
      <c r="X513" s="245">
        <v>0</v>
      </c>
      <c r="Y513" s="233">
        <v>1</v>
      </c>
      <c r="Z513" s="225">
        <v>0</v>
      </c>
      <c r="AA513" s="229"/>
      <c r="AB513" s="247"/>
      <c r="AC513" s="236"/>
      <c r="AD513" s="191"/>
      <c r="AE513" s="248"/>
      <c r="AF513" s="364"/>
    </row>
    <row r="514" spans="1:33" ht="27" customHeight="1">
      <c r="A514" s="186" t="s">
        <v>1395</v>
      </c>
      <c r="B514" s="181">
        <v>24</v>
      </c>
      <c r="C514" s="186" t="s">
        <v>1396</v>
      </c>
      <c r="D514" s="182">
        <v>14</v>
      </c>
      <c r="E514" s="181" t="s">
        <v>1411</v>
      </c>
      <c r="F514" s="189">
        <v>45239</v>
      </c>
      <c r="G514" s="65" t="s">
        <v>1398</v>
      </c>
      <c r="H514" s="65" t="s">
        <v>950</v>
      </c>
      <c r="I514" s="225">
        <v>15</v>
      </c>
      <c r="J514" s="443">
        <v>20</v>
      </c>
      <c r="K514" s="685">
        <v>20</v>
      </c>
      <c r="L514" s="684">
        <v>20</v>
      </c>
      <c r="M514" s="687">
        <f t="shared" si="19"/>
        <v>0</v>
      </c>
      <c r="N514" s="179">
        <v>2.5</v>
      </c>
      <c r="O514" s="179">
        <v>2.5</v>
      </c>
      <c r="P514" s="697">
        <v>0</v>
      </c>
      <c r="Q514" s="697">
        <v>0</v>
      </c>
      <c r="R514" s="95" t="s">
        <v>1208</v>
      </c>
      <c r="S514" s="179">
        <v>0.33333333333333331</v>
      </c>
      <c r="T514" s="241">
        <v>135.4</v>
      </c>
      <c r="U514" s="658">
        <v>0</v>
      </c>
      <c r="V514" s="67" t="s">
        <v>714</v>
      </c>
      <c r="W514" s="191" t="s">
        <v>714</v>
      </c>
      <c r="X514" s="245">
        <v>0</v>
      </c>
      <c r="Y514" s="233">
        <v>1</v>
      </c>
      <c r="Z514" s="225">
        <v>0</v>
      </c>
      <c r="AA514" s="229"/>
      <c r="AB514" s="247"/>
      <c r="AC514" s="236"/>
      <c r="AD514" s="191"/>
      <c r="AE514" s="248"/>
      <c r="AF514" s="364"/>
    </row>
    <row r="515" spans="1:33" ht="24.6" customHeight="1">
      <c r="A515" s="186" t="s">
        <v>1395</v>
      </c>
      <c r="B515" s="181">
        <v>24</v>
      </c>
      <c r="C515" s="186" t="s">
        <v>1396</v>
      </c>
      <c r="D515" s="182">
        <v>15</v>
      </c>
      <c r="E515" s="181" t="s">
        <v>1412</v>
      </c>
      <c r="F515" s="189">
        <v>45239</v>
      </c>
      <c r="G515" s="65" t="s">
        <v>1398</v>
      </c>
      <c r="H515" s="65" t="s">
        <v>950</v>
      </c>
      <c r="I515" s="225">
        <v>15</v>
      </c>
      <c r="J515" s="443">
        <v>10</v>
      </c>
      <c r="K515" s="685">
        <v>10</v>
      </c>
      <c r="L515" s="684">
        <v>10</v>
      </c>
      <c r="M515" s="687">
        <f t="shared" si="19"/>
        <v>0</v>
      </c>
      <c r="N515" s="179">
        <v>2.5</v>
      </c>
      <c r="O515" s="179">
        <v>2.5</v>
      </c>
      <c r="P515" s="697">
        <v>0</v>
      </c>
      <c r="Q515" s="697">
        <v>0</v>
      </c>
      <c r="R515" s="95" t="s">
        <v>1208</v>
      </c>
      <c r="S515" s="179">
        <v>2</v>
      </c>
      <c r="T515" s="241">
        <v>35.43333333333333</v>
      </c>
      <c r="U515" s="658">
        <v>0</v>
      </c>
      <c r="V515" s="67" t="s">
        <v>714</v>
      </c>
      <c r="W515" s="191" t="s">
        <v>714</v>
      </c>
      <c r="X515" s="245">
        <v>0</v>
      </c>
      <c r="Y515" s="233">
        <v>1</v>
      </c>
      <c r="Z515" s="225">
        <v>0</v>
      </c>
      <c r="AA515" s="229"/>
      <c r="AB515" s="247"/>
      <c r="AC515" s="236"/>
      <c r="AD515" s="191"/>
      <c r="AE515" s="248"/>
      <c r="AF515" s="364"/>
    </row>
    <row r="516" spans="1:33" ht="23.1" customHeight="1" thickBot="1">
      <c r="A516" s="264" t="s">
        <v>1395</v>
      </c>
      <c r="B516" s="265">
        <v>24</v>
      </c>
      <c r="C516" s="264" t="s">
        <v>1396</v>
      </c>
      <c r="D516" s="266">
        <v>16</v>
      </c>
      <c r="E516" s="265" t="s">
        <v>1413</v>
      </c>
      <c r="F516" s="360"/>
      <c r="G516" s="360"/>
      <c r="H516" s="267"/>
      <c r="I516" s="296"/>
      <c r="J516" s="449"/>
      <c r="K516" s="759"/>
      <c r="L516" s="628"/>
      <c r="M516" s="629"/>
      <c r="N516" s="370"/>
      <c r="O516" s="370"/>
      <c r="P516" s="370"/>
      <c r="Q516" s="370"/>
      <c r="R516" s="360"/>
      <c r="S516" s="360"/>
      <c r="T516" s="296"/>
      <c r="U516" s="662"/>
      <c r="V516" s="375"/>
      <c r="W516" s="360"/>
      <c r="X516" s="679"/>
      <c r="Y516" s="304"/>
      <c r="Z516" s="296"/>
      <c r="AA516" s="295"/>
      <c r="AB516" s="296"/>
      <c r="AC516" s="304"/>
      <c r="AD516" s="360"/>
      <c r="AE516" s="296"/>
      <c r="AF516" s="365"/>
    </row>
    <row r="517" spans="1:33" ht="12" thickTop="1">
      <c r="A517" s="148"/>
      <c r="B517" s="149"/>
      <c r="C517" s="148"/>
    </row>
    <row r="518" spans="1:33">
      <c r="A518" s="162" t="s">
        <v>1011</v>
      </c>
      <c r="B518" s="163" t="s">
        <v>1012</v>
      </c>
      <c r="C518" s="164"/>
      <c r="D518" s="159"/>
      <c r="E518" s="159"/>
      <c r="F518" s="165"/>
      <c r="G518" s="362" t="s">
        <v>1013</v>
      </c>
      <c r="H518" s="163" t="s">
        <v>1014</v>
      </c>
      <c r="I518" s="159"/>
      <c r="J518" s="166"/>
      <c r="K518" s="642"/>
      <c r="L518" s="642"/>
      <c r="M518" s="642"/>
      <c r="N518" s="159"/>
      <c r="O518" s="159"/>
      <c r="P518" s="167"/>
      <c r="Q518" s="168"/>
      <c r="R518" s="167"/>
      <c r="S518" s="169"/>
      <c r="T518" s="169"/>
      <c r="U518" s="159" t="s">
        <v>1015</v>
      </c>
      <c r="V518" s="378"/>
      <c r="W518" s="170" t="s">
        <v>1016</v>
      </c>
      <c r="AA518" s="167"/>
      <c r="AB518" s="167"/>
      <c r="AC518" s="159"/>
      <c r="AD518" s="159"/>
      <c r="AE518" s="159"/>
      <c r="AF518" s="159"/>
      <c r="AG518" s="159"/>
    </row>
    <row r="519" spans="1:33">
      <c r="A519" s="171"/>
      <c r="B519" s="172" t="s">
        <v>1017</v>
      </c>
      <c r="C519" s="164"/>
      <c r="D519" s="159"/>
      <c r="E519" s="159"/>
      <c r="F519" s="165"/>
      <c r="G519" s="146"/>
      <c r="H519" s="163" t="s">
        <v>1018</v>
      </c>
      <c r="I519" s="159"/>
      <c r="J519" s="166"/>
      <c r="K519" s="642"/>
      <c r="L519" s="642"/>
      <c r="M519" s="642"/>
      <c r="N519" s="159"/>
      <c r="O519" s="159"/>
      <c r="P519" s="167"/>
      <c r="Q519" s="168"/>
      <c r="R519" s="167"/>
      <c r="S519" s="169"/>
      <c r="T519" s="169"/>
      <c r="U519" s="169"/>
      <c r="V519" s="379"/>
      <c r="W519" s="169"/>
      <c r="X519" s="159"/>
      <c r="Y519" s="167"/>
      <c r="Z519" s="167"/>
      <c r="AA519" s="167"/>
      <c r="AB519" s="167"/>
      <c r="AC519" s="159"/>
      <c r="AD519" s="159"/>
      <c r="AE519" s="159"/>
      <c r="AF519" s="159"/>
      <c r="AG519" s="159"/>
    </row>
    <row r="520" spans="1:33" ht="14.25" customHeight="1">
      <c r="A520" s="171"/>
      <c r="B520" s="172" t="s">
        <v>1019</v>
      </c>
      <c r="C520" s="164"/>
      <c r="D520" s="159"/>
      <c r="E520" s="159"/>
      <c r="F520" s="165"/>
      <c r="G520" s="146"/>
      <c r="H520" s="163" t="s">
        <v>1020</v>
      </c>
      <c r="I520" s="159"/>
      <c r="J520" s="166"/>
      <c r="K520" s="642"/>
      <c r="L520" s="642"/>
      <c r="M520" s="642"/>
      <c r="N520" s="159"/>
      <c r="O520" s="159"/>
      <c r="P520" s="167"/>
      <c r="Q520" s="168"/>
      <c r="R520" s="167"/>
      <c r="S520" s="169"/>
      <c r="T520" s="169"/>
      <c r="U520" s="159" t="s">
        <v>1021</v>
      </c>
      <c r="V520" s="782" t="s">
        <v>1109</v>
      </c>
      <c r="W520" s="782"/>
      <c r="X520" s="782"/>
      <c r="Y520" s="782"/>
      <c r="Z520" s="782"/>
      <c r="AA520" s="782"/>
      <c r="AB520" s="782"/>
      <c r="AC520" s="782"/>
      <c r="AD520" s="782"/>
      <c r="AE520" s="782"/>
      <c r="AF520" s="782"/>
      <c r="AG520" s="173"/>
    </row>
    <row r="521" spans="1:33">
      <c r="A521" s="171"/>
      <c r="B521" s="172" t="s">
        <v>1022</v>
      </c>
      <c r="C521" s="164"/>
      <c r="D521" s="159"/>
      <c r="E521" s="159"/>
      <c r="F521" s="165"/>
      <c r="G521" s="146"/>
      <c r="H521" s="163" t="s">
        <v>1023</v>
      </c>
      <c r="I521" s="159"/>
      <c r="J521" s="166"/>
      <c r="K521" s="642"/>
      <c r="L521" s="642"/>
      <c r="M521" s="642"/>
      <c r="N521" s="159"/>
      <c r="O521" s="159"/>
      <c r="P521" s="167"/>
      <c r="Q521" s="168"/>
      <c r="R521" s="167"/>
      <c r="S521" s="169"/>
      <c r="T521" s="169"/>
      <c r="U521" s="372"/>
      <c r="V521" s="782"/>
      <c r="W521" s="782"/>
      <c r="X521" s="782"/>
      <c r="Y521" s="782"/>
      <c r="Z521" s="782"/>
      <c r="AA521" s="782"/>
      <c r="AB521" s="782"/>
      <c r="AC521" s="782"/>
      <c r="AD521" s="782"/>
      <c r="AE521" s="782"/>
      <c r="AF521" s="782"/>
      <c r="AG521" s="173"/>
    </row>
    <row r="522" spans="1:33">
      <c r="A522" s="171"/>
      <c r="B522" s="163" t="s">
        <v>1193</v>
      </c>
      <c r="C522" s="164"/>
      <c r="D522" s="159"/>
      <c r="E522" s="159"/>
      <c r="F522" s="165"/>
      <c r="G522" s="146"/>
      <c r="H522" s="163" t="s">
        <v>1024</v>
      </c>
      <c r="I522" s="159"/>
      <c r="J522" s="166"/>
      <c r="K522" s="642"/>
      <c r="L522" s="642"/>
      <c r="M522" s="642"/>
      <c r="N522" s="159"/>
      <c r="O522" s="159"/>
      <c r="P522" s="167"/>
      <c r="Q522" s="168"/>
      <c r="R522" s="167"/>
      <c r="S522" s="169"/>
      <c r="T522" s="169"/>
      <c r="U522" s="159" t="s">
        <v>1105</v>
      </c>
      <c r="V522" s="782" t="s">
        <v>1106</v>
      </c>
      <c r="W522" s="782"/>
      <c r="X522" s="782"/>
      <c r="Y522" s="782"/>
      <c r="Z522" s="782"/>
      <c r="AA522" s="782"/>
      <c r="AB522" s="782"/>
      <c r="AC522" s="782"/>
      <c r="AD522" s="782"/>
      <c r="AE522" s="782"/>
      <c r="AF522" s="782"/>
      <c r="AG522" s="173"/>
    </row>
    <row r="523" spans="1:33">
      <c r="A523" s="171"/>
      <c r="B523" s="172" t="s">
        <v>1025</v>
      </c>
      <c r="C523" s="164"/>
      <c r="D523" s="159"/>
      <c r="E523" s="159"/>
      <c r="F523" s="165"/>
      <c r="G523" s="146"/>
      <c r="H523" s="163" t="s">
        <v>1026</v>
      </c>
      <c r="I523" s="159"/>
      <c r="J523" s="166"/>
      <c r="K523" s="642"/>
      <c r="L523" s="642"/>
      <c r="M523" s="642"/>
      <c r="N523" s="159"/>
      <c r="O523" s="159"/>
      <c r="P523" s="167"/>
      <c r="Q523" s="168"/>
      <c r="R523" s="167"/>
      <c r="S523" s="169"/>
      <c r="T523" s="169"/>
      <c r="U523" s="169"/>
      <c r="V523" s="782"/>
      <c r="W523" s="782"/>
      <c r="X523" s="782"/>
      <c r="Y523" s="782"/>
      <c r="Z523" s="782"/>
      <c r="AA523" s="782"/>
      <c r="AB523" s="782"/>
      <c r="AC523" s="782"/>
      <c r="AD523" s="782"/>
      <c r="AE523" s="782"/>
      <c r="AF523" s="782"/>
      <c r="AG523" s="173"/>
    </row>
    <row r="524" spans="1:33">
      <c r="A524" s="159"/>
      <c r="B524" s="163"/>
      <c r="C524" s="164"/>
      <c r="D524" s="159"/>
      <c r="E524" s="159"/>
      <c r="F524" s="165"/>
      <c r="G524" s="146"/>
      <c r="H524" s="171" t="s">
        <v>1027</v>
      </c>
      <c r="I524" s="159"/>
      <c r="J524" s="166"/>
      <c r="K524" s="642"/>
      <c r="L524" s="642"/>
      <c r="M524" s="642"/>
      <c r="N524" s="159"/>
      <c r="O524" s="159"/>
      <c r="P524" s="167"/>
      <c r="Q524" s="168"/>
      <c r="R524" s="167"/>
      <c r="S524" s="169"/>
      <c r="T524" s="169"/>
      <c r="U524" s="169"/>
      <c r="V524" s="380"/>
      <c r="W524" s="373"/>
      <c r="X524" s="373"/>
      <c r="Y524" s="373"/>
      <c r="Z524" s="373"/>
      <c r="AA524" s="373"/>
      <c r="AB524" s="373"/>
      <c r="AC524" s="373"/>
      <c r="AD524" s="373"/>
      <c r="AE524" s="373"/>
      <c r="AF524" s="169"/>
      <c r="AG524" s="169"/>
    </row>
    <row r="525" spans="1:33">
      <c r="A525" s="159"/>
      <c r="B525" s="163"/>
      <c r="C525" s="164"/>
      <c r="D525" s="159"/>
      <c r="E525" s="159"/>
      <c r="F525" s="165"/>
      <c r="G525" s="146"/>
      <c r="H525" s="171" t="s">
        <v>1028</v>
      </c>
      <c r="I525" s="159"/>
      <c r="J525" s="166"/>
      <c r="K525" s="642"/>
      <c r="L525" s="642"/>
      <c r="M525" s="642"/>
      <c r="N525" s="159"/>
      <c r="O525" s="159"/>
      <c r="P525" s="167"/>
      <c r="Q525" s="168"/>
      <c r="R525" s="167"/>
      <c r="S525" s="169"/>
      <c r="T525" s="169"/>
      <c r="U525" s="169"/>
      <c r="V525" s="379"/>
      <c r="W525" s="169"/>
      <c r="X525" s="169"/>
      <c r="Y525" s="169"/>
      <c r="Z525" s="169"/>
      <c r="AA525" s="169"/>
      <c r="AB525" s="169"/>
      <c r="AC525" s="169"/>
      <c r="AD525" s="169"/>
      <c r="AE525" s="169"/>
      <c r="AF525" s="169"/>
      <c r="AG525" s="169"/>
    </row>
    <row r="526" spans="1:33">
      <c r="A526" s="159"/>
      <c r="B526" s="163"/>
      <c r="C526" s="164"/>
      <c r="D526" s="159"/>
      <c r="E526" s="159"/>
      <c r="F526" s="165"/>
      <c r="G526" s="146"/>
      <c r="H526" s="163" t="s">
        <v>1029</v>
      </c>
      <c r="I526" s="159"/>
      <c r="J526" s="166"/>
      <c r="K526" s="642"/>
      <c r="L526" s="642"/>
      <c r="M526" s="642"/>
      <c r="N526" s="159"/>
      <c r="O526" s="159"/>
      <c r="P526" s="167"/>
      <c r="Q526" s="168"/>
      <c r="R526" s="167"/>
      <c r="S526" s="169"/>
      <c r="T526" s="169"/>
      <c r="U526" s="169"/>
      <c r="V526" s="379"/>
      <c r="W526" s="169"/>
      <c r="X526" s="169"/>
      <c r="Y526" s="169"/>
      <c r="Z526" s="169"/>
      <c r="AA526" s="169"/>
      <c r="AB526" s="169"/>
      <c r="AC526" s="169"/>
      <c r="AD526" s="169"/>
      <c r="AE526" s="169"/>
      <c r="AF526" s="169"/>
      <c r="AG526" s="169"/>
    </row>
    <row r="527" spans="1:33">
      <c r="A527" s="159"/>
      <c r="B527" s="163"/>
      <c r="C527" s="164"/>
      <c r="D527" s="159"/>
      <c r="E527" s="159"/>
      <c r="F527" s="165"/>
      <c r="G527" s="146"/>
      <c r="H527" s="163" t="s">
        <v>1030</v>
      </c>
      <c r="I527" s="159"/>
      <c r="J527" s="166"/>
      <c r="K527" s="642"/>
      <c r="L527" s="642"/>
      <c r="M527" s="642"/>
      <c r="N527" s="159"/>
      <c r="O527" s="159"/>
      <c r="P527" s="167"/>
      <c r="Q527" s="168"/>
      <c r="R527" s="167"/>
      <c r="S527" s="169"/>
      <c r="T527" s="169"/>
      <c r="U527" s="169"/>
      <c r="V527" s="379"/>
      <c r="W527" s="169"/>
      <c r="X527" s="169"/>
      <c r="Y527" s="169"/>
      <c r="Z527" s="169"/>
      <c r="AA527" s="169"/>
      <c r="AB527" s="169"/>
      <c r="AC527" s="169"/>
      <c r="AD527" s="169"/>
      <c r="AE527" s="169"/>
      <c r="AF527" s="169"/>
      <c r="AG527" s="169"/>
    </row>
    <row r="528" spans="1:33">
      <c r="A528" s="159"/>
      <c r="B528" s="163"/>
      <c r="C528" s="164"/>
      <c r="D528" s="159"/>
      <c r="E528" s="159"/>
      <c r="F528" s="165"/>
      <c r="G528" s="146"/>
      <c r="H528" s="163" t="s">
        <v>1031</v>
      </c>
      <c r="I528" s="159"/>
      <c r="J528" s="166"/>
      <c r="K528" s="642"/>
      <c r="L528" s="642"/>
      <c r="M528" s="642"/>
      <c r="N528" s="159"/>
      <c r="O528" s="159"/>
      <c r="P528" s="167"/>
      <c r="Q528" s="168"/>
      <c r="R528" s="167"/>
      <c r="S528" s="169"/>
      <c r="T528" s="169"/>
      <c r="U528" s="169"/>
      <c r="V528" s="379"/>
      <c r="W528" s="169"/>
      <c r="X528" s="169"/>
      <c r="Y528" s="169"/>
      <c r="Z528" s="169"/>
      <c r="AA528" s="169"/>
      <c r="AB528" s="169"/>
      <c r="AC528" s="169"/>
      <c r="AD528" s="169"/>
      <c r="AE528" s="169"/>
      <c r="AF528" s="169"/>
      <c r="AG528" s="169"/>
    </row>
  </sheetData>
  <autoFilter ref="A3:AG516" xr:uid="{00000000-0009-0000-0000-000002000000}"/>
  <sortState xmlns:xlrd2="http://schemas.microsoft.com/office/spreadsheetml/2017/richdata2" ref="A264:AN388">
    <sortCondition ref="B264:B388"/>
    <sortCondition ref="D264:D388"/>
  </sortState>
  <mergeCells count="33">
    <mergeCell ref="F1:F3"/>
    <mergeCell ref="A1:A3"/>
    <mergeCell ref="B1:B3"/>
    <mergeCell ref="C1:C3"/>
    <mergeCell ref="D1:D3"/>
    <mergeCell ref="E1:E3"/>
    <mergeCell ref="G1:G3"/>
    <mergeCell ref="H1:H3"/>
    <mergeCell ref="I1:I3"/>
    <mergeCell ref="J1:T1"/>
    <mergeCell ref="U1:X1"/>
    <mergeCell ref="X2:X3"/>
    <mergeCell ref="AA1:AB1"/>
    <mergeCell ref="AC1:AE1"/>
    <mergeCell ref="AF1:AF3"/>
    <mergeCell ref="J2:J3"/>
    <mergeCell ref="N2:Q2"/>
    <mergeCell ref="R2:R3"/>
    <mergeCell ref="S2:S3"/>
    <mergeCell ref="U2:U3"/>
    <mergeCell ref="V2:V3"/>
    <mergeCell ref="W2:W3"/>
    <mergeCell ref="Y1:Z1"/>
    <mergeCell ref="Y2:Y3"/>
    <mergeCell ref="Z2:Z3"/>
    <mergeCell ref="K2:M2"/>
    <mergeCell ref="V522:AF523"/>
    <mergeCell ref="AA2:AA3"/>
    <mergeCell ref="AB2:AB3"/>
    <mergeCell ref="AC2:AC3"/>
    <mergeCell ref="AD2:AD3"/>
    <mergeCell ref="AE2:AE3"/>
    <mergeCell ref="V520:AF521"/>
  </mergeCells>
  <phoneticPr fontId="3"/>
  <pageMargins left="0.70866141732283472" right="0.55118110236220474" top="0.74803149606299213" bottom="0.74803149606299213" header="0.31496062992125984" footer="0.31496062992125984"/>
  <pageSetup paperSize="9" scale="42" orientation="landscape" r:id="rId1"/>
  <headerFooter>
    <oddHeader>&amp;C
&amp;"ＭＳ ゴシック,太字"資料７．令和５(2023)年度　モニタリングサイト1000（サンゴ礁）調査結果一覧</oddHeader>
  </headerFooter>
  <rowBreaks count="2" manualBreakCount="2">
    <brk id="38" max="32" man="1"/>
    <brk id="495" max="3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736313-e922-4138-a872-2ec8679b1999">
      <Terms xmlns="http://schemas.microsoft.com/office/infopath/2007/PartnerControls"/>
    </lcf76f155ced4ddcb4097134ff3c332f>
    <TaxCatchAll xmlns="a310568e-dee9-4420-8dc0-6d8403035f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30F8CBF12EA941A01DB34737B06836" ma:contentTypeVersion="14" ma:contentTypeDescription="新しいドキュメントを作成します。" ma:contentTypeScope="" ma:versionID="21bafa632ad37635daac0376f4e14e61">
  <xsd:schema xmlns:xsd="http://www.w3.org/2001/XMLSchema" xmlns:xs="http://www.w3.org/2001/XMLSchema" xmlns:p="http://schemas.microsoft.com/office/2006/metadata/properties" xmlns:ns2="2c736313-e922-4138-a872-2ec8679b1999" xmlns:ns3="a310568e-dee9-4420-8dc0-6d8403035fdf" targetNamespace="http://schemas.microsoft.com/office/2006/metadata/properties" ma:root="true" ma:fieldsID="64cae9a7bd1b998a0b4158b03ff1643e" ns2:_="" ns3:_="">
    <xsd:import namespace="2c736313-e922-4138-a872-2ec8679b1999"/>
    <xsd:import namespace="a310568e-dee9-4420-8dc0-6d8403035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36313-e922-4138-a872-2ec8679b19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0568e-dee9-4420-8dc0-6d8403035fd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0542528-747e-4c57-89f9-ab14a3ec33c7}" ma:internalName="TaxCatchAll" ma:showField="CatchAllData" ma:web="a310568e-dee9-4420-8dc0-6d8403035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3A6092-4D81-4239-B4A3-425EB8CC0C5C}">
  <ds:schemaRefs>
    <ds:schemaRef ds:uri="http://schemas.microsoft.com/office/2006/metadata/properties"/>
    <ds:schemaRef ds:uri="http://schemas.microsoft.com/office/infopath/2007/PartnerControls"/>
    <ds:schemaRef ds:uri="bd22cafc-f569-47c3-a299-155465b708d6"/>
    <ds:schemaRef ds:uri="cda7ca9d-041f-4b53-b8c7-d4b05a471310"/>
  </ds:schemaRefs>
</ds:datastoreItem>
</file>

<file path=customXml/itemProps2.xml><?xml version="1.0" encoding="utf-8"?>
<ds:datastoreItem xmlns:ds="http://schemas.openxmlformats.org/officeDocument/2006/customXml" ds:itemID="{8C43DADE-6EE8-4BE6-AA35-F8BBD4862A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60ED15-1731-4227-971F-2FEBC298FA2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基礎データ  (2023年度版）</vt:lpstr>
      <vt:lpstr>集計表（2023年度)  (&lt;1等変換)</vt:lpstr>
      <vt:lpstr>'基礎データ  (2023年度版）'!Print_Area</vt:lpstr>
      <vt:lpstr>'集計表（2023年度)  (&lt;1等変換)'!Print_Area</vt:lpstr>
      <vt:lpstr>'基礎データ  (2023年度版）'!Print_Titles</vt:lpstr>
      <vt:lpstr>'集計表（2023年度)  (&lt;1等変換)'!Print_Titles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2017-03-27T13:49:38Z</dcterms:created>
  <dcterms:modified xsi:type="dcterms:W3CDTF">2026-01-22T07:29:58Z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0x0101009130F8CBF12EA941A01DB34737B06836</vt:lpwstr>
  </property>
  <property fmtid="{D5CDD505-2E9C-101B-9397-08002B2CF9AE}" pid="3" name="MediaServiceImageTags">
    <vt:lpwstr/>
  </property>
</Properties>
</file>