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22C72C29-971A-42E2-810D-3A429E695B7D}" xr6:coauthVersionLast="47" xr6:coauthVersionMax="47" xr10:uidLastSave="{00000000-0000-0000-0000-000000000000}"/>
  <bookViews>
    <workbookView xWindow="0" yWindow="0" windowWidth="38640" windowHeight="21120" xr2:uid="{A16CA1DF-8609-4972-ABBB-C4A7DC79998F}"/>
  </bookViews>
  <sheets>
    <sheet name="基礎データ  (2022年度版)" sheetId="17" r:id="rId1"/>
    <sheet name="集計表（2022年度)  (&lt;1等変換)" sheetId="18" r:id="rId2"/>
  </sheets>
  <definedNames>
    <definedName name="_xlnm._FilterDatabase" localSheetId="0" hidden="1">'基礎データ  (2022年度版)'!#REF!</definedName>
    <definedName name="_xlnm._FilterDatabase" localSheetId="1" hidden="1">'集計表（2022年度)  (&lt;1等変換)'!$A$3:$AG$568</definedName>
    <definedName name="APPR1" localSheetId="0">#REF!</definedName>
    <definedName name="APPR1" localSheetId="1">#REF!</definedName>
    <definedName name="APPR1">#REF!</definedName>
    <definedName name="_xlnm.Print_Area" localSheetId="0">'基礎データ  (2022年度版)'!$A$1:$R$579</definedName>
    <definedName name="_xlnm.Print_Area" localSheetId="1">'集計表（2022年度)  (&lt;1等変換)'!$A$1:$AF$586</definedName>
    <definedName name="_xlnm.Print_Titles" localSheetId="0">'基礎データ  (2022年度版)'!$1:$1</definedName>
    <definedName name="_xlnm.Print_Titles" localSheetId="1">'集計表（2022年度)  (&lt;1等変換)'!$1:$3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8" i="17" l="1"/>
  <c r="M558" i="17"/>
  <c r="L558" i="17"/>
  <c r="J558" i="17"/>
  <c r="I558" i="17"/>
  <c r="H558" i="17"/>
  <c r="N557" i="17"/>
  <c r="M557" i="17"/>
  <c r="L557" i="17"/>
  <c r="J557" i="17"/>
  <c r="I557" i="17"/>
  <c r="H557" i="17"/>
  <c r="N556" i="17"/>
  <c r="M556" i="17"/>
  <c r="L556" i="17"/>
  <c r="J556" i="17"/>
  <c r="I556" i="17"/>
  <c r="H556" i="17"/>
  <c r="N555" i="17"/>
  <c r="M555" i="17"/>
  <c r="L555" i="17"/>
  <c r="J555" i="17"/>
  <c r="I555" i="17"/>
  <c r="H555" i="17"/>
  <c r="N554" i="17"/>
  <c r="M554" i="17"/>
  <c r="L554" i="17"/>
  <c r="J554" i="17"/>
  <c r="I554" i="17"/>
  <c r="H554" i="17"/>
  <c r="N553" i="17"/>
  <c r="M553" i="17"/>
  <c r="L553" i="17"/>
  <c r="J553" i="17"/>
  <c r="I553" i="17"/>
  <c r="H553" i="17"/>
  <c r="N552" i="17"/>
  <c r="M552" i="17"/>
  <c r="L552" i="17"/>
  <c r="J552" i="17"/>
  <c r="I552" i="17"/>
  <c r="H552" i="17"/>
  <c r="N551" i="17"/>
  <c r="M551" i="17"/>
  <c r="L551" i="17"/>
  <c r="J551" i="17"/>
  <c r="I551" i="17"/>
  <c r="H551" i="17"/>
  <c r="M550" i="17"/>
  <c r="L550" i="17"/>
  <c r="J550" i="17"/>
  <c r="I550" i="17"/>
  <c r="H550" i="17"/>
  <c r="N549" i="17"/>
  <c r="M549" i="17"/>
  <c r="L549" i="17"/>
  <c r="J549" i="17"/>
  <c r="I549" i="17"/>
  <c r="H549" i="17"/>
  <c r="N548" i="17"/>
  <c r="M548" i="17"/>
  <c r="L548" i="17"/>
  <c r="J548" i="17"/>
  <c r="I548" i="17"/>
  <c r="H548" i="17"/>
  <c r="N547" i="17"/>
  <c r="M547" i="17"/>
  <c r="L547" i="17"/>
  <c r="J547" i="17"/>
  <c r="I547" i="17"/>
  <c r="H547" i="17"/>
  <c r="M546" i="17"/>
  <c r="L546" i="17"/>
  <c r="J546" i="17"/>
  <c r="I546" i="17"/>
  <c r="H546" i="17"/>
  <c r="N545" i="17"/>
  <c r="M545" i="17"/>
  <c r="L545" i="17"/>
  <c r="J545" i="17"/>
  <c r="I545" i="17"/>
  <c r="H545" i="17"/>
  <c r="N544" i="17"/>
  <c r="M544" i="17"/>
  <c r="L544" i="17"/>
  <c r="J544" i="17"/>
  <c r="I544" i="17"/>
  <c r="H544" i="17"/>
  <c r="N540" i="17"/>
  <c r="M540" i="17"/>
  <c r="L540" i="17"/>
  <c r="J540" i="17"/>
  <c r="I540" i="17"/>
  <c r="H540" i="17"/>
  <c r="N538" i="17"/>
  <c r="M538" i="17"/>
  <c r="L538" i="17"/>
  <c r="J538" i="17"/>
  <c r="I538" i="17"/>
  <c r="H538" i="17"/>
  <c r="N537" i="17"/>
  <c r="M537" i="17"/>
  <c r="L537" i="17"/>
  <c r="I537" i="17"/>
  <c r="H537" i="17"/>
  <c r="N536" i="17"/>
  <c r="M536" i="17"/>
  <c r="L536" i="17"/>
  <c r="I536" i="17"/>
  <c r="H536" i="17"/>
  <c r="N535" i="17"/>
  <c r="M535" i="17"/>
  <c r="L535" i="17"/>
  <c r="J535" i="17"/>
  <c r="I535" i="17"/>
  <c r="H535" i="17"/>
  <c r="N534" i="17"/>
  <c r="M534" i="17"/>
  <c r="L534" i="17"/>
  <c r="J534" i="17"/>
  <c r="I534" i="17"/>
  <c r="H534" i="17"/>
  <c r="N533" i="17"/>
  <c r="M533" i="17"/>
  <c r="L533" i="17"/>
  <c r="J533" i="17"/>
  <c r="I533" i="17"/>
  <c r="H533" i="17"/>
  <c r="N532" i="17"/>
  <c r="M532" i="17"/>
  <c r="L532" i="17"/>
  <c r="J532" i="17"/>
  <c r="I532" i="17"/>
  <c r="H532" i="17"/>
  <c r="M531" i="17"/>
  <c r="L531" i="17"/>
  <c r="J531" i="17"/>
  <c r="I531" i="17"/>
  <c r="H531" i="17"/>
  <c r="N530" i="17"/>
  <c r="M530" i="17"/>
  <c r="L530" i="17"/>
  <c r="J530" i="17"/>
  <c r="I530" i="17"/>
  <c r="H530" i="17"/>
  <c r="N529" i="17"/>
  <c r="M529" i="17"/>
  <c r="L529" i="17"/>
  <c r="J529" i="17"/>
  <c r="I529" i="17"/>
  <c r="H529" i="17"/>
  <c r="M528" i="17"/>
  <c r="L528" i="17"/>
  <c r="J528" i="17"/>
  <c r="I528" i="17"/>
  <c r="H528" i="17"/>
  <c r="N527" i="17"/>
  <c r="M527" i="17"/>
  <c r="L527" i="17"/>
  <c r="J527" i="17"/>
  <c r="I527" i="17"/>
  <c r="H527" i="17"/>
  <c r="N526" i="17"/>
  <c r="M526" i="17"/>
  <c r="L526" i="17"/>
  <c r="I526" i="17"/>
  <c r="H526" i="17"/>
  <c r="K160" i="17"/>
  <c r="G160" i="17"/>
  <c r="K159" i="17"/>
  <c r="G159" i="17"/>
  <c r="K158" i="17"/>
  <c r="G158" i="17"/>
  <c r="K157" i="17"/>
  <c r="G157" i="17"/>
  <c r="K156" i="17"/>
  <c r="G156" i="17"/>
  <c r="K155" i="17"/>
  <c r="G155" i="17"/>
  <c r="K154" i="17"/>
  <c r="G154" i="17"/>
  <c r="K153" i="17"/>
  <c r="G153" i="17"/>
  <c r="K152" i="17"/>
  <c r="G152" i="17"/>
  <c r="K151" i="17"/>
  <c r="G151" i="17"/>
  <c r="K150" i="17"/>
  <c r="G150" i="17"/>
  <c r="K149" i="17"/>
  <c r="G149" i="17"/>
  <c r="K148" i="17"/>
  <c r="G148" i="17"/>
  <c r="K147" i="17"/>
  <c r="G147" i="17"/>
  <c r="K146" i="17"/>
  <c r="G146" i="17"/>
  <c r="K145" i="17"/>
  <c r="G145" i="17"/>
  <c r="K144" i="17"/>
  <c r="G144" i="17"/>
  <c r="K143" i="17"/>
  <c r="G143" i="17"/>
  <c r="K142" i="17"/>
  <c r="G142" i="17"/>
  <c r="K141" i="17"/>
  <c r="G141" i="17"/>
  <c r="K140" i="17"/>
  <c r="G140" i="17"/>
  <c r="K139" i="17"/>
  <c r="G139" i="17"/>
  <c r="K138" i="17"/>
  <c r="G138" i="17"/>
  <c r="K137" i="17"/>
  <c r="G137" i="17"/>
  <c r="K136" i="17"/>
  <c r="G136" i="17"/>
  <c r="K135" i="17"/>
  <c r="G135" i="17"/>
  <c r="K134" i="17"/>
  <c r="G134" i="17"/>
  <c r="K133" i="17"/>
  <c r="G133" i="17"/>
  <c r="K132" i="17"/>
  <c r="G132" i="17"/>
  <c r="K131" i="17"/>
  <c r="G131" i="17"/>
  <c r="K130" i="17"/>
  <c r="G130" i="17"/>
  <c r="K129" i="17"/>
  <c r="G129" i="17"/>
  <c r="K128" i="17"/>
  <c r="G128" i="17"/>
  <c r="K127" i="17"/>
  <c r="G127" i="17"/>
  <c r="K126" i="17"/>
  <c r="G126" i="17"/>
  <c r="K125" i="17"/>
  <c r="G125" i="17"/>
  <c r="K124" i="17"/>
  <c r="G124" i="17"/>
  <c r="K123" i="17"/>
  <c r="G123" i="17"/>
  <c r="K122" i="17"/>
  <c r="G122" i="17"/>
  <c r="K121" i="17"/>
  <c r="G121" i="17"/>
  <c r="K120" i="17"/>
  <c r="G120" i="17"/>
  <c r="K119" i="17"/>
  <c r="G119" i="17"/>
  <c r="K118" i="17"/>
  <c r="G118" i="17"/>
  <c r="K117" i="17"/>
  <c r="G117" i="17"/>
  <c r="K116" i="17"/>
  <c r="G116" i="17"/>
  <c r="K115" i="17"/>
  <c r="G115" i="17"/>
  <c r="K114" i="17"/>
  <c r="G114" i="17"/>
  <c r="G112" i="17"/>
  <c r="G111" i="17"/>
  <c r="G110" i="17"/>
  <c r="K109" i="17"/>
  <c r="G109" i="17"/>
  <c r="K108" i="17"/>
  <c r="G108" i="17"/>
  <c r="K107" i="17"/>
  <c r="G107" i="17"/>
  <c r="K106" i="17"/>
  <c r="G106" i="17"/>
  <c r="K105" i="17"/>
  <c r="G105" i="17"/>
  <c r="K104" i="17"/>
  <c r="G104" i="17"/>
  <c r="K103" i="17"/>
  <c r="G103" i="17"/>
  <c r="K102" i="17"/>
  <c r="G102" i="17"/>
  <c r="K101" i="17"/>
  <c r="G101" i="17"/>
  <c r="K100" i="17"/>
  <c r="G100" i="17"/>
  <c r="K99" i="17"/>
  <c r="G99" i="17"/>
  <c r="K98" i="17"/>
  <c r="G98" i="17"/>
  <c r="K97" i="17"/>
  <c r="G97" i="17"/>
  <c r="G96" i="17"/>
  <c r="G95" i="17"/>
  <c r="G94" i="17"/>
  <c r="G93" i="17"/>
  <c r="G92" i="17"/>
</calcChain>
</file>

<file path=xl/sharedStrings.xml><?xml version="1.0" encoding="utf-8"?>
<sst xmlns="http://schemas.openxmlformats.org/spreadsheetml/2006/main" count="10580" uniqueCount="2456">
  <si>
    <t>中ブロック</t>
    <rPh sb="0" eb="1">
      <t>チュウ</t>
    </rPh>
    <phoneticPr fontId="3"/>
  </si>
  <si>
    <t>サイト名</t>
    <rPh sb="3" eb="4">
      <t>ナ</t>
    </rPh>
    <phoneticPr fontId="3"/>
  </si>
  <si>
    <t>県名</t>
    <rPh sb="0" eb="2">
      <t>ケンメイ</t>
    </rPh>
    <phoneticPr fontId="4"/>
  </si>
  <si>
    <t>調査地(spot)
No.</t>
    <rPh sb="0" eb="3">
      <t>チョウサチ</t>
    </rPh>
    <phoneticPr fontId="4"/>
  </si>
  <si>
    <t>地名</t>
    <rPh sb="0" eb="2">
      <t>チメイ</t>
    </rPh>
    <phoneticPr fontId="4"/>
  </si>
  <si>
    <t>東経
（度)</t>
  </si>
  <si>
    <t>東経
(秒）</t>
    <rPh sb="4" eb="5">
      <t>ビョウ</t>
    </rPh>
    <phoneticPr fontId="3"/>
  </si>
  <si>
    <t>地形</t>
  </si>
  <si>
    <t>底質</t>
    <rPh sb="0" eb="1">
      <t>ソコ</t>
    </rPh>
    <phoneticPr fontId="3"/>
  </si>
  <si>
    <t>大隅諸島</t>
    <rPh sb="0" eb="2">
      <t>オオスミ</t>
    </rPh>
    <rPh sb="2" eb="4">
      <t>ショトウ</t>
    </rPh>
    <phoneticPr fontId="3"/>
  </si>
  <si>
    <t>屋久島・種子島周辺</t>
    <rPh sb="0" eb="3">
      <t>ヤクシマ</t>
    </rPh>
    <rPh sb="4" eb="7">
      <t>タネガシマ</t>
    </rPh>
    <rPh sb="7" eb="9">
      <t>シュウヘン</t>
    </rPh>
    <phoneticPr fontId="3"/>
  </si>
  <si>
    <t>鹿児島県</t>
    <rPh sb="0" eb="4">
      <t>カゴシマケン</t>
    </rPh>
    <phoneticPr fontId="3"/>
  </si>
  <si>
    <t>外洋</t>
    <rPh sb="0" eb="2">
      <t>ガイヨウ</t>
    </rPh>
    <phoneticPr fontId="6"/>
  </si>
  <si>
    <t>堆積岩</t>
    <rPh sb="0" eb="3">
      <t>タイセキガン</t>
    </rPh>
    <phoneticPr fontId="6"/>
  </si>
  <si>
    <t>25×100</t>
  </si>
  <si>
    <t>1～6</t>
  </si>
  <si>
    <t>屋久島　元浦　</t>
    <rPh sb="0" eb="3">
      <t>ヤクシマ</t>
    </rPh>
    <rPh sb="4" eb="6">
      <t>モトウラ</t>
    </rPh>
    <phoneticPr fontId="8"/>
  </si>
  <si>
    <t>内湾</t>
    <rPh sb="0" eb="1">
      <t>ナイ</t>
    </rPh>
    <rPh sb="1" eb="2">
      <t>ワン</t>
    </rPh>
    <phoneticPr fontId="6"/>
  </si>
  <si>
    <t>50×50</t>
  </si>
  <si>
    <t>4～6</t>
  </si>
  <si>
    <t xml:space="preserve">屋久島管理棟下　 </t>
    <rPh sb="0" eb="3">
      <t>ヤクシマ</t>
    </rPh>
    <rPh sb="3" eb="5">
      <t>カンリ</t>
    </rPh>
    <rPh sb="5" eb="6">
      <t>トウ</t>
    </rPh>
    <rPh sb="6" eb="7">
      <t>シタ</t>
    </rPh>
    <phoneticPr fontId="8"/>
  </si>
  <si>
    <t>13～18</t>
  </si>
  <si>
    <t>屋久島　お宮下　</t>
    <rPh sb="0" eb="3">
      <t>ヤクシマ</t>
    </rPh>
    <rPh sb="5" eb="7">
      <t>ミヤシタ</t>
    </rPh>
    <phoneticPr fontId="8"/>
  </si>
  <si>
    <t>6～14</t>
  </si>
  <si>
    <t>屋久島タンク下　</t>
    <rPh sb="0" eb="3">
      <t>ヤクシマ</t>
    </rPh>
    <rPh sb="6" eb="7">
      <t>シタ</t>
    </rPh>
    <phoneticPr fontId="8"/>
  </si>
  <si>
    <t>6～7</t>
  </si>
  <si>
    <t>屋久島センロク　</t>
    <rPh sb="0" eb="3">
      <t>ヤクシマ</t>
    </rPh>
    <phoneticPr fontId="8"/>
  </si>
  <si>
    <t>13～26</t>
  </si>
  <si>
    <t>屋久島　塚崎　</t>
    <rPh sb="4" eb="6">
      <t>ツカザキ</t>
    </rPh>
    <phoneticPr fontId="8"/>
  </si>
  <si>
    <t>5～10</t>
  </si>
  <si>
    <t>屋久島　中間　</t>
    <rPh sb="0" eb="3">
      <t>ヤクシマ</t>
    </rPh>
    <rPh sb="4" eb="6">
      <t>ナカマ</t>
    </rPh>
    <phoneticPr fontId="8"/>
  </si>
  <si>
    <t>5～13</t>
  </si>
  <si>
    <t>屋久島　湯泊　</t>
    <rPh sb="0" eb="3">
      <t>ヤクシマ</t>
    </rPh>
    <rPh sb="4" eb="6">
      <t>ユドマリ</t>
    </rPh>
    <phoneticPr fontId="8"/>
  </si>
  <si>
    <t>港湾</t>
    <rPh sb="0" eb="2">
      <t>コウワン</t>
    </rPh>
    <phoneticPr fontId="6"/>
  </si>
  <si>
    <t>屋久島　麦生</t>
    <rPh sb="0" eb="3">
      <t>ヤクシマ</t>
    </rPh>
    <rPh sb="4" eb="5">
      <t>ムギ</t>
    </rPh>
    <rPh sb="5" eb="6">
      <t>ナマ</t>
    </rPh>
    <phoneticPr fontId="8"/>
  </si>
  <si>
    <t>1～5</t>
  </si>
  <si>
    <t>H16は工事により未調査。H17より調査開始。</t>
    <rPh sb="4" eb="6">
      <t>コウジ</t>
    </rPh>
    <rPh sb="9" eb="12">
      <t>ミチョウサ</t>
    </rPh>
    <rPh sb="18" eb="20">
      <t>チョウサ</t>
    </rPh>
    <rPh sb="20" eb="22">
      <t>カイシ</t>
    </rPh>
    <phoneticPr fontId="3"/>
  </si>
  <si>
    <t>口永良部　寝待　</t>
    <rPh sb="0" eb="4">
      <t>クチエラブ</t>
    </rPh>
    <rPh sb="5" eb="7">
      <t>ネマチ</t>
    </rPh>
    <phoneticPr fontId="8"/>
  </si>
  <si>
    <t>やや内湾</t>
    <rPh sb="2" eb="3">
      <t>ナイ</t>
    </rPh>
    <rPh sb="3" eb="4">
      <t>ワン</t>
    </rPh>
    <phoneticPr fontId="6"/>
  </si>
  <si>
    <t>玄武岩</t>
    <rPh sb="0" eb="3">
      <t>ゲンブガン</t>
    </rPh>
    <phoneticPr fontId="6"/>
  </si>
  <si>
    <t>5～21</t>
  </si>
  <si>
    <t>口永良部岩屋泊</t>
    <rPh sb="0" eb="4">
      <t>クチエラブ</t>
    </rPh>
    <rPh sb="4" eb="6">
      <t>イワヤ</t>
    </rPh>
    <rPh sb="6" eb="7">
      <t>トマリ</t>
    </rPh>
    <phoneticPr fontId="8"/>
  </si>
  <si>
    <t>7～18</t>
  </si>
  <si>
    <t>馬毛島</t>
    <rPh sb="0" eb="3">
      <t>マゲシマ</t>
    </rPh>
    <phoneticPr fontId="8"/>
  </si>
  <si>
    <t>種子島　大瀬</t>
    <rPh sb="0" eb="3">
      <t>タネガシマ</t>
    </rPh>
    <rPh sb="4" eb="6">
      <t>オオセ</t>
    </rPh>
    <phoneticPr fontId="8"/>
  </si>
  <si>
    <t>外洋</t>
  </si>
  <si>
    <t>堆積岩</t>
  </si>
  <si>
    <t>6～8</t>
  </si>
  <si>
    <t>種子島　住吉　　</t>
    <rPh sb="0" eb="3">
      <t>タネガシマ</t>
    </rPh>
    <rPh sb="4" eb="6">
      <t>スミヨシ</t>
    </rPh>
    <phoneticPr fontId="8"/>
  </si>
  <si>
    <t>サンゴ礁</t>
  </si>
  <si>
    <t>竹島 コモリ港</t>
    <rPh sb="0" eb="2">
      <t>タケシマ</t>
    </rPh>
    <rPh sb="6" eb="7">
      <t>ミナト</t>
    </rPh>
    <phoneticPr fontId="8"/>
  </si>
  <si>
    <t>玄武岩</t>
  </si>
  <si>
    <t>5～１6</t>
  </si>
  <si>
    <t>H16オンボ崎より変更。ズレは約300m。</t>
    <rPh sb="6" eb="7">
      <t>サキ</t>
    </rPh>
    <rPh sb="9" eb="11">
      <t>ヘンコウ</t>
    </rPh>
    <rPh sb="15" eb="16">
      <t>ヤク</t>
    </rPh>
    <phoneticPr fontId="3"/>
  </si>
  <si>
    <t>硫黄島永良部崎　</t>
    <rPh sb="0" eb="3">
      <t>イオウジマ</t>
    </rPh>
    <rPh sb="3" eb="6">
      <t>エラブ</t>
    </rPh>
    <rPh sb="6" eb="7">
      <t>サキ</t>
    </rPh>
    <phoneticPr fontId="8"/>
  </si>
  <si>
    <t>13～16</t>
  </si>
  <si>
    <t>黒島　夫婦瀬</t>
    <rPh sb="0" eb="2">
      <t>クロシマ</t>
    </rPh>
    <rPh sb="3" eb="5">
      <t>フウフ</t>
    </rPh>
    <rPh sb="5" eb="6">
      <t>セ</t>
    </rPh>
    <phoneticPr fontId="8"/>
  </si>
  <si>
    <t>10～23</t>
  </si>
  <si>
    <t>H16海況不良によりH17から調査開始。</t>
    <rPh sb="3" eb="5">
      <t>カイキョウ</t>
    </rPh>
    <rPh sb="5" eb="7">
      <t>フリョウ</t>
    </rPh>
    <rPh sb="15" eb="17">
      <t>チョウサ</t>
    </rPh>
    <rPh sb="17" eb="19">
      <t>カイシ</t>
    </rPh>
    <phoneticPr fontId="3"/>
  </si>
  <si>
    <t>種子島　浦田ビーチ</t>
    <rPh sb="0" eb="3">
      <t>タネガシマ</t>
    </rPh>
    <rPh sb="4" eb="6">
      <t>ウラタ</t>
    </rPh>
    <phoneticPr fontId="3"/>
  </si>
  <si>
    <t>内湾</t>
    <rPh sb="0" eb="1">
      <t>ナイ</t>
    </rPh>
    <rPh sb="1" eb="2">
      <t>ワン</t>
    </rPh>
    <phoneticPr fontId="11"/>
  </si>
  <si>
    <t>25x100</t>
  </si>
  <si>
    <t>3～5</t>
  </si>
  <si>
    <t>トカラ列島</t>
    <rPh sb="3" eb="5">
      <t>レットウ</t>
    </rPh>
    <phoneticPr fontId="3"/>
  </si>
  <si>
    <t>小宝島周辺</t>
    <rPh sb="0" eb="1">
      <t>コ</t>
    </rPh>
    <rPh sb="1" eb="3">
      <t>タカラジマ</t>
    </rPh>
    <rPh sb="3" eb="5">
      <t>シュウヘン</t>
    </rPh>
    <phoneticPr fontId="3"/>
  </si>
  <si>
    <t>宝島前篭港東</t>
    <rPh sb="0" eb="2">
      <t>タカラジマ</t>
    </rPh>
    <rPh sb="2" eb="3">
      <t>マエ</t>
    </rPh>
    <rPh sb="3" eb="4">
      <t>コモ</t>
    </rPh>
    <rPh sb="4" eb="5">
      <t>ミナト</t>
    </rPh>
    <rPh sb="5" eb="6">
      <t>ヒガシ</t>
    </rPh>
    <phoneticPr fontId="4"/>
  </si>
  <si>
    <t>礁斜面</t>
    <rPh sb="0" eb="1">
      <t>ショウ</t>
    </rPh>
    <rPh sb="1" eb="3">
      <t>シャメン</t>
    </rPh>
    <phoneticPr fontId="13"/>
  </si>
  <si>
    <t>岩盤</t>
    <rPh sb="0" eb="2">
      <t>ガンバン</t>
    </rPh>
    <phoneticPr fontId="6"/>
  </si>
  <si>
    <t>50×30</t>
  </si>
  <si>
    <t>宝島海水浴場沖</t>
    <rPh sb="0" eb="2">
      <t>タカラジマ</t>
    </rPh>
    <rPh sb="2" eb="5">
      <t>カイスイヨク</t>
    </rPh>
    <rPh sb="5" eb="6">
      <t>ジョウ</t>
    </rPh>
    <rPh sb="6" eb="7">
      <t>オキ</t>
    </rPh>
    <phoneticPr fontId="4"/>
  </si>
  <si>
    <t>礁縁</t>
    <rPh sb="0" eb="1">
      <t>ショウ</t>
    </rPh>
    <rPh sb="1" eb="2">
      <t>エン</t>
    </rPh>
    <phoneticPr fontId="13"/>
  </si>
  <si>
    <t>宝島ヘリポート沖①</t>
    <rPh sb="0" eb="2">
      <t>タカラジマ</t>
    </rPh>
    <rPh sb="7" eb="8">
      <t>オキ</t>
    </rPh>
    <phoneticPr fontId="4"/>
  </si>
  <si>
    <t>礁縁・離礁</t>
    <rPh sb="0" eb="1">
      <t>ショウ</t>
    </rPh>
    <rPh sb="1" eb="2">
      <t>エン</t>
    </rPh>
    <rPh sb="3" eb="4">
      <t>リ</t>
    </rPh>
    <rPh sb="4" eb="5">
      <t>ショウ</t>
    </rPh>
    <phoneticPr fontId="13"/>
  </si>
  <si>
    <t>3～10</t>
  </si>
  <si>
    <t>宝島ヘリポート沖②</t>
    <rPh sb="0" eb="2">
      <t>タカラジマ</t>
    </rPh>
    <rPh sb="7" eb="8">
      <t>オキ</t>
    </rPh>
    <phoneticPr fontId="4"/>
  </si>
  <si>
    <t>1～8</t>
  </si>
  <si>
    <t>宝島洗石港南</t>
    <rPh sb="0" eb="2">
      <t>タカラジマ</t>
    </rPh>
    <rPh sb="2" eb="3">
      <t>アラ</t>
    </rPh>
    <rPh sb="3" eb="4">
      <t>ゴク</t>
    </rPh>
    <rPh sb="4" eb="5">
      <t>ミナト</t>
    </rPh>
    <rPh sb="5" eb="6">
      <t>ミナミ</t>
    </rPh>
    <phoneticPr fontId="4"/>
  </si>
  <si>
    <t>2～10</t>
  </si>
  <si>
    <t>宝島ヘリポート沖③</t>
    <rPh sb="0" eb="2">
      <t>タカラジマ</t>
    </rPh>
    <rPh sb="7" eb="8">
      <t>オキ</t>
    </rPh>
    <phoneticPr fontId="4"/>
  </si>
  <si>
    <t>2～6</t>
  </si>
  <si>
    <t>宝島ヘリポート沖④</t>
    <rPh sb="0" eb="2">
      <t>タカラジマ</t>
    </rPh>
    <rPh sb="7" eb="8">
      <t>オキ</t>
    </rPh>
    <phoneticPr fontId="4"/>
  </si>
  <si>
    <t>8～10</t>
  </si>
  <si>
    <t>小宝島港西</t>
    <rPh sb="0" eb="1">
      <t>コ</t>
    </rPh>
    <rPh sb="1" eb="3">
      <t>タカラジマ</t>
    </rPh>
    <rPh sb="3" eb="4">
      <t>ミナト</t>
    </rPh>
    <rPh sb="4" eb="5">
      <t>ニシ</t>
    </rPh>
    <phoneticPr fontId="4"/>
  </si>
  <si>
    <t>礁斜面</t>
    <rPh sb="0" eb="1">
      <t>ショウ</t>
    </rPh>
    <rPh sb="1" eb="3">
      <t>シャメン</t>
    </rPh>
    <phoneticPr fontId="3"/>
  </si>
  <si>
    <t>岩礁</t>
    <rPh sb="0" eb="2">
      <t>ガンショウ</t>
    </rPh>
    <phoneticPr fontId="4"/>
  </si>
  <si>
    <t>2～8</t>
  </si>
  <si>
    <t>悪石島北東岸畝神</t>
    <rPh sb="0" eb="1">
      <t>アク</t>
    </rPh>
    <rPh sb="1" eb="2">
      <t>セキ</t>
    </rPh>
    <rPh sb="2" eb="3">
      <t>ジマ</t>
    </rPh>
    <rPh sb="3" eb="5">
      <t>ホクトウ</t>
    </rPh>
    <rPh sb="5" eb="6">
      <t>ガン</t>
    </rPh>
    <rPh sb="6" eb="7">
      <t>ホ</t>
    </rPh>
    <rPh sb="7" eb="8">
      <t>ガミ</t>
    </rPh>
    <phoneticPr fontId="4"/>
  </si>
  <si>
    <t>岩礁・巨大転石</t>
    <rPh sb="0" eb="2">
      <t>ガンショウ</t>
    </rPh>
    <rPh sb="3" eb="5">
      <t>キョダイ</t>
    </rPh>
    <rPh sb="5" eb="6">
      <t>テン</t>
    </rPh>
    <rPh sb="6" eb="7">
      <t>セキ</t>
    </rPh>
    <phoneticPr fontId="6"/>
  </si>
  <si>
    <t>3～7</t>
  </si>
  <si>
    <t>悪石島東岸女神山岬下</t>
    <rPh sb="0" eb="1">
      <t>アク</t>
    </rPh>
    <rPh sb="1" eb="2">
      <t>セキ</t>
    </rPh>
    <rPh sb="2" eb="3">
      <t>ジマ</t>
    </rPh>
    <rPh sb="3" eb="5">
      <t>トウガン</t>
    </rPh>
    <rPh sb="5" eb="7">
      <t>メガミ</t>
    </rPh>
    <rPh sb="7" eb="8">
      <t>ヤマ</t>
    </rPh>
    <rPh sb="8" eb="9">
      <t>ミサキ</t>
    </rPh>
    <rPh sb="9" eb="10">
      <t>シタ</t>
    </rPh>
    <phoneticPr fontId="4"/>
  </si>
  <si>
    <t>4～7</t>
  </si>
  <si>
    <t>諏訪之瀬島南東岸</t>
    <rPh sb="0" eb="2">
      <t>スワ</t>
    </rPh>
    <rPh sb="2" eb="3">
      <t>ノ</t>
    </rPh>
    <rPh sb="3" eb="4">
      <t>セ</t>
    </rPh>
    <rPh sb="4" eb="5">
      <t>ジマ</t>
    </rPh>
    <rPh sb="5" eb="7">
      <t>ナントウ</t>
    </rPh>
    <rPh sb="7" eb="8">
      <t>ガン</t>
    </rPh>
    <phoneticPr fontId="4"/>
  </si>
  <si>
    <t>沿岸</t>
    <rPh sb="0" eb="2">
      <t>エンガン</t>
    </rPh>
    <phoneticPr fontId="4"/>
  </si>
  <si>
    <t>巨大転石・火山灰</t>
    <rPh sb="0" eb="2">
      <t>キョダイ</t>
    </rPh>
    <rPh sb="2" eb="3">
      <t>テン</t>
    </rPh>
    <rPh sb="3" eb="4">
      <t>セキ</t>
    </rPh>
    <rPh sb="5" eb="8">
      <t>カザンバイ</t>
    </rPh>
    <phoneticPr fontId="4"/>
  </si>
  <si>
    <t>諏訪之瀬島港桟橋南</t>
    <rPh sb="0" eb="2">
      <t>スワ</t>
    </rPh>
    <rPh sb="2" eb="3">
      <t>ノ</t>
    </rPh>
    <rPh sb="3" eb="4">
      <t>セ</t>
    </rPh>
    <rPh sb="4" eb="5">
      <t>ジマ</t>
    </rPh>
    <rPh sb="5" eb="6">
      <t>ミナト</t>
    </rPh>
    <rPh sb="6" eb="8">
      <t>サンバシ</t>
    </rPh>
    <rPh sb="8" eb="9">
      <t>ミナミ</t>
    </rPh>
    <phoneticPr fontId="4"/>
  </si>
  <si>
    <t>礁斜面</t>
    <rPh sb="0" eb="1">
      <t>ショウ</t>
    </rPh>
    <rPh sb="1" eb="3">
      <t>シャメン</t>
    </rPh>
    <phoneticPr fontId="4"/>
  </si>
  <si>
    <t>2～5</t>
  </si>
  <si>
    <t>中之島ジンニョム岳下</t>
    <rPh sb="0" eb="1">
      <t>ナカ</t>
    </rPh>
    <rPh sb="1" eb="2">
      <t>ノ</t>
    </rPh>
    <rPh sb="2" eb="3">
      <t>シマ</t>
    </rPh>
    <rPh sb="8" eb="9">
      <t>タケ</t>
    </rPh>
    <rPh sb="9" eb="10">
      <t>シタ</t>
    </rPh>
    <phoneticPr fontId="4"/>
  </si>
  <si>
    <t>岩礁</t>
    <rPh sb="0" eb="2">
      <t>ガンショウ</t>
    </rPh>
    <phoneticPr fontId="6"/>
  </si>
  <si>
    <t>2～7</t>
  </si>
  <si>
    <t>小宝島赤立神東</t>
    <rPh sb="0" eb="1">
      <t>コ</t>
    </rPh>
    <rPh sb="1" eb="3">
      <t>タカラジマ</t>
    </rPh>
    <rPh sb="3" eb="4">
      <t>アカ</t>
    </rPh>
    <rPh sb="4" eb="5">
      <t>タ</t>
    </rPh>
    <rPh sb="5" eb="6">
      <t>カミ</t>
    </rPh>
    <rPh sb="6" eb="7">
      <t>ヒガシ</t>
    </rPh>
    <phoneticPr fontId="6"/>
  </si>
  <si>
    <t>礁斜面・転石</t>
    <rPh sb="0" eb="1">
      <t>ショウ</t>
    </rPh>
    <rPh sb="1" eb="3">
      <t>シャメン</t>
    </rPh>
    <rPh sb="4" eb="5">
      <t>テン</t>
    </rPh>
    <rPh sb="5" eb="6">
      <t>セキ</t>
    </rPh>
    <phoneticPr fontId="13"/>
  </si>
  <si>
    <t>宝島前籠港西</t>
    <rPh sb="0" eb="2">
      <t>タカラジマ</t>
    </rPh>
    <rPh sb="2" eb="3">
      <t>マエ</t>
    </rPh>
    <rPh sb="3" eb="4">
      <t>コモ</t>
    </rPh>
    <rPh sb="4" eb="5">
      <t>ミナト</t>
    </rPh>
    <rPh sb="5" eb="6">
      <t>ニシ</t>
    </rPh>
    <phoneticPr fontId="6"/>
  </si>
  <si>
    <t>小宝島港南</t>
    <rPh sb="0" eb="1">
      <t>コ</t>
    </rPh>
    <rPh sb="1" eb="3">
      <t>タカラジマ</t>
    </rPh>
    <rPh sb="3" eb="4">
      <t>ミナト</t>
    </rPh>
    <rPh sb="4" eb="5">
      <t>ミナミ</t>
    </rPh>
    <phoneticPr fontId="6"/>
  </si>
  <si>
    <t>小宝島横瀬海岸東</t>
    <rPh sb="0" eb="1">
      <t>コ</t>
    </rPh>
    <rPh sb="1" eb="3">
      <t>タカラジマ</t>
    </rPh>
    <rPh sb="3" eb="5">
      <t>ヨコセ</t>
    </rPh>
    <rPh sb="5" eb="7">
      <t>カイガン</t>
    </rPh>
    <rPh sb="7" eb="8">
      <t>ヒガシ</t>
    </rPh>
    <phoneticPr fontId="6"/>
  </si>
  <si>
    <t>小宝島横瀬海岸西</t>
    <rPh sb="0" eb="1">
      <t>コ</t>
    </rPh>
    <rPh sb="1" eb="3">
      <t>タカラジマ</t>
    </rPh>
    <rPh sb="3" eb="5">
      <t>ヨコセ</t>
    </rPh>
    <rPh sb="5" eb="7">
      <t>カイガン</t>
    </rPh>
    <rPh sb="7" eb="8">
      <t>ニシ</t>
    </rPh>
    <phoneticPr fontId="6"/>
  </si>
  <si>
    <t>悪石島東浜</t>
    <rPh sb="0" eb="1">
      <t>アク</t>
    </rPh>
    <rPh sb="1" eb="2">
      <t>セキ</t>
    </rPh>
    <rPh sb="2" eb="3">
      <t>ジマ</t>
    </rPh>
    <rPh sb="3" eb="5">
      <t>ヒガシハマ</t>
    </rPh>
    <phoneticPr fontId="6"/>
  </si>
  <si>
    <t>3～8</t>
  </si>
  <si>
    <t>中之島荷積</t>
    <rPh sb="0" eb="1">
      <t>ナカ</t>
    </rPh>
    <rPh sb="1" eb="2">
      <t>ノ</t>
    </rPh>
    <rPh sb="2" eb="3">
      <t>シマ</t>
    </rPh>
    <rPh sb="3" eb="4">
      <t>ニ</t>
    </rPh>
    <rPh sb="4" eb="5">
      <t>ツ</t>
    </rPh>
    <phoneticPr fontId="6"/>
  </si>
  <si>
    <t>小規模で浅い湾</t>
    <rPh sb="0" eb="3">
      <t>ショウキボ</t>
    </rPh>
    <rPh sb="4" eb="5">
      <t>アサ</t>
    </rPh>
    <rPh sb="6" eb="7">
      <t>ワン</t>
    </rPh>
    <phoneticPr fontId="6"/>
  </si>
  <si>
    <t>岩盤・礫</t>
    <rPh sb="0" eb="2">
      <t>ガンバン</t>
    </rPh>
    <rPh sb="3" eb="4">
      <t>レキ</t>
    </rPh>
    <phoneticPr fontId="6"/>
  </si>
  <si>
    <t>中之島相原</t>
    <rPh sb="0" eb="1">
      <t>ナカ</t>
    </rPh>
    <rPh sb="1" eb="2">
      <t>ノ</t>
    </rPh>
    <rPh sb="2" eb="3">
      <t>シマ</t>
    </rPh>
    <rPh sb="3" eb="5">
      <t>アイハラ</t>
    </rPh>
    <phoneticPr fontId="6"/>
  </si>
  <si>
    <t>1～7</t>
  </si>
  <si>
    <t>上ノ根島北</t>
    <rPh sb="0" eb="1">
      <t>カミ</t>
    </rPh>
    <rPh sb="2" eb="3">
      <t>ネ</t>
    </rPh>
    <rPh sb="3" eb="4">
      <t>ジマ</t>
    </rPh>
    <rPh sb="4" eb="5">
      <t>キタ</t>
    </rPh>
    <phoneticPr fontId="6"/>
  </si>
  <si>
    <t>岩礁</t>
    <rPh sb="0" eb="2">
      <t>ガンショウ</t>
    </rPh>
    <phoneticPr fontId="13"/>
  </si>
  <si>
    <t>7～10</t>
  </si>
  <si>
    <t>横当島北入り江</t>
    <rPh sb="0" eb="1">
      <t>ヨコ</t>
    </rPh>
    <rPh sb="1" eb="2">
      <t>ア</t>
    </rPh>
    <rPh sb="2" eb="3">
      <t>ジマ</t>
    </rPh>
    <rPh sb="3" eb="4">
      <t>キタ</t>
    </rPh>
    <rPh sb="4" eb="5">
      <t>イ</t>
    </rPh>
    <rPh sb="6" eb="7">
      <t>エ</t>
    </rPh>
    <phoneticPr fontId="6"/>
  </si>
  <si>
    <t>転石</t>
    <rPh sb="0" eb="1">
      <t>テン</t>
    </rPh>
    <rPh sb="1" eb="2">
      <t>セキ</t>
    </rPh>
    <phoneticPr fontId="13"/>
  </si>
  <si>
    <t>大間泊港前航路口</t>
  </si>
  <si>
    <t>岩盤</t>
    <rPh sb="0" eb="2">
      <t>ガンバン</t>
    </rPh>
    <phoneticPr fontId="3"/>
  </si>
  <si>
    <t>悪石島風下</t>
  </si>
  <si>
    <t>岩礁</t>
    <rPh sb="0" eb="2">
      <t>ガンショウ</t>
    </rPh>
    <phoneticPr fontId="3"/>
  </si>
  <si>
    <t>奄美群島</t>
    <rPh sb="0" eb="2">
      <t>アマミ</t>
    </rPh>
    <rPh sb="2" eb="4">
      <t>グントウ</t>
    </rPh>
    <phoneticPr fontId="3"/>
  </si>
  <si>
    <t>瀬戸内周辺（大島）</t>
    <rPh sb="0" eb="3">
      <t>セトウチ</t>
    </rPh>
    <rPh sb="3" eb="5">
      <t>シュウヘン</t>
    </rPh>
    <rPh sb="6" eb="8">
      <t>オオシマ</t>
    </rPh>
    <phoneticPr fontId="3"/>
  </si>
  <si>
    <t>鹿児島県</t>
    <rPh sb="0" eb="4">
      <t>カゴシマケン</t>
    </rPh>
    <phoneticPr fontId="4"/>
  </si>
  <si>
    <t>赤木名立神</t>
    <rPh sb="0" eb="1">
      <t>アカキ</t>
    </rPh>
    <rPh sb="1" eb="2">
      <t>キ</t>
    </rPh>
    <rPh sb="2" eb="3">
      <t>ナ</t>
    </rPh>
    <rPh sb="3" eb="4">
      <t>タ</t>
    </rPh>
    <rPh sb="4" eb="5">
      <t>カミ</t>
    </rPh>
    <phoneticPr fontId="4"/>
  </si>
  <si>
    <t>礁原</t>
  </si>
  <si>
    <t>サンゴ岩</t>
  </si>
  <si>
    <t>1～3</t>
  </si>
  <si>
    <t>節田</t>
    <rPh sb="0" eb="1">
      <t>セツ</t>
    </rPh>
    <rPh sb="1" eb="2">
      <t>タ</t>
    </rPh>
    <phoneticPr fontId="4"/>
  </si>
  <si>
    <t>礁池</t>
  </si>
  <si>
    <t>砂／礫</t>
  </si>
  <si>
    <t>神の子</t>
    <rPh sb="0" eb="1">
      <t>カミ</t>
    </rPh>
    <rPh sb="2" eb="3">
      <t>コ</t>
    </rPh>
    <phoneticPr fontId="3"/>
  </si>
  <si>
    <t>1～2</t>
  </si>
  <si>
    <t>久場</t>
    <rPh sb="0" eb="1">
      <t>ヒサ</t>
    </rPh>
    <rPh sb="1" eb="2">
      <t>バ</t>
    </rPh>
    <phoneticPr fontId="3"/>
  </si>
  <si>
    <t>内湾</t>
  </si>
  <si>
    <t>泥</t>
  </si>
  <si>
    <t>安木屋場</t>
    <rPh sb="0" eb="1">
      <t>アン</t>
    </rPh>
    <rPh sb="1" eb="2">
      <t>キ</t>
    </rPh>
    <rPh sb="2" eb="3">
      <t>ヤ</t>
    </rPh>
    <rPh sb="3" eb="4">
      <t>バ</t>
    </rPh>
    <phoneticPr fontId="3"/>
  </si>
  <si>
    <t>崎原東</t>
    <rPh sb="0" eb="2">
      <t>サキバル</t>
    </rPh>
    <rPh sb="2" eb="3">
      <t>ヒガシ</t>
    </rPh>
    <phoneticPr fontId="3"/>
  </si>
  <si>
    <t>離礁</t>
  </si>
  <si>
    <t>崎原南</t>
    <rPh sb="0" eb="2">
      <t>サキバル</t>
    </rPh>
    <rPh sb="2" eb="3">
      <t>ミナミ</t>
    </rPh>
    <phoneticPr fontId="3"/>
  </si>
  <si>
    <t>やや内湾</t>
  </si>
  <si>
    <t>摺子崎</t>
    <rPh sb="0" eb="1">
      <t>スリ</t>
    </rPh>
    <rPh sb="1" eb="2">
      <t>コ</t>
    </rPh>
    <rPh sb="2" eb="3">
      <t>サキ</t>
    </rPh>
    <phoneticPr fontId="3"/>
  </si>
  <si>
    <t>大浜</t>
    <rPh sb="0" eb="2">
      <t>オオハマ</t>
    </rPh>
    <phoneticPr fontId="3"/>
  </si>
  <si>
    <t>徳浜</t>
    <rPh sb="0" eb="2">
      <t>トクハマ</t>
    </rPh>
    <phoneticPr fontId="3"/>
  </si>
  <si>
    <t>和瀬</t>
    <rPh sb="0" eb="1">
      <t>ワ</t>
    </rPh>
    <rPh sb="1" eb="2">
      <t>セ</t>
    </rPh>
    <phoneticPr fontId="3"/>
  </si>
  <si>
    <t>実久</t>
    <rPh sb="0" eb="1">
      <t>ジツ</t>
    </rPh>
    <rPh sb="1" eb="2">
      <t>ヒサ</t>
    </rPh>
    <phoneticPr fontId="3"/>
  </si>
  <si>
    <t>デリキョンマ崎</t>
    <rPh sb="6" eb="7">
      <t>サキ</t>
    </rPh>
    <phoneticPr fontId="3"/>
  </si>
  <si>
    <t>手安</t>
    <rPh sb="0" eb="2">
      <t>テアン</t>
    </rPh>
    <phoneticPr fontId="3"/>
  </si>
  <si>
    <t>砂</t>
  </si>
  <si>
    <t>安脚場</t>
    <rPh sb="0" eb="1">
      <t>アン</t>
    </rPh>
    <rPh sb="1" eb="2">
      <t>キャク</t>
    </rPh>
    <rPh sb="2" eb="3">
      <t>バ</t>
    </rPh>
    <phoneticPr fontId="3"/>
  </si>
  <si>
    <t>5～8</t>
  </si>
  <si>
    <t>沖縄島東岸</t>
    <rPh sb="0" eb="3">
      <t>オキナワジマ</t>
    </rPh>
    <rPh sb="3" eb="5">
      <t>ヒガシガン</t>
    </rPh>
    <phoneticPr fontId="3"/>
  </si>
  <si>
    <t>東村～奥</t>
    <rPh sb="0" eb="2">
      <t>ヒガシソン</t>
    </rPh>
    <rPh sb="3" eb="4">
      <t>オク</t>
    </rPh>
    <phoneticPr fontId="4"/>
  </si>
  <si>
    <t>沖縄県</t>
    <rPh sb="0" eb="3">
      <t>オキナワケン</t>
    </rPh>
    <phoneticPr fontId="3"/>
  </si>
  <si>
    <t>荒崎西礁池**</t>
    <rPh sb="0" eb="2">
      <t>アラサキ</t>
    </rPh>
    <rPh sb="2" eb="3">
      <t>ニシ</t>
    </rPh>
    <rPh sb="3" eb="4">
      <t>ショウ</t>
    </rPh>
    <rPh sb="4" eb="5">
      <t>チ</t>
    </rPh>
    <phoneticPr fontId="3"/>
  </si>
  <si>
    <t>岩</t>
  </si>
  <si>
    <t>1～17</t>
  </si>
  <si>
    <t>大度海岸礁池**</t>
    <rPh sb="0" eb="1">
      <t>オオド</t>
    </rPh>
    <rPh sb="1" eb="2">
      <t>ド</t>
    </rPh>
    <rPh sb="2" eb="4">
      <t>カイガン</t>
    </rPh>
    <rPh sb="4" eb="6">
      <t>ショウチ</t>
    </rPh>
    <phoneticPr fontId="3"/>
  </si>
  <si>
    <t>砂・岩・礫</t>
  </si>
  <si>
    <t>0～2</t>
  </si>
  <si>
    <t>大度海岸礁斜面**</t>
    <rPh sb="0" eb="1">
      <t>オオド</t>
    </rPh>
    <rPh sb="1" eb="2">
      <t>ド</t>
    </rPh>
    <rPh sb="2" eb="4">
      <t>カイガン</t>
    </rPh>
    <rPh sb="4" eb="7">
      <t>ショウシャメン</t>
    </rPh>
    <phoneticPr fontId="3"/>
  </si>
  <si>
    <t>岩・礫・砂</t>
  </si>
  <si>
    <t>摩文仁南礁池**</t>
    <rPh sb="0" eb="3">
      <t>マブニ</t>
    </rPh>
    <rPh sb="3" eb="4">
      <t>ミナミ</t>
    </rPh>
    <rPh sb="4" eb="5">
      <t>ショウ</t>
    </rPh>
    <rPh sb="5" eb="6">
      <t>チ</t>
    </rPh>
    <phoneticPr fontId="3"/>
  </si>
  <si>
    <t>岩・砂</t>
  </si>
  <si>
    <t>奥武島南礁池**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3"/>
  </si>
  <si>
    <t>奥武島南礁斜面**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3"/>
  </si>
  <si>
    <t>クマカ島南*</t>
    <rPh sb="3" eb="4">
      <t>ジマ</t>
    </rPh>
    <rPh sb="4" eb="5">
      <t>ミナミ</t>
    </rPh>
    <phoneticPr fontId="3"/>
  </si>
  <si>
    <t>1～9</t>
  </si>
  <si>
    <t>久高島エラブ岩東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3"/>
  </si>
  <si>
    <t>ウガン岩南</t>
    <rPh sb="3" eb="4">
      <t>イワ</t>
    </rPh>
    <rPh sb="4" eb="5">
      <t>ミナミ</t>
    </rPh>
    <phoneticPr fontId="3"/>
  </si>
  <si>
    <t>津堅島アギハマ東</t>
    <rPh sb="0" eb="1">
      <t>ツ</t>
    </rPh>
    <rPh sb="1" eb="2">
      <t>ケン</t>
    </rPh>
    <rPh sb="2" eb="3">
      <t>ジマ</t>
    </rPh>
    <rPh sb="7" eb="8">
      <t>ヒガシ</t>
    </rPh>
    <phoneticPr fontId="3"/>
  </si>
  <si>
    <t>1～13</t>
  </si>
  <si>
    <t>ギノギ岩北東</t>
    <rPh sb="3" eb="4">
      <t>イワ</t>
    </rPh>
    <rPh sb="4" eb="6">
      <t>ホクトウ</t>
    </rPh>
    <phoneticPr fontId="3"/>
  </si>
  <si>
    <t>127'</t>
  </si>
  <si>
    <t>礁斜面</t>
  </si>
  <si>
    <t>岩</t>
    <rPh sb="0" eb="1">
      <t>イワ</t>
    </rPh>
    <phoneticPr fontId="3"/>
  </si>
  <si>
    <t>南浮原島南東</t>
    <rPh sb="0" eb="1">
      <t>ミナミ</t>
    </rPh>
    <rPh sb="1" eb="2">
      <t>ウキ</t>
    </rPh>
    <rPh sb="2" eb="3">
      <t>ハラ</t>
    </rPh>
    <rPh sb="3" eb="4">
      <t>シマ</t>
    </rPh>
    <rPh sb="4" eb="5">
      <t>ミナミ</t>
    </rPh>
    <rPh sb="5" eb="6">
      <t>ヒガシ</t>
    </rPh>
    <phoneticPr fontId="3"/>
  </si>
  <si>
    <t>浮原島北東ヨコビシ</t>
    <rPh sb="0" eb="1">
      <t>ウキ</t>
    </rPh>
    <rPh sb="1" eb="3">
      <t>ハラシマ</t>
    </rPh>
    <rPh sb="3" eb="5">
      <t>ホクトウ</t>
    </rPh>
    <phoneticPr fontId="3"/>
  </si>
  <si>
    <t>砂</t>
    <rPh sb="0" eb="1">
      <t>スナ</t>
    </rPh>
    <phoneticPr fontId="3"/>
  </si>
  <si>
    <t>伊計島東礁池</t>
    <rPh sb="0" eb="2">
      <t>イケイ</t>
    </rPh>
    <rPh sb="2" eb="3">
      <t>ジマ</t>
    </rPh>
    <rPh sb="3" eb="4">
      <t>ヒガシ</t>
    </rPh>
    <rPh sb="4" eb="6">
      <t>ショウチ</t>
    </rPh>
    <phoneticPr fontId="3"/>
  </si>
  <si>
    <t>岩・砂・礫</t>
  </si>
  <si>
    <t>伊計島東礁斜面</t>
    <rPh sb="0" eb="2">
      <t>イケイ</t>
    </rPh>
    <rPh sb="2" eb="3">
      <t>ジマ</t>
    </rPh>
    <rPh sb="3" eb="4">
      <t>ヒガシ</t>
    </rPh>
    <rPh sb="4" eb="7">
      <t>ショウシャメン</t>
    </rPh>
    <phoneticPr fontId="3"/>
  </si>
  <si>
    <t>1～11</t>
  </si>
  <si>
    <t>岩・礫</t>
  </si>
  <si>
    <t>東村宮城ウンシ南</t>
    <rPh sb="0" eb="2">
      <t>ヒガシソン</t>
    </rPh>
    <rPh sb="7" eb="8">
      <t>ミナミ</t>
    </rPh>
    <phoneticPr fontId="3"/>
  </si>
  <si>
    <t>揚水発電所南東</t>
    <rPh sb="0" eb="1">
      <t>アゲ</t>
    </rPh>
    <phoneticPr fontId="3"/>
  </si>
  <si>
    <t>国頭村赤崎北礁池**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3"/>
  </si>
  <si>
    <t>国頭村赤崎北礁斜面**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3"/>
  </si>
  <si>
    <t>奥漁港北**</t>
    <rPh sb="0" eb="1">
      <t>オク</t>
    </rPh>
    <rPh sb="1" eb="3">
      <t>ギョコウ</t>
    </rPh>
    <rPh sb="3" eb="4">
      <t>キタ</t>
    </rPh>
    <phoneticPr fontId="3"/>
  </si>
  <si>
    <t>宇佐浜世皮崎西*</t>
  </si>
  <si>
    <t>安田ヶ島北*</t>
    <rPh sb="4" eb="5">
      <t>キタ</t>
    </rPh>
    <phoneticPr fontId="13"/>
  </si>
  <si>
    <t>慶佐次ウッパマ東礁斜面</t>
    <rPh sb="8" eb="9">
      <t>ショウ</t>
    </rPh>
    <rPh sb="9" eb="11">
      <t>シャメン</t>
    </rPh>
    <phoneticPr fontId="3"/>
  </si>
  <si>
    <t>泡瀬ﾋﾒﾏﾂﾐﾄﾞﾘｲｼ礁池</t>
    <rPh sb="0" eb="1">
      <t>アワ</t>
    </rPh>
    <rPh sb="1" eb="2">
      <t>セ</t>
    </rPh>
    <rPh sb="12" eb="13">
      <t>イケ</t>
    </rPh>
    <phoneticPr fontId="13"/>
  </si>
  <si>
    <t>礁池</t>
    <rPh sb="0" eb="1">
      <t>ショウ</t>
    </rPh>
    <rPh sb="1" eb="2">
      <t>チ</t>
    </rPh>
    <phoneticPr fontId="13"/>
  </si>
  <si>
    <t>砂・礫</t>
  </si>
  <si>
    <t>200×100</t>
  </si>
  <si>
    <t>泡瀬ﾋﾒﾏﾂﾐﾄﾞﾘｲｼ礁斜面</t>
    <rPh sb="0" eb="1">
      <t>アワ</t>
    </rPh>
    <rPh sb="1" eb="2">
      <t>セ</t>
    </rPh>
    <rPh sb="12" eb="15">
      <t>ショウシャメン</t>
    </rPh>
    <phoneticPr fontId="13"/>
  </si>
  <si>
    <t>大浦ﾊﾏｻﾝｺﾞ</t>
    <rPh sb="0" eb="2">
      <t>オオウラ</t>
    </rPh>
    <phoneticPr fontId="13"/>
  </si>
  <si>
    <t>200x100</t>
  </si>
  <si>
    <t>具志川城跡南</t>
    <rPh sb="0" eb="3">
      <t>グシカワ</t>
    </rPh>
    <rPh sb="3" eb="5">
      <t>ジョウセキ</t>
    </rPh>
    <rPh sb="5" eb="6">
      <t>ミナミ</t>
    </rPh>
    <phoneticPr fontId="13"/>
  </si>
  <si>
    <t>米須</t>
    <rPh sb="0" eb="2">
      <t>コメス</t>
    </rPh>
    <phoneticPr fontId="13"/>
  </si>
  <si>
    <t>波名城礁池</t>
    <rPh sb="0" eb="1">
      <t>ハ</t>
    </rPh>
    <rPh sb="1" eb="2">
      <t>ナ</t>
    </rPh>
    <rPh sb="2" eb="3">
      <t>シロ</t>
    </rPh>
    <rPh sb="3" eb="4">
      <t>ショウ</t>
    </rPh>
    <rPh sb="4" eb="5">
      <t>イケ</t>
    </rPh>
    <phoneticPr fontId="13"/>
  </si>
  <si>
    <t>岩/砂</t>
  </si>
  <si>
    <t>波名城礁斜面</t>
    <rPh sb="0" eb="1">
      <t>ハ</t>
    </rPh>
    <rPh sb="1" eb="2">
      <t>ナ</t>
    </rPh>
    <rPh sb="2" eb="3">
      <t>シロ</t>
    </rPh>
    <rPh sb="3" eb="4">
      <t>ショウ</t>
    </rPh>
    <rPh sb="4" eb="6">
      <t>シャメン</t>
    </rPh>
    <phoneticPr fontId="13"/>
  </si>
  <si>
    <t>具志頭</t>
    <rPh sb="0" eb="3">
      <t>グシチャン</t>
    </rPh>
    <phoneticPr fontId="13"/>
  </si>
  <si>
    <t>大浦ﾁﾘﾋﾞｼ</t>
    <rPh sb="0" eb="2">
      <t>オオウラ</t>
    </rPh>
    <phoneticPr fontId="13"/>
  </si>
  <si>
    <t>沖縄島東岸</t>
    <rPh sb="0" eb="3">
      <t>オキナワジマ</t>
    </rPh>
    <rPh sb="3" eb="5">
      <t>ヒガシガン</t>
    </rPh>
    <phoneticPr fontId="6"/>
  </si>
  <si>
    <t>東村～奥</t>
    <rPh sb="0" eb="2">
      <t>ヒガシソン</t>
    </rPh>
    <rPh sb="3" eb="4">
      <t>オク</t>
    </rPh>
    <phoneticPr fontId="8"/>
  </si>
  <si>
    <t>沖縄県</t>
    <rPh sb="0" eb="3">
      <t>オキナワケン</t>
    </rPh>
    <phoneticPr fontId="6"/>
  </si>
  <si>
    <t>大度海岸西礁池</t>
    <rPh sb="0" eb="2">
      <t>オオド</t>
    </rPh>
    <rPh sb="2" eb="4">
      <t>カイガン</t>
    </rPh>
    <rPh sb="4" eb="5">
      <t>ニシ</t>
    </rPh>
    <rPh sb="5" eb="7">
      <t>ショウチ</t>
    </rPh>
    <phoneticPr fontId="6"/>
  </si>
  <si>
    <t>礁池</t>
    <rPh sb="0" eb="1">
      <t>ショウ</t>
    </rPh>
    <rPh sb="1" eb="2">
      <t>チ</t>
    </rPh>
    <phoneticPr fontId="6"/>
  </si>
  <si>
    <t>宇佐浜東礁斜面</t>
  </si>
  <si>
    <t>浮原北東ヨコビシ東</t>
    <rPh sb="0" eb="1">
      <t>ウキ</t>
    </rPh>
    <rPh sb="1" eb="2">
      <t>ハラ</t>
    </rPh>
    <rPh sb="2" eb="4">
      <t>ホクトウ</t>
    </rPh>
    <rPh sb="8" eb="9">
      <t>ヒガシ</t>
    </rPh>
    <phoneticPr fontId="3"/>
  </si>
  <si>
    <t>沖縄島西岸</t>
    <rPh sb="0" eb="2">
      <t>オキナワ</t>
    </rPh>
    <rPh sb="2" eb="3">
      <t>ジマ</t>
    </rPh>
    <rPh sb="3" eb="5">
      <t>セイガン</t>
    </rPh>
    <phoneticPr fontId="3"/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</si>
  <si>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4"/>
  </si>
  <si>
    <t>喜屋武漁港西</t>
    <rPh sb="0" eb="3">
      <t>キャン</t>
    </rPh>
    <rPh sb="3" eb="5">
      <t>ギョコウ</t>
    </rPh>
    <rPh sb="5" eb="6">
      <t>ニシ</t>
    </rPh>
    <phoneticPr fontId="3"/>
  </si>
  <si>
    <t>那覇空港北儀間の瀬礁池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3"/>
  </si>
  <si>
    <t>礫・岩</t>
    <rPh sb="0" eb="1">
      <t>レキ</t>
    </rPh>
    <phoneticPr fontId="13"/>
  </si>
  <si>
    <t>那覇空港北儀間の瀬北礁斜面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3"/>
  </si>
  <si>
    <t>チービシクエフ南*</t>
    <rPh sb="7" eb="8">
      <t>ミナミ</t>
    </rPh>
    <phoneticPr fontId="3"/>
  </si>
  <si>
    <t>チービシ神山南</t>
    <rPh sb="4" eb="6">
      <t>カミヤマ</t>
    </rPh>
    <rPh sb="6" eb="7">
      <t>ミナミ</t>
    </rPh>
    <phoneticPr fontId="3"/>
  </si>
  <si>
    <t>チービシナガンヌ南</t>
    <rPh sb="8" eb="9">
      <t>ミナミ</t>
    </rPh>
    <phoneticPr fontId="3"/>
  </si>
  <si>
    <t>チービシナガンヌ西</t>
    <rPh sb="8" eb="9">
      <t>ニシ</t>
    </rPh>
    <phoneticPr fontId="3"/>
  </si>
  <si>
    <t>チービシナガンヌ北</t>
    <rPh sb="8" eb="9">
      <t>キタ</t>
    </rPh>
    <phoneticPr fontId="3"/>
  </si>
  <si>
    <t>空寿崎西座礁船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3"/>
  </si>
  <si>
    <t>伊佐西</t>
    <rPh sb="0" eb="2">
      <t>イサ</t>
    </rPh>
    <rPh sb="2" eb="3">
      <t>ニシ</t>
    </rPh>
    <phoneticPr fontId="3"/>
  </si>
  <si>
    <t>北谷町宮城海岸</t>
    <rPh sb="0" eb="1">
      <t>キタ</t>
    </rPh>
    <rPh sb="1" eb="3">
      <t>タニマチ</t>
    </rPh>
    <rPh sb="3" eb="5">
      <t>ミヤギ</t>
    </rPh>
    <rPh sb="5" eb="7">
      <t>カイガン</t>
    </rPh>
    <phoneticPr fontId="3"/>
  </si>
  <si>
    <t>残波岬西礁池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3"/>
  </si>
  <si>
    <t>0～3</t>
  </si>
  <si>
    <t>残波岬西礁斜面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3"/>
  </si>
  <si>
    <t>真栄田岬西礁池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phoneticPr fontId="3"/>
  </si>
  <si>
    <t>真栄田岬西礁斜面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3"/>
  </si>
  <si>
    <t>恩納村赤崎西礁池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3"/>
  </si>
  <si>
    <t>0～1</t>
  </si>
  <si>
    <t>恩納村赤崎西礁斜面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3"/>
  </si>
  <si>
    <t>安富祖北礁池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3"/>
  </si>
  <si>
    <t>部瀬名岬西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3"/>
  </si>
  <si>
    <t>瀬底島南</t>
    <rPh sb="0" eb="1">
      <t>セ</t>
    </rPh>
    <rPh sb="1" eb="2">
      <t>ソコ</t>
    </rPh>
    <rPh sb="2" eb="3">
      <t>ジマ</t>
    </rPh>
    <rPh sb="3" eb="4">
      <t>ミナミ</t>
    </rPh>
    <phoneticPr fontId="3"/>
  </si>
  <si>
    <t>港原海洋センター西</t>
    <rPh sb="0" eb="1">
      <t>ミナト</t>
    </rPh>
    <rPh sb="1" eb="2">
      <t>ハラ</t>
    </rPh>
    <rPh sb="2" eb="4">
      <t>カイヨウ</t>
    </rPh>
    <rPh sb="8" eb="9">
      <t>ニシ</t>
    </rPh>
    <phoneticPr fontId="3"/>
  </si>
  <si>
    <t>離礁/礁斜面</t>
    <rPh sb="0" eb="1">
      <t>リ</t>
    </rPh>
    <rPh sb="1" eb="2">
      <t>ショウ</t>
    </rPh>
    <phoneticPr fontId="13"/>
  </si>
  <si>
    <t>水族館西</t>
    <rPh sb="0" eb="3">
      <t>スイゾクカン</t>
    </rPh>
    <rPh sb="3" eb="4">
      <t>ニシ</t>
    </rPh>
    <phoneticPr fontId="3"/>
  </si>
  <si>
    <t>備瀬崎東礁池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3"/>
  </si>
  <si>
    <t>備瀬崎東礁斜面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3"/>
  </si>
  <si>
    <t>今帰仁村長浜北礁池*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3"/>
  </si>
  <si>
    <t>礫・岩</t>
  </si>
  <si>
    <t>今帰仁村長浜北礁斜面*</t>
    <rPh sb="4" eb="6">
      <t>ナガハマ</t>
    </rPh>
    <rPh sb="6" eb="7">
      <t>キタ</t>
    </rPh>
    <rPh sb="7" eb="10">
      <t>ショウシャメン</t>
    </rPh>
    <phoneticPr fontId="3"/>
  </si>
  <si>
    <t>古宇利島北礁池**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3"/>
  </si>
  <si>
    <t>古宇利島北礁斜面**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3"/>
  </si>
  <si>
    <t>喜屋武漁港西トコマサリ礁*</t>
    <rPh sb="11" eb="12">
      <t>ショウ</t>
    </rPh>
    <phoneticPr fontId="13"/>
  </si>
  <si>
    <t>大嶺崎大瀬</t>
    <rPh sb="0" eb="2">
      <t>オオミネ</t>
    </rPh>
    <rPh sb="2" eb="3">
      <t>サキ</t>
    </rPh>
    <rPh sb="3" eb="5">
      <t>オオゼ</t>
    </rPh>
    <phoneticPr fontId="13"/>
  </si>
  <si>
    <t>岩</t>
    <rPh sb="0" eb="1">
      <t>イワ</t>
    </rPh>
    <phoneticPr fontId="13"/>
  </si>
  <si>
    <t>水釜*</t>
    <rPh sb="0" eb="1">
      <t>ミズ</t>
    </rPh>
    <rPh sb="1" eb="2">
      <t>ガマ</t>
    </rPh>
    <phoneticPr fontId="13"/>
  </si>
  <si>
    <t>水釜礁斜面*</t>
    <rPh sb="0" eb="1">
      <t>ミズ</t>
    </rPh>
    <rPh sb="1" eb="2">
      <t>ガマ</t>
    </rPh>
    <rPh sb="2" eb="3">
      <t>ショウ</t>
    </rPh>
    <rPh sb="3" eb="5">
      <t>シャメン</t>
    </rPh>
    <phoneticPr fontId="13"/>
  </si>
  <si>
    <t>西洲礁池</t>
    <rPh sb="0" eb="1">
      <t>ニシ</t>
    </rPh>
    <rPh sb="1" eb="2">
      <t>ス</t>
    </rPh>
    <rPh sb="2" eb="3">
      <t>ショウ</t>
    </rPh>
    <rPh sb="3" eb="4">
      <t>チ</t>
    </rPh>
    <phoneticPr fontId="13"/>
  </si>
  <si>
    <t>西洲礁斜面</t>
    <rPh sb="0" eb="1">
      <t>ニシ</t>
    </rPh>
    <rPh sb="1" eb="2">
      <t>ス</t>
    </rPh>
    <rPh sb="2" eb="3">
      <t>ショウ</t>
    </rPh>
    <rPh sb="3" eb="5">
      <t>シャメン</t>
    </rPh>
    <phoneticPr fontId="13"/>
  </si>
  <si>
    <t>泊大橋南</t>
    <rPh sb="0" eb="1">
      <t>トマリ</t>
    </rPh>
    <rPh sb="1" eb="3">
      <t>オオハシ</t>
    </rPh>
    <rPh sb="3" eb="4">
      <t>ミナミ</t>
    </rPh>
    <phoneticPr fontId="15"/>
  </si>
  <si>
    <t>200ｘ100</t>
  </si>
  <si>
    <t>瀬底大橋北</t>
    <rPh sb="2" eb="4">
      <t>オオハシ</t>
    </rPh>
    <rPh sb="4" eb="5">
      <t>キタ</t>
    </rPh>
    <phoneticPr fontId="15"/>
  </si>
  <si>
    <t>干ノ瀬</t>
    <rPh sb="0" eb="1">
      <t>ホ</t>
    </rPh>
    <rPh sb="2" eb="3">
      <t>セ</t>
    </rPh>
    <phoneticPr fontId="13"/>
  </si>
  <si>
    <t>浅ノ瀬防波堤</t>
    <rPh sb="0" eb="1">
      <t>アサ</t>
    </rPh>
    <rPh sb="2" eb="3">
      <t>セ</t>
    </rPh>
    <rPh sb="3" eb="6">
      <t>ボウハテイ</t>
    </rPh>
    <phoneticPr fontId="13"/>
  </si>
  <si>
    <t>喜屋武岬西礁地</t>
    <rPh sb="0" eb="3">
      <t>キャン</t>
    </rPh>
    <rPh sb="3" eb="4">
      <t>ミサキ</t>
    </rPh>
    <rPh sb="4" eb="5">
      <t>ニシ</t>
    </rPh>
    <rPh sb="5" eb="7">
      <t>ショウチ</t>
    </rPh>
    <phoneticPr fontId="13"/>
  </si>
  <si>
    <t>礁地</t>
    <rPh sb="0" eb="2">
      <t>ショウチ</t>
    </rPh>
    <phoneticPr fontId="3"/>
  </si>
  <si>
    <t>岩・礫</t>
    <rPh sb="2" eb="3">
      <t>レキ</t>
    </rPh>
    <phoneticPr fontId="13"/>
  </si>
  <si>
    <t>喜屋武岬西礁斜面</t>
    <rPh sb="0" eb="3">
      <t>キャン</t>
    </rPh>
    <rPh sb="3" eb="4">
      <t>ミサキ</t>
    </rPh>
    <rPh sb="4" eb="5">
      <t>ニシ</t>
    </rPh>
    <rPh sb="5" eb="8">
      <t>ショウシャメン</t>
    </rPh>
    <phoneticPr fontId="13"/>
  </si>
  <si>
    <t>礁斜面</t>
    <rPh sb="0" eb="3">
      <t>ショウシャメン</t>
    </rPh>
    <phoneticPr fontId="3"/>
  </si>
  <si>
    <t>砂辺*</t>
    <rPh sb="0" eb="1">
      <t>スナ</t>
    </rPh>
    <rPh sb="1" eb="2">
      <t>ベ</t>
    </rPh>
    <phoneticPr fontId="3"/>
  </si>
  <si>
    <t>チービシ神山北</t>
    <rPh sb="4" eb="5">
      <t>カミ</t>
    </rPh>
    <rPh sb="5" eb="7">
      <t>ヤマキタ</t>
    </rPh>
    <phoneticPr fontId="3"/>
  </si>
  <si>
    <t>久良波*</t>
    <rPh sb="0" eb="2">
      <t>ヒサヨシ</t>
    </rPh>
    <rPh sb="2" eb="3">
      <t>ナミ</t>
    </rPh>
    <phoneticPr fontId="3"/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</si>
  <si>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3"/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</si>
  <si>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4"/>
  </si>
  <si>
    <t>水納島東</t>
    <rPh sb="0" eb="1">
      <t>ミズ</t>
    </rPh>
    <rPh sb="1" eb="2">
      <t>ナ</t>
    </rPh>
    <rPh sb="2" eb="3">
      <t>シマ</t>
    </rPh>
    <rPh sb="3" eb="4">
      <t>ヒガシ</t>
    </rPh>
    <phoneticPr fontId="3"/>
  </si>
  <si>
    <t>沖縄島周辺離島</t>
    <rPh sb="0" eb="2">
      <t>オキナワ</t>
    </rPh>
    <rPh sb="2" eb="3">
      <t>ジマ</t>
    </rPh>
    <rPh sb="3" eb="5">
      <t>シュウヘン</t>
    </rPh>
    <rPh sb="5" eb="7">
      <t>リトウ</t>
    </rPh>
    <phoneticPr fontId="3"/>
  </si>
  <si>
    <t>ナカンシ東</t>
    <rPh sb="4" eb="5">
      <t>ヒガシ</t>
    </rPh>
    <phoneticPr fontId="3"/>
  </si>
  <si>
    <t>伊江島西</t>
    <rPh sb="0" eb="3">
      <t>イエジマ</t>
    </rPh>
    <rPh sb="3" eb="4">
      <t>ニシ</t>
    </rPh>
    <phoneticPr fontId="3"/>
  </si>
  <si>
    <t>伊江島イシャラ原東</t>
    <rPh sb="0" eb="3">
      <t>イエジマ</t>
    </rPh>
    <rPh sb="7" eb="8">
      <t>ハラ</t>
    </rPh>
    <rPh sb="8" eb="9">
      <t>ヒガシ</t>
    </rPh>
    <phoneticPr fontId="3"/>
  </si>
  <si>
    <t>伊江島湧出北</t>
    <rPh sb="0" eb="3">
      <t>イエジマ</t>
    </rPh>
    <rPh sb="3" eb="5">
      <t>ユウシュツ</t>
    </rPh>
    <rPh sb="5" eb="6">
      <t>キタ</t>
    </rPh>
    <phoneticPr fontId="3"/>
  </si>
  <si>
    <t>水納島北</t>
    <rPh sb="0" eb="1">
      <t>ミズ</t>
    </rPh>
    <rPh sb="1" eb="2">
      <t>ナ</t>
    </rPh>
    <rPh sb="2" eb="3">
      <t>シマ</t>
    </rPh>
    <rPh sb="3" eb="4">
      <t>キタ</t>
    </rPh>
    <phoneticPr fontId="13"/>
  </si>
  <si>
    <t>伊是名島内花橋北</t>
    <rPh sb="0" eb="4">
      <t>イゼナシマ</t>
    </rPh>
    <rPh sb="4" eb="7">
      <t>ウチバナハシ</t>
    </rPh>
    <rPh sb="7" eb="8">
      <t>キタ</t>
    </rPh>
    <phoneticPr fontId="13"/>
  </si>
  <si>
    <t>1-9</t>
  </si>
  <si>
    <t>伊是名島アギギタラ</t>
    <rPh sb="0" eb="4">
      <t>イゼナシマ</t>
    </rPh>
    <phoneticPr fontId="13"/>
  </si>
  <si>
    <t>1-11</t>
  </si>
  <si>
    <t>慶良間諸島</t>
    <rPh sb="0" eb="3">
      <t>ケラマ</t>
    </rPh>
    <rPh sb="3" eb="5">
      <t>ショトウ</t>
    </rPh>
    <phoneticPr fontId="3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</si>
  <si>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3">
      <t>アカジマ</t>
    </rPh>
    <rPh sb="14" eb="17">
      <t>ザマミ</t>
    </rPh>
    <rPh sb="18" eb="21">
      <t>トカシキ</t>
    </rPh>
    <rPh sb="21" eb="23">
      <t>シュウヘン</t>
    </rPh>
    <phoneticPr fontId="4"/>
  </si>
  <si>
    <t>安室南</t>
    <rPh sb="0" eb="1">
      <t>アン</t>
    </rPh>
    <rPh sb="1" eb="2">
      <t>ムロ</t>
    </rPh>
    <rPh sb="2" eb="3">
      <t>ミナミ</t>
    </rPh>
    <phoneticPr fontId="3"/>
  </si>
  <si>
    <t>1.0～6.0</t>
  </si>
  <si>
    <t>座間味阿護の浦</t>
    <rPh sb="0" eb="3">
      <t>ザマミ</t>
    </rPh>
    <rPh sb="3" eb="4">
      <t>ア</t>
    </rPh>
    <rPh sb="4" eb="5">
      <t>ゴ</t>
    </rPh>
    <rPh sb="6" eb="7">
      <t>ウラ</t>
    </rPh>
    <phoneticPr fontId="3"/>
  </si>
  <si>
    <t>内湾
(離礁）</t>
  </si>
  <si>
    <t>砂：礫・岩(サンゴ）
＝7：3</t>
    <rPh sb="0" eb="1">
      <t>スナ</t>
    </rPh>
    <rPh sb="2" eb="3">
      <t>レキ</t>
    </rPh>
    <rPh sb="4" eb="5">
      <t>イワ</t>
    </rPh>
    <phoneticPr fontId="7"/>
  </si>
  <si>
    <t>100×100</t>
  </si>
  <si>
    <t>1.0～2.0</t>
  </si>
  <si>
    <t>座間味ニタ</t>
    <rPh sb="0" eb="3">
      <t>ザマミ</t>
    </rPh>
    <phoneticPr fontId="3"/>
  </si>
  <si>
    <t>サンゴ岩</t>
    <rPh sb="3" eb="4">
      <t>イワ</t>
    </rPh>
    <phoneticPr fontId="7"/>
  </si>
  <si>
    <t>1.0～7.0</t>
  </si>
  <si>
    <t>嘉比南</t>
    <rPh sb="0" eb="1">
      <t>カ</t>
    </rPh>
    <rPh sb="1" eb="2">
      <t>ヒ</t>
    </rPh>
    <rPh sb="2" eb="3">
      <t>ミナミ</t>
    </rPh>
    <phoneticPr fontId="3"/>
  </si>
  <si>
    <t>礁原</t>
    <rPh sb="0" eb="1">
      <t>ショウ</t>
    </rPh>
    <rPh sb="1" eb="2">
      <t>ゲン</t>
    </rPh>
    <phoneticPr fontId="5"/>
  </si>
  <si>
    <t>1.5～6.0</t>
  </si>
  <si>
    <t>阿嘉ニシハマ</t>
    <rPh sb="0" eb="2">
      <t>アカ</t>
    </rPh>
    <phoneticPr fontId="3"/>
  </si>
  <si>
    <t>礁原～
礁斜面</t>
  </si>
  <si>
    <t>サンゴ岩と礫：砂
＝8：2</t>
    <rPh sb="5" eb="6">
      <t>レキ</t>
    </rPh>
    <rPh sb="7" eb="8">
      <t>スナ</t>
    </rPh>
    <phoneticPr fontId="7"/>
  </si>
  <si>
    <t>1.0～5.0</t>
  </si>
  <si>
    <t>阿嘉クシバル</t>
    <rPh sb="0" eb="2">
      <t>アカ</t>
    </rPh>
    <phoneticPr fontId="3"/>
  </si>
  <si>
    <t>阿嘉アグ</t>
    <rPh sb="0" eb="2">
      <t>アカ</t>
    </rPh>
    <phoneticPr fontId="3"/>
  </si>
  <si>
    <t>阿嘉マエノハマ</t>
    <rPh sb="0" eb="2">
      <t>アカ</t>
    </rPh>
    <phoneticPr fontId="3"/>
  </si>
  <si>
    <t>岩：礫
＝7：3</t>
    <rPh sb="2" eb="3">
      <t>レキ</t>
    </rPh>
    <phoneticPr fontId="7"/>
  </si>
  <si>
    <t>1.0～4.0</t>
  </si>
  <si>
    <t>屋嘉比東</t>
    <rPh sb="0" eb="1">
      <t>ヤ</t>
    </rPh>
    <rPh sb="1" eb="2">
      <t>カ</t>
    </rPh>
    <rPh sb="2" eb="3">
      <t>ヒ</t>
    </rPh>
    <rPh sb="3" eb="4">
      <t>ヒガシ</t>
    </rPh>
    <phoneticPr fontId="3"/>
  </si>
  <si>
    <t>1.5～5.0</t>
  </si>
  <si>
    <t>久場北西</t>
    <rPh sb="0" eb="2">
      <t>クバ</t>
    </rPh>
    <rPh sb="2" eb="4">
      <t>ホクセイ</t>
    </rPh>
    <phoneticPr fontId="3"/>
  </si>
  <si>
    <t>渡嘉敷アリガー</t>
    <rPh sb="0" eb="3">
      <t>トカシキ</t>
    </rPh>
    <phoneticPr fontId="16"/>
  </si>
  <si>
    <t>2.0～8.0</t>
  </si>
  <si>
    <t>渡嘉敷アハレン</t>
    <rPh sb="0" eb="3">
      <t>トカシキ</t>
    </rPh>
    <phoneticPr fontId="16"/>
  </si>
  <si>
    <t>大東諸島</t>
    <rPh sb="0" eb="2">
      <t>ダイトウ</t>
    </rPh>
    <rPh sb="2" eb="4">
      <t>ショトウ</t>
    </rPh>
    <phoneticPr fontId="3"/>
  </si>
  <si>
    <t>本場階段前</t>
  </si>
  <si>
    <t>ﾔｷﾞ道(岸壁)前</t>
  </si>
  <si>
    <t>塩屋プール前</t>
  </si>
  <si>
    <t>塩屋のﾊﾅ</t>
  </si>
  <si>
    <t>ｱｶﾊﾞﾏ（銅浜）</t>
  </si>
  <si>
    <t>亀池港前</t>
  </si>
  <si>
    <t>海軍棒前</t>
  </si>
  <si>
    <t>海軍棒プール</t>
  </si>
  <si>
    <t>ｱｶﾂｷﾎﾟｲﾝﾄ</t>
  </si>
  <si>
    <t>ｱｶﾂｷﾎﾟｲﾝﾄ（20m）</t>
  </si>
  <si>
    <t>北のﾊﾅ・東</t>
  </si>
  <si>
    <t>北のﾊﾅ・南</t>
  </si>
  <si>
    <t>北大東南端</t>
  </si>
  <si>
    <t>ﾆｲｹｲｶﾞﾏ（二階釜）</t>
  </si>
  <si>
    <t>真黒崎</t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</si>
  <si>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3"/>
  </si>
  <si>
    <t>塩屋プール</t>
    <rPh sb="0" eb="2">
      <t>シオヤ</t>
    </rPh>
    <phoneticPr fontId="3"/>
  </si>
  <si>
    <t>ながやの下南側・浅瀬</t>
    <rPh sb="4" eb="5">
      <t>シタ</t>
    </rPh>
    <rPh sb="5" eb="7">
      <t>ミナミガワ</t>
    </rPh>
    <rPh sb="8" eb="10">
      <t>アサセ</t>
    </rPh>
    <phoneticPr fontId="3"/>
  </si>
  <si>
    <t>宮古島周辺</t>
    <rPh sb="0" eb="3">
      <t>ミヤコジマ</t>
    </rPh>
    <rPh sb="3" eb="5">
      <t>シュウヘン</t>
    </rPh>
    <phoneticPr fontId="3"/>
  </si>
  <si>
    <t>礁縁</t>
  </si>
  <si>
    <t>0+～1.5</t>
  </si>
  <si>
    <t>離礁・礁縁</t>
    <rPh sb="0" eb="1">
      <t>リ</t>
    </rPh>
    <phoneticPr fontId="7"/>
  </si>
  <si>
    <t>平良高野漁港沖二段干瀬</t>
    <rPh sb="7" eb="9">
      <t>２ダン</t>
    </rPh>
    <rPh sb="9" eb="10">
      <t>カン</t>
    </rPh>
    <rPh sb="10" eb="11">
      <t>セ</t>
    </rPh>
    <phoneticPr fontId="9"/>
  </si>
  <si>
    <t>礁縁</t>
    <rPh sb="0" eb="2">
      <t>ショウエン</t>
    </rPh>
    <phoneticPr fontId="3"/>
  </si>
  <si>
    <t>宮古島離礁</t>
    <rPh sb="0" eb="3">
      <t>ミヤコジマ</t>
    </rPh>
    <rPh sb="3" eb="4">
      <t>ハナ</t>
    </rPh>
    <rPh sb="4" eb="5">
      <t>ショウ</t>
    </rPh>
    <phoneticPr fontId="3"/>
  </si>
  <si>
    <t>八重干瀬</t>
    <rPh sb="0" eb="4">
      <t>ヤビジ</t>
    </rPh>
    <phoneticPr fontId="3"/>
  </si>
  <si>
    <t>八重干瀬ウル西</t>
    <rPh sb="0" eb="2">
      <t>ヤエ</t>
    </rPh>
    <rPh sb="2" eb="3">
      <t>カン</t>
    </rPh>
    <rPh sb="3" eb="4">
      <t>セ</t>
    </rPh>
    <rPh sb="6" eb="7">
      <t>ニシ</t>
    </rPh>
    <phoneticPr fontId="17"/>
  </si>
  <si>
    <t>離礁・礁縁</t>
  </si>
  <si>
    <t>八重干瀬カナマラ中央南</t>
    <rPh sb="0" eb="2">
      <t>ヤエ</t>
    </rPh>
    <rPh sb="2" eb="3">
      <t>カン</t>
    </rPh>
    <rPh sb="3" eb="4">
      <t>セ</t>
    </rPh>
    <rPh sb="8" eb="10">
      <t>チュウオウ</t>
    </rPh>
    <rPh sb="10" eb="11">
      <t>ミナミ</t>
    </rPh>
    <phoneticPr fontId="17"/>
  </si>
  <si>
    <t>八重干瀬イフ南</t>
    <rPh sb="0" eb="2">
      <t>ヤエ</t>
    </rPh>
    <rPh sb="2" eb="3">
      <t>カン</t>
    </rPh>
    <rPh sb="3" eb="4">
      <t>セ</t>
    </rPh>
    <rPh sb="6" eb="7">
      <t>ミナミ</t>
    </rPh>
    <phoneticPr fontId="17"/>
  </si>
  <si>
    <t>石垣島東岸</t>
    <rPh sb="0" eb="3">
      <t>イシガキジマ</t>
    </rPh>
    <rPh sb="3" eb="5">
      <t>トウガン</t>
    </rPh>
    <phoneticPr fontId="3"/>
  </si>
  <si>
    <t>平久保崎～宮良湾</t>
    <rPh sb="0" eb="3">
      <t>ヒラクボ</t>
    </rPh>
    <rPh sb="3" eb="4">
      <t>サキ</t>
    </rPh>
    <rPh sb="5" eb="8">
      <t>ミヤラワン</t>
    </rPh>
    <phoneticPr fontId="3"/>
  </si>
  <si>
    <t>大浜小前</t>
  </si>
  <si>
    <t>岩・枝礫</t>
  </si>
  <si>
    <t>1.5～2.5</t>
  </si>
  <si>
    <t>宮良川河口</t>
  </si>
  <si>
    <t>礁原・礁斜面</t>
  </si>
  <si>
    <t>1.5～8</t>
  </si>
  <si>
    <t>宮良集落前</t>
  </si>
  <si>
    <t>砂・岩</t>
  </si>
  <si>
    <t>1～1.5</t>
  </si>
  <si>
    <t>白保集落前</t>
  </si>
  <si>
    <t>礁池・礁原</t>
  </si>
  <si>
    <t>白保ｱｵｻﾝｺﾞ</t>
  </si>
  <si>
    <t>白保第１ﾎﾟｰﾙ</t>
  </si>
  <si>
    <t>1～2.5</t>
  </si>
  <si>
    <t>白保～轟川</t>
  </si>
  <si>
    <t>轟川河口</t>
  </si>
  <si>
    <t>モリヤマグチ</t>
  </si>
  <si>
    <t>礁原・水路斜面</t>
  </si>
  <si>
    <t>スムジグチ</t>
  </si>
  <si>
    <t>1～4</t>
  </si>
  <si>
    <t>採石場前</t>
  </si>
  <si>
    <t>通路川南</t>
  </si>
  <si>
    <t>0.5～4</t>
  </si>
  <si>
    <t>通路川水路北</t>
  </si>
  <si>
    <t>0.5～5</t>
  </si>
  <si>
    <t>野原崎</t>
  </si>
  <si>
    <t>枝礫・砂</t>
  </si>
  <si>
    <t>2～4</t>
  </si>
  <si>
    <t>伊野田漁港前</t>
  </si>
  <si>
    <t>枝礫・岩</t>
  </si>
  <si>
    <t>大野牧場前</t>
  </si>
  <si>
    <t>玉取崎南</t>
  </si>
  <si>
    <t>玉取崎東</t>
  </si>
  <si>
    <t>伊原間牧場前</t>
  </si>
  <si>
    <t>トムル崎南</t>
  </si>
  <si>
    <t>トムル崎</t>
  </si>
  <si>
    <t>ﾊﾟﾗﾜｰﾙﾄﾞ前</t>
  </si>
  <si>
    <t>枝礫</t>
  </si>
  <si>
    <t>明石～安良崎</t>
  </si>
  <si>
    <t>安良崎南</t>
  </si>
  <si>
    <t>安良崎</t>
  </si>
  <si>
    <t>安良グチ北</t>
  </si>
  <si>
    <t>岩崎南</t>
  </si>
  <si>
    <t>岩崎</t>
  </si>
  <si>
    <t>岩崎～浦崎</t>
  </si>
  <si>
    <t>0.5～2.5</t>
  </si>
  <si>
    <t>浦崎沖</t>
  </si>
  <si>
    <t>浦崎前</t>
  </si>
  <si>
    <t>平野集落前</t>
  </si>
  <si>
    <t>1.5～3</t>
  </si>
  <si>
    <t>平久保灯台北</t>
  </si>
  <si>
    <t>石垣島西岸</t>
    <rPh sb="0" eb="3">
      <t>イシガキジマ</t>
    </rPh>
    <rPh sb="3" eb="5">
      <t>セイガン</t>
    </rPh>
    <phoneticPr fontId="3"/>
  </si>
  <si>
    <t>川平～大崎</t>
    <rPh sb="0" eb="2">
      <t>カビラ</t>
    </rPh>
    <rPh sb="3" eb="5">
      <t>オオサキ</t>
    </rPh>
    <phoneticPr fontId="3"/>
  </si>
  <si>
    <t>平久保灯台西</t>
  </si>
  <si>
    <t>枝礫・岩</t>
    <rPh sb="0" eb="1">
      <t>エダ</t>
    </rPh>
    <rPh sb="1" eb="2">
      <t>レキ</t>
    </rPh>
    <rPh sb="3" eb="4">
      <t>ガン</t>
    </rPh>
    <phoneticPr fontId="18"/>
  </si>
  <si>
    <t>平久保川北</t>
  </si>
  <si>
    <t>1.5～5</t>
  </si>
  <si>
    <t>平久保集落南</t>
  </si>
  <si>
    <t>嘉良川前</t>
  </si>
  <si>
    <t>ダテフ崎北</t>
  </si>
  <si>
    <t>1.5～6</t>
  </si>
  <si>
    <t>ダテフ崎南</t>
  </si>
  <si>
    <t>野底石崎</t>
  </si>
  <si>
    <t>栄集落前</t>
  </si>
  <si>
    <t>野底集落前</t>
  </si>
  <si>
    <t>野底崎</t>
  </si>
  <si>
    <t>伊土名北</t>
  </si>
  <si>
    <t>伊土名南</t>
  </si>
  <si>
    <t>浦底湾口北</t>
  </si>
  <si>
    <t>浦底湾口西</t>
  </si>
  <si>
    <t>富野集落前</t>
  </si>
  <si>
    <t>米原ｷｬﾝﾌﾟ場</t>
  </si>
  <si>
    <t>ヤマバレー前</t>
  </si>
  <si>
    <t>ヤマバレー西</t>
  </si>
  <si>
    <t>川平小島東</t>
  </si>
  <si>
    <t>川平小島北</t>
  </si>
  <si>
    <t>川平水路東</t>
  </si>
  <si>
    <t>川平水路</t>
  </si>
  <si>
    <t>川平水路北西</t>
  </si>
  <si>
    <t>川平～石崎</t>
  </si>
  <si>
    <t>ｸﾗﾌﾞﾒｯﾄﾞ前</t>
  </si>
  <si>
    <t>川平石崎北</t>
  </si>
  <si>
    <t>川平石崎南</t>
  </si>
  <si>
    <t>底地ビーチ沖</t>
  </si>
  <si>
    <t>崎枝湾内</t>
  </si>
  <si>
    <t>2～3</t>
  </si>
  <si>
    <t>崎枝湾口</t>
  </si>
  <si>
    <t>崎枝～御神</t>
  </si>
  <si>
    <t>御神崎</t>
  </si>
  <si>
    <t>御神～屋良部</t>
  </si>
  <si>
    <t>屋良部崎北</t>
  </si>
  <si>
    <t>屋良部崎南</t>
  </si>
  <si>
    <t>屋良部～大崎</t>
  </si>
  <si>
    <t>名蔵保護水面</t>
  </si>
  <si>
    <t>5～5</t>
  </si>
  <si>
    <t>富崎小島前</t>
  </si>
  <si>
    <t>観音崎</t>
  </si>
  <si>
    <t>真栄里海岸前</t>
  </si>
  <si>
    <t>岩・砂礫</t>
  </si>
  <si>
    <t>赤崎</t>
  </si>
  <si>
    <t>名蔵川河口</t>
  </si>
  <si>
    <t>砂泥・岩</t>
  </si>
  <si>
    <t>明石西</t>
    <rPh sb="0" eb="2">
      <t>アカシ</t>
    </rPh>
    <rPh sb="2" eb="3">
      <t>ニシ</t>
    </rPh>
    <phoneticPr fontId="13"/>
  </si>
  <si>
    <t>礁池</t>
    <rPh sb="0" eb="2">
      <t>ショウチ</t>
    </rPh>
    <phoneticPr fontId="13"/>
  </si>
  <si>
    <t>枝礫</t>
    <rPh sb="0" eb="1">
      <t>エダ</t>
    </rPh>
    <rPh sb="1" eb="2">
      <t>レキ</t>
    </rPh>
    <phoneticPr fontId="13"/>
  </si>
  <si>
    <t>伊原間湾口</t>
    <rPh sb="0" eb="3">
      <t>イバルマ</t>
    </rPh>
    <rPh sb="3" eb="4">
      <t>ワン</t>
    </rPh>
    <rPh sb="4" eb="5">
      <t>コウ</t>
    </rPh>
    <phoneticPr fontId="13"/>
  </si>
  <si>
    <t>小浜島東沖</t>
    <rPh sb="0" eb="2">
      <t>コハマ</t>
    </rPh>
    <rPh sb="2" eb="3">
      <t>ジマ</t>
    </rPh>
    <rPh sb="3" eb="4">
      <t>ヒガシ</t>
    </rPh>
    <rPh sb="4" eb="5">
      <t>オキ</t>
    </rPh>
    <phoneticPr fontId="1"/>
  </si>
  <si>
    <t>嘉弥真島南岸礁縁</t>
    <rPh sb="0" eb="4">
      <t>カヤマジマ</t>
    </rPh>
    <rPh sb="4" eb="6">
      <t>ナンガン</t>
    </rPh>
    <rPh sb="6" eb="8">
      <t>ショウエン</t>
    </rPh>
    <phoneticPr fontId="1"/>
  </si>
  <si>
    <t>嘉弥真島南西岸礁池内</t>
    <rPh sb="0" eb="4">
      <t>カヤマジマ</t>
    </rPh>
    <rPh sb="4" eb="6">
      <t>ナンセイ</t>
    </rPh>
    <rPh sb="6" eb="10">
      <t>ガンショウチナイ</t>
    </rPh>
    <phoneticPr fontId="1"/>
  </si>
  <si>
    <t>小浜島北東岸礁縁</t>
    <rPh sb="0" eb="2">
      <t>コハマ</t>
    </rPh>
    <rPh sb="2" eb="3">
      <t>ジマ</t>
    </rPh>
    <rPh sb="3" eb="4">
      <t>キタ</t>
    </rPh>
    <rPh sb="4" eb="6">
      <t>トウガン</t>
    </rPh>
    <rPh sb="6" eb="7">
      <t>ショウ</t>
    </rPh>
    <rPh sb="7" eb="8">
      <t>エン</t>
    </rPh>
    <phoneticPr fontId="1"/>
  </si>
  <si>
    <t>ヨナラ水道南礁縁</t>
    <rPh sb="3" eb="5">
      <t>スイドウ</t>
    </rPh>
    <rPh sb="5" eb="6">
      <t>ミナミ</t>
    </rPh>
    <rPh sb="6" eb="8">
      <t>ショウエン</t>
    </rPh>
    <phoneticPr fontId="1"/>
  </si>
  <si>
    <t>ヨナラ水道南①</t>
    <rPh sb="3" eb="5">
      <t>スイドウ</t>
    </rPh>
    <rPh sb="5" eb="6">
      <t>ミナミ</t>
    </rPh>
    <phoneticPr fontId="1"/>
  </si>
  <si>
    <t>小浜島東沖礁湖内①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</si>
  <si>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小浜島東沖礁湖内②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</si>
  <si>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嘉弥真島東沖礁湖内</t>
    <rPh sb="0" eb="4">
      <t>カヤマジマ</t>
    </rPh>
    <rPh sb="4" eb="6">
      <t>ヒガシオキ</t>
    </rPh>
    <rPh sb="6" eb="8">
      <t>ショウコ</t>
    </rPh>
    <rPh sb="8" eb="9">
      <t>ナイ</t>
    </rPh>
    <phoneticPr fontId="1"/>
  </si>
  <si>
    <t>竹富島西沖離礁礁縁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ショウエン</t>
    </rPh>
    <phoneticPr fontId="1"/>
  </si>
  <si>
    <t>竹富島西沖離礁外縁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ガイエン</t>
    </rPh>
    <phoneticPr fontId="1"/>
  </si>
  <si>
    <t>竹富島北岸礁外縁</t>
    <rPh sb="0" eb="2">
      <t>タケトミ</t>
    </rPh>
    <rPh sb="2" eb="3">
      <t>ジマ</t>
    </rPh>
    <rPh sb="3" eb="5">
      <t>ホクガン</t>
    </rPh>
    <rPh sb="5" eb="6">
      <t>ショウ</t>
    </rPh>
    <rPh sb="6" eb="8">
      <t>ガイエン</t>
    </rPh>
    <phoneticPr fontId="1"/>
  </si>
  <si>
    <t>竹富島北東岸礁外縁</t>
    <rPh sb="0" eb="2">
      <t>タケトミ</t>
    </rPh>
    <rPh sb="2" eb="3">
      <t>ジマ</t>
    </rPh>
    <rPh sb="3" eb="5">
      <t>ホクトウ</t>
    </rPh>
    <rPh sb="5" eb="6">
      <t>ガン</t>
    </rPh>
    <rPh sb="6" eb="9">
      <t>ショウガイエン</t>
    </rPh>
    <phoneticPr fontId="1"/>
  </si>
  <si>
    <t>竹富島北東沖礁縁</t>
    <rPh sb="0" eb="2">
      <t>タケトミ</t>
    </rPh>
    <rPh sb="2" eb="3">
      <t>ジマ</t>
    </rPh>
    <rPh sb="3" eb="5">
      <t>ホクトウ</t>
    </rPh>
    <rPh sb="5" eb="6">
      <t>オキ</t>
    </rPh>
    <rPh sb="6" eb="8">
      <t>ショウエン</t>
    </rPh>
    <phoneticPr fontId="1"/>
  </si>
  <si>
    <t>1.5～4</t>
  </si>
  <si>
    <t>ヨナラ水道南②</t>
    <rPh sb="3" eb="5">
      <t>スイドウ</t>
    </rPh>
    <rPh sb="5" eb="6">
      <t>ミナミ</t>
    </rPh>
    <phoneticPr fontId="1"/>
  </si>
  <si>
    <t>ヨナラ水道南部</t>
    <rPh sb="3" eb="5">
      <t>スイドウ</t>
    </rPh>
    <rPh sb="5" eb="7">
      <t>ナンブ</t>
    </rPh>
    <phoneticPr fontId="1"/>
  </si>
  <si>
    <t>ヨナラ水道中央部①</t>
    <rPh sb="3" eb="5">
      <t>スイドウ</t>
    </rPh>
    <rPh sb="5" eb="8">
      <t>チュウオウブ</t>
    </rPh>
    <phoneticPr fontId="1"/>
  </si>
  <si>
    <t>ヨナラ水道北部</t>
    <rPh sb="3" eb="5">
      <t>スイドウ</t>
    </rPh>
    <rPh sb="5" eb="7">
      <t>ホクブ</t>
    </rPh>
    <phoneticPr fontId="1"/>
  </si>
  <si>
    <t>小浜島東沖離礁①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</si>
  <si>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嘉弥真島東沖礁内縁</t>
    <rPh sb="0" eb="4">
      <t>カヤマジマ</t>
    </rPh>
    <rPh sb="4" eb="5">
      <t>ヒガシ</t>
    </rPh>
    <rPh sb="5" eb="6">
      <t>オキ</t>
    </rPh>
    <rPh sb="6" eb="7">
      <t>ショウ</t>
    </rPh>
    <rPh sb="7" eb="9">
      <t>ナイエン</t>
    </rPh>
    <phoneticPr fontId="1"/>
  </si>
  <si>
    <t>嘉弥真島東沖礁外縁</t>
    <rPh sb="0" eb="4">
      <t>カヤマジマ</t>
    </rPh>
    <rPh sb="4" eb="6">
      <t>ヒガシオキ</t>
    </rPh>
    <rPh sb="6" eb="9">
      <t>ショウガイエン</t>
    </rPh>
    <phoneticPr fontId="1"/>
  </si>
  <si>
    <t>嘉弥真島北岸礁外縁①</t>
    <rPh sb="0" eb="4">
      <t>カヤマジマ</t>
    </rPh>
    <rPh sb="4" eb="6">
      <t>ホクガン</t>
    </rPh>
    <rPh sb="6" eb="9">
      <t>ショウガイエン</t>
    </rPh>
    <phoneticPr fontId="1"/>
  </si>
  <si>
    <t>嘉弥真島北岸礁外縁②</t>
    <rPh sb="0" eb="4">
      <t>カヤマジマ</t>
    </rPh>
    <rPh sb="4" eb="6">
      <t>ホクガン</t>
    </rPh>
    <rPh sb="6" eb="9">
      <t>ショウガイエン</t>
    </rPh>
    <phoneticPr fontId="1"/>
  </si>
  <si>
    <t>小浜島北岸礁外縁</t>
    <rPh sb="0" eb="2">
      <t>コハマ</t>
    </rPh>
    <rPh sb="2" eb="3">
      <t>ジマ</t>
    </rPh>
    <rPh sb="3" eb="5">
      <t>ホクガン</t>
    </rPh>
    <rPh sb="5" eb="8">
      <t>ショウガイエン</t>
    </rPh>
    <phoneticPr fontId="1"/>
  </si>
  <si>
    <t>ヨナラ水道中央部②</t>
    <rPh sb="3" eb="5">
      <t>スイドウ</t>
    </rPh>
    <rPh sb="5" eb="8">
      <t>チュウオウブ</t>
    </rPh>
    <phoneticPr fontId="1"/>
  </si>
  <si>
    <t>小浜島東沖離礁②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</si>
  <si>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タキドングチ海中公園地区</t>
    <rPh sb="6" eb="8">
      <t>カイチュウ</t>
    </rPh>
    <rPh sb="8" eb="12">
      <t>コウエンチク</t>
    </rPh>
    <phoneticPr fontId="1"/>
  </si>
  <si>
    <t>鵜離島前離礁</t>
    <rPh sb="0" eb="1">
      <t>ウ</t>
    </rPh>
    <rPh sb="1" eb="2">
      <t>リ</t>
    </rPh>
    <rPh sb="2" eb="3">
      <t>シマ</t>
    </rPh>
    <rPh sb="3" eb="4">
      <t>マエ</t>
    </rPh>
    <rPh sb="4" eb="6">
      <t>リショウ</t>
    </rPh>
    <phoneticPr fontId="1"/>
  </si>
  <si>
    <t>シモビシ海中公園地区</t>
    <rPh sb="4" eb="6">
      <t>カイチュウ</t>
    </rPh>
    <rPh sb="6" eb="10">
      <t>コウエンチク</t>
    </rPh>
    <phoneticPr fontId="1"/>
  </si>
  <si>
    <t>竹富島南西岸礁縁</t>
    <rPh sb="0" eb="2">
      <t>タケトミ</t>
    </rPh>
    <rPh sb="2" eb="3">
      <t>ジマ</t>
    </rPh>
    <rPh sb="3" eb="5">
      <t>ナンセイ</t>
    </rPh>
    <rPh sb="5" eb="8">
      <t>ガンショウエン</t>
    </rPh>
    <phoneticPr fontId="1"/>
  </si>
  <si>
    <t>竹富島東沖離礁</t>
    <rPh sb="0" eb="2">
      <t>タケトミ</t>
    </rPh>
    <rPh sb="2" eb="3">
      <t>ジマ</t>
    </rPh>
    <rPh sb="3" eb="5">
      <t>ヒガシオキ</t>
    </rPh>
    <rPh sb="5" eb="7">
      <t>リショウ</t>
    </rPh>
    <phoneticPr fontId="1"/>
  </si>
  <si>
    <t>アーサーピー外縁</t>
    <rPh sb="6" eb="8">
      <t>ガイエン</t>
    </rPh>
    <phoneticPr fontId="1"/>
  </si>
  <si>
    <t>ウマノハピー礁内①</t>
    <rPh sb="6" eb="7">
      <t>ショウ</t>
    </rPh>
    <rPh sb="7" eb="8">
      <t>ナイ</t>
    </rPh>
    <phoneticPr fontId="1"/>
  </si>
  <si>
    <t>ウマノハピー礁内②</t>
    <rPh sb="6" eb="7">
      <t>ショウ</t>
    </rPh>
    <rPh sb="7" eb="8">
      <t>ナイ</t>
    </rPh>
    <phoneticPr fontId="1"/>
  </si>
  <si>
    <t>ウマノハピー礁内③</t>
    <rPh sb="6" eb="7">
      <t>ショウ</t>
    </rPh>
    <rPh sb="7" eb="8">
      <t>ナイ</t>
    </rPh>
    <phoneticPr fontId="1"/>
  </si>
  <si>
    <t>ウマノハピー内縁①</t>
    <rPh sb="6" eb="8">
      <t>ナイエン</t>
    </rPh>
    <phoneticPr fontId="1"/>
  </si>
  <si>
    <t>ウマノハピー内縁②</t>
    <rPh sb="6" eb="8">
      <t>ナイエン</t>
    </rPh>
    <phoneticPr fontId="1"/>
  </si>
  <si>
    <t>ウマノハピー内縁③</t>
    <rPh sb="6" eb="8">
      <t>ナイエン</t>
    </rPh>
    <phoneticPr fontId="1"/>
  </si>
  <si>
    <t>ウマノハピー内縁④</t>
    <rPh sb="6" eb="8">
      <t>ナイエン</t>
    </rPh>
    <phoneticPr fontId="1"/>
  </si>
  <si>
    <t>ウマノハピー外縁①</t>
    <rPh sb="6" eb="8">
      <t>ガイエン</t>
    </rPh>
    <phoneticPr fontId="1"/>
  </si>
  <si>
    <t>アーサーピー内縁①</t>
    <rPh sb="6" eb="8">
      <t>ナイエン</t>
    </rPh>
    <phoneticPr fontId="1"/>
  </si>
  <si>
    <t>アーサーピー内縁②</t>
    <rPh sb="6" eb="8">
      <t>ナイエン</t>
    </rPh>
    <phoneticPr fontId="1"/>
  </si>
  <si>
    <t>アーサーピー内縁③</t>
    <rPh sb="6" eb="8">
      <t>ナイエン</t>
    </rPh>
    <phoneticPr fontId="1"/>
  </si>
  <si>
    <t>アーサーピー内縁④</t>
    <rPh sb="6" eb="8">
      <t>ナイエン</t>
    </rPh>
    <phoneticPr fontId="1"/>
  </si>
  <si>
    <t>ウマノハピー外縁②</t>
    <rPh sb="6" eb="8">
      <t>ガイエン</t>
    </rPh>
    <phoneticPr fontId="1"/>
  </si>
  <si>
    <t>竹富島南沖離礁①</t>
    <rPh sb="0" eb="2">
      <t>タケトミ</t>
    </rPh>
    <rPh sb="2" eb="5">
      <t>ジマミナミオキ</t>
    </rPh>
    <rPh sb="5" eb="7">
      <t>リショウ</t>
    </rPh>
    <phoneticPr fontId="1"/>
  </si>
  <si>
    <t>竹富島南沖離礁②</t>
    <rPh sb="0" eb="2">
      <t>タケトミ</t>
    </rPh>
    <rPh sb="2" eb="3">
      <t>ジマ</t>
    </rPh>
    <rPh sb="3" eb="5">
      <t>ミナミオキ</t>
    </rPh>
    <rPh sb="5" eb="7">
      <t>リショウ</t>
    </rPh>
    <phoneticPr fontId="1"/>
  </si>
  <si>
    <t>ウマノハピー礁内④</t>
    <rPh sb="6" eb="8">
      <t>ショウナイ</t>
    </rPh>
    <phoneticPr fontId="1"/>
  </si>
  <si>
    <t>黒島北沖離礁①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</si>
  <si>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黒島北沖離礁②</t>
    <rPh sb="0" eb="3">
      <t>クロシマキタ</t>
    </rPh>
    <rPh sb="3" eb="6">
      <t>オキリショウ</t>
    </rPh>
    <phoneticPr fontId="1"/>
  </si>
  <si>
    <t>黒島北沖離礁③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</si>
  <si>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黒島北沖離礁④</t>
    <rPh sb="0" eb="3">
      <t>クロシマキタ</t>
    </rPh>
    <rPh sb="3" eb="6">
      <t>オキリショウ</t>
    </rPh>
    <phoneticPr fontId="1"/>
  </si>
  <si>
    <t>黒島ー小浜島間離礁①</t>
    <rPh sb="0" eb="1">
      <t>クロ</t>
    </rPh>
    <rPh sb="1" eb="2">
      <t>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</si>
  <si>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小浜島南東岸礁縁</t>
    <rPh sb="0" eb="2">
      <t>コハマ</t>
    </rPh>
    <rPh sb="2" eb="3">
      <t>ジマ</t>
    </rPh>
    <rPh sb="3" eb="5">
      <t>ナントウ</t>
    </rPh>
    <rPh sb="5" eb="6">
      <t>ガン</t>
    </rPh>
    <rPh sb="6" eb="8">
      <t>ショウエン</t>
    </rPh>
    <phoneticPr fontId="1"/>
  </si>
  <si>
    <t>小浜島南東沖礁縁①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</si>
  <si>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小浜島南東沖礁縁②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</si>
  <si>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黒島ー西表島間離礁①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</si>
  <si>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黒島ー西表島間離礁②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</si>
  <si>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黒島ー小浜島間離礁②</t>
    <rPh sb="0" eb="2">
      <t>クロシマ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</si>
  <si>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小浜島南東沖離礁①</t>
    <rPh sb="0" eb="2">
      <t>コハマ</t>
    </rPh>
    <rPh sb="2" eb="3">
      <t>ジマ</t>
    </rPh>
    <rPh sb="3" eb="5">
      <t>ナントウ</t>
    </rPh>
    <rPh sb="5" eb="6">
      <t>オキ</t>
    </rPh>
    <rPh sb="6" eb="8">
      <t>リショウ</t>
    </rPh>
    <phoneticPr fontId="1"/>
  </si>
  <si>
    <t>小浜島南東沖離礁②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</si>
  <si>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西表島東沖離礁①</t>
    <rPh sb="0" eb="3">
      <t>イリオモテジマ</t>
    </rPh>
    <rPh sb="3" eb="5">
      <t>ヒガシオキ</t>
    </rPh>
    <rPh sb="5" eb="7">
      <t>リショウ</t>
    </rPh>
    <phoneticPr fontId="1"/>
  </si>
  <si>
    <t>西表島東沖離礁②</t>
    <rPh sb="0" eb="3">
      <t>イリオモテジマ</t>
    </rPh>
    <rPh sb="3" eb="5">
      <t>ヒガシオキ</t>
    </rPh>
    <rPh sb="5" eb="7">
      <t>リショウ</t>
    </rPh>
    <phoneticPr fontId="1"/>
  </si>
  <si>
    <t>西表島東沖離礁③</t>
    <rPh sb="0" eb="3">
      <t>イリオモテジマ</t>
    </rPh>
    <rPh sb="3" eb="5">
      <t>ヒガシオキ</t>
    </rPh>
    <rPh sb="5" eb="7">
      <t>リショウ</t>
    </rPh>
    <phoneticPr fontId="1"/>
  </si>
  <si>
    <t>西表島東岸礁池内</t>
    <rPh sb="0" eb="3">
      <t>イリオモテジマ</t>
    </rPh>
    <rPh sb="3" eb="5">
      <t>トウガン</t>
    </rPh>
    <rPh sb="5" eb="8">
      <t>ショウチナイ</t>
    </rPh>
    <phoneticPr fontId="1"/>
  </si>
  <si>
    <t>泥</t>
    <rPh sb="0" eb="1">
      <t>ドロ</t>
    </rPh>
    <phoneticPr fontId="13"/>
  </si>
  <si>
    <t>小浜島南礁縁</t>
    <rPh sb="0" eb="2">
      <t>コハマ</t>
    </rPh>
    <rPh sb="2" eb="4">
      <t>ジマミナミ</t>
    </rPh>
    <rPh sb="4" eb="6">
      <t>ショウエン</t>
    </rPh>
    <phoneticPr fontId="1"/>
  </si>
  <si>
    <t>新城島ー西表島間離礁②</t>
    <rPh sb="0" eb="2">
      <t>シンジョウ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</si>
  <si>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黒島北西沖離礁</t>
    <rPh sb="0" eb="2">
      <t>クロシマ</t>
    </rPh>
    <rPh sb="2" eb="4">
      <t>ホクセイ</t>
    </rPh>
    <rPh sb="4" eb="7">
      <t>オキリショウ</t>
    </rPh>
    <phoneticPr fontId="1"/>
  </si>
  <si>
    <t>小浜島南沖離礁</t>
    <rPh sb="0" eb="2">
      <t>コハマ</t>
    </rPh>
    <rPh sb="2" eb="3">
      <t>ジマ</t>
    </rPh>
    <rPh sb="3" eb="5">
      <t>ミナミオキ</t>
    </rPh>
    <rPh sb="5" eb="7">
      <t>リショウ</t>
    </rPh>
    <phoneticPr fontId="1"/>
  </si>
  <si>
    <t>ヨナラ水道南沖離礁</t>
    <rPh sb="3" eb="5">
      <t>スイドウ</t>
    </rPh>
    <rPh sb="5" eb="7">
      <t>ミナミオキ</t>
    </rPh>
    <rPh sb="7" eb="9">
      <t>リショウ</t>
    </rPh>
    <phoneticPr fontId="1"/>
  </si>
  <si>
    <t>枝礫・泥</t>
    <rPh sb="3" eb="4">
      <t>ドロ</t>
    </rPh>
    <phoneticPr fontId="13"/>
  </si>
  <si>
    <t>小浜島南東沖離礁③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</si>
  <si>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西表島仲間崎沖離礁</t>
    <rPh sb="0" eb="3">
      <t>イリオモテジマ</t>
    </rPh>
    <rPh sb="3" eb="5">
      <t>ナカマ</t>
    </rPh>
    <rPh sb="5" eb="6">
      <t>ザキ</t>
    </rPh>
    <rPh sb="6" eb="9">
      <t>オキリショウ</t>
    </rPh>
    <phoneticPr fontId="1"/>
  </si>
  <si>
    <t>黒島～新城島</t>
    <rPh sb="0" eb="2">
      <t>クロジマ</t>
    </rPh>
    <rPh sb="3" eb="5">
      <t>シンジョウ</t>
    </rPh>
    <rPh sb="5" eb="6">
      <t>ジマ</t>
    </rPh>
    <phoneticPr fontId="3"/>
  </si>
  <si>
    <t>ウラビシ南礁縁</t>
    <rPh sb="4" eb="5">
      <t>ナン</t>
    </rPh>
    <rPh sb="5" eb="7">
      <t>ショウエン</t>
    </rPh>
    <phoneticPr fontId="1"/>
  </si>
  <si>
    <t>0.5～2</t>
  </si>
  <si>
    <t>ウラビシ東礁縁</t>
    <rPh sb="4" eb="5">
      <t>ヒガシ</t>
    </rPh>
    <rPh sb="5" eb="7">
      <t>ショウエン</t>
    </rPh>
    <phoneticPr fontId="1"/>
  </si>
  <si>
    <t>ウラビシ北東礁縁</t>
    <rPh sb="4" eb="6">
      <t>ホクトウ</t>
    </rPh>
    <rPh sb="6" eb="8">
      <t>ショウエン</t>
    </rPh>
    <phoneticPr fontId="1"/>
  </si>
  <si>
    <t>黒島北西岸礁縁</t>
    <rPh sb="0" eb="2">
      <t>クロシマ</t>
    </rPh>
    <rPh sb="2" eb="4">
      <t>ホクセイ</t>
    </rPh>
    <rPh sb="4" eb="5">
      <t>ガン</t>
    </rPh>
    <rPh sb="5" eb="7">
      <t>ショウエン</t>
    </rPh>
    <phoneticPr fontId="1"/>
  </si>
  <si>
    <t>黒島西岸礁池内</t>
    <rPh sb="0" eb="2">
      <t>クロシマ</t>
    </rPh>
    <rPh sb="2" eb="4">
      <t>セイガン</t>
    </rPh>
    <rPh sb="4" eb="7">
      <t>ショウチナイ</t>
    </rPh>
    <phoneticPr fontId="1"/>
  </si>
  <si>
    <t>黒島南西岸礁池内①</t>
    <rPh sb="0" eb="2">
      <t>クロシマ</t>
    </rPh>
    <rPh sb="2" eb="5">
      <t>ナンセイガン</t>
    </rPh>
    <rPh sb="5" eb="8">
      <t>ショウチナイ</t>
    </rPh>
    <phoneticPr fontId="1"/>
  </si>
  <si>
    <t>黒島南岸礁池内</t>
    <rPh sb="0" eb="2">
      <t>クロシマ</t>
    </rPh>
    <rPh sb="2" eb="4">
      <t>ナンガン</t>
    </rPh>
    <rPh sb="4" eb="7">
      <t>ショウチナイ</t>
    </rPh>
    <phoneticPr fontId="1"/>
  </si>
  <si>
    <t>黒島南東岸礁池内①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</si>
  <si>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黒島北東岸礁池内</t>
    <rPh sb="0" eb="2">
      <t>クロシマ</t>
    </rPh>
    <rPh sb="2" eb="4">
      <t>ホクトウ</t>
    </rPh>
    <rPh sb="4" eb="8">
      <t>ガンショウチナイ</t>
    </rPh>
    <phoneticPr fontId="1"/>
  </si>
  <si>
    <t>新城島上地北岸離礁</t>
    <rPh sb="0" eb="2">
      <t>アラグスク</t>
    </rPh>
    <rPh sb="2" eb="3">
      <t>ジマ</t>
    </rPh>
    <rPh sb="3" eb="5">
      <t>カミチ</t>
    </rPh>
    <rPh sb="5" eb="7">
      <t>ホクガン</t>
    </rPh>
    <rPh sb="7" eb="9">
      <t>リショウ</t>
    </rPh>
    <phoneticPr fontId="1"/>
  </si>
  <si>
    <t>マイビシ海中公園地区</t>
    <rPh sb="4" eb="6">
      <t>カイチュウ</t>
    </rPh>
    <rPh sb="6" eb="10">
      <t>コウエンチク</t>
    </rPh>
    <phoneticPr fontId="1"/>
  </si>
  <si>
    <t>新城島上地西岸</t>
    <rPh sb="0" eb="2">
      <t>アラグスク</t>
    </rPh>
    <rPh sb="2" eb="3">
      <t>ジマ</t>
    </rPh>
    <rPh sb="3" eb="5">
      <t>カミチ</t>
    </rPh>
    <rPh sb="5" eb="7">
      <t>セイガン</t>
    </rPh>
    <phoneticPr fontId="1"/>
  </si>
  <si>
    <t>新城島間水路部</t>
    <rPh sb="0" eb="2">
      <t>アラグスク</t>
    </rPh>
    <rPh sb="2" eb="3">
      <t>ジマ</t>
    </rPh>
    <rPh sb="3" eb="4">
      <t>カン</t>
    </rPh>
    <rPh sb="4" eb="6">
      <t>スイロ</t>
    </rPh>
    <rPh sb="6" eb="7">
      <t>ブ</t>
    </rPh>
    <phoneticPr fontId="1"/>
  </si>
  <si>
    <t>新城島下地西岸礁池内①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</si>
  <si>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新城島下地西岸礁池内②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</si>
  <si>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ウラビシ北離礁</t>
    <rPh sb="4" eb="5">
      <t>キタ</t>
    </rPh>
    <rPh sb="5" eb="7">
      <t>リショウ</t>
    </rPh>
    <phoneticPr fontId="1"/>
  </si>
  <si>
    <t>黒島南東岸礁池内②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</si>
  <si>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黒島南西岸礁池内②</t>
    <rPh sb="0" eb="2">
      <t>クロシマ</t>
    </rPh>
    <rPh sb="2" eb="4">
      <t>ナンセイ</t>
    </rPh>
    <rPh sb="4" eb="5">
      <t>ガン</t>
    </rPh>
    <rPh sb="5" eb="8">
      <t>ショウチナイ</t>
    </rPh>
    <phoneticPr fontId="1"/>
  </si>
  <si>
    <t>新城島水路部礁池内</t>
    <rPh sb="0" eb="2">
      <t>アラグスク</t>
    </rPh>
    <rPh sb="2" eb="3">
      <t>ジマ</t>
    </rPh>
    <rPh sb="3" eb="5">
      <t>スイロ</t>
    </rPh>
    <rPh sb="5" eb="6">
      <t>ブ</t>
    </rPh>
    <rPh sb="6" eb="9">
      <t>ショウチナイ</t>
    </rPh>
    <phoneticPr fontId="1"/>
  </si>
  <si>
    <t>黒島南西岸礁外縁</t>
    <rPh sb="0" eb="2">
      <t>クロシマ</t>
    </rPh>
    <rPh sb="2" eb="5">
      <t>ナンセイガン</t>
    </rPh>
    <rPh sb="5" eb="8">
      <t>ショウガイエン</t>
    </rPh>
    <phoneticPr fontId="1"/>
  </si>
  <si>
    <t>黒島南岸礁外縁</t>
    <rPh sb="0" eb="2">
      <t>クロシマ</t>
    </rPh>
    <rPh sb="2" eb="4">
      <t>ナンガン</t>
    </rPh>
    <rPh sb="4" eb="7">
      <t>ショウガイエン</t>
    </rPh>
    <phoneticPr fontId="1"/>
  </si>
  <si>
    <t>キャングチ海中公園地区</t>
    <rPh sb="5" eb="7">
      <t>カイチュウ</t>
    </rPh>
    <rPh sb="7" eb="9">
      <t>コウエン</t>
    </rPh>
    <rPh sb="9" eb="11">
      <t>チク</t>
    </rPh>
    <phoneticPr fontId="1"/>
  </si>
  <si>
    <t>黒島東岸礁外縁</t>
    <rPh sb="0" eb="4">
      <t>クロシマトウガン</t>
    </rPh>
    <rPh sb="4" eb="7">
      <t>ショウガイエン</t>
    </rPh>
    <phoneticPr fontId="1"/>
  </si>
  <si>
    <t>新城島上地東岸礁外縁</t>
    <rPh sb="0" eb="2">
      <t>アラグスク</t>
    </rPh>
    <rPh sb="2" eb="3">
      <t>ジマ</t>
    </rPh>
    <rPh sb="3" eb="5">
      <t>カミチ</t>
    </rPh>
    <rPh sb="5" eb="7">
      <t>トウガン</t>
    </rPh>
    <rPh sb="7" eb="10">
      <t>ショウガイエン</t>
    </rPh>
    <phoneticPr fontId="1"/>
  </si>
  <si>
    <t>新城島下地南東岸礁外縁</t>
    <rPh sb="0" eb="2">
      <t>アラグスク</t>
    </rPh>
    <rPh sb="2" eb="3">
      <t>ジマ</t>
    </rPh>
    <rPh sb="3" eb="5">
      <t>シモチ</t>
    </rPh>
    <rPh sb="5" eb="7">
      <t>ナントウ</t>
    </rPh>
    <rPh sb="7" eb="8">
      <t>ガン</t>
    </rPh>
    <rPh sb="8" eb="11">
      <t>ショウガイエン</t>
    </rPh>
    <phoneticPr fontId="1"/>
  </si>
  <si>
    <t>新城島下地西岸礁外縁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ショウガイエン</t>
    </rPh>
    <phoneticPr fontId="1"/>
  </si>
  <si>
    <t>新城島北西沖離礁</t>
    <rPh sb="0" eb="2">
      <t>アラグスク</t>
    </rPh>
    <rPh sb="2" eb="3">
      <t>ジマ</t>
    </rPh>
    <rPh sb="3" eb="5">
      <t>ホクセイ</t>
    </rPh>
    <rPh sb="5" eb="6">
      <t>オキ</t>
    </rPh>
    <rPh sb="6" eb="8">
      <t>リショウ</t>
    </rPh>
    <phoneticPr fontId="1"/>
  </si>
  <si>
    <t>新城島ー西表島間離礁①</t>
    <rPh sb="0" eb="2">
      <t>アラグスク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</si>
  <si>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南風見崎沖離礁外縁東</t>
    <rPh sb="0" eb="1">
      <t>ミナミ</t>
    </rPh>
    <rPh sb="1" eb="2">
      <t>カゼ</t>
    </rPh>
    <rPh sb="2" eb="3">
      <t>ミ</t>
    </rPh>
    <rPh sb="3" eb="4">
      <t>ザキ</t>
    </rPh>
    <rPh sb="4" eb="5">
      <t>オキ</t>
    </rPh>
    <rPh sb="5" eb="7">
      <t>リショウ</t>
    </rPh>
    <rPh sb="7" eb="9">
      <t>ガイエン</t>
    </rPh>
    <rPh sb="9" eb="10">
      <t>ヒガシ</t>
    </rPh>
    <phoneticPr fontId="1"/>
  </si>
  <si>
    <t>黒島ー新城島間大型離礁</t>
    <rPh sb="0" eb="2">
      <t>クロシマ</t>
    </rPh>
    <rPh sb="3" eb="5">
      <t>アラグスク</t>
    </rPh>
    <rPh sb="5" eb="6">
      <t>ジマ</t>
    </rPh>
    <rPh sb="6" eb="7">
      <t>カン</t>
    </rPh>
    <rPh sb="7" eb="9">
      <t>オオガタ</t>
    </rPh>
    <rPh sb="9" eb="11">
      <t>リショウ</t>
    </rPh>
    <phoneticPr fontId="1"/>
  </si>
  <si>
    <t>崎山湾（西表島西部）周辺</t>
    <rPh sb="10" eb="12">
      <t>シュウヘン</t>
    </rPh>
    <phoneticPr fontId="3"/>
  </si>
  <si>
    <t>ユツン湾口礁縁</t>
    <rPh sb="3" eb="5">
      <t>ワンコウ</t>
    </rPh>
    <rPh sb="5" eb="7">
      <t>ショウエン</t>
    </rPh>
    <phoneticPr fontId="1"/>
  </si>
  <si>
    <t>礁原～礁斜面</t>
  </si>
  <si>
    <t>船浦沖離礁</t>
    <rPh sb="0" eb="1">
      <t>フナ</t>
    </rPh>
    <rPh sb="1" eb="2">
      <t>ウラ</t>
    </rPh>
    <rPh sb="2" eb="3">
      <t>オキ</t>
    </rPh>
    <rPh sb="3" eb="5">
      <t>リショウ</t>
    </rPh>
    <phoneticPr fontId="1"/>
  </si>
  <si>
    <t>バラス島西</t>
    <rPh sb="3" eb="4">
      <t>トウ</t>
    </rPh>
    <rPh sb="4" eb="5">
      <t>ニシ</t>
    </rPh>
    <phoneticPr fontId="1"/>
  </si>
  <si>
    <t>鳩間島南東礁池①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</si>
  <si>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鳩間島南東礁池②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</si>
  <si>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鳩間島南西沖離礁</t>
    <rPh sb="0" eb="2">
      <t>ハトマ</t>
    </rPh>
    <rPh sb="2" eb="3">
      <t>ジマ</t>
    </rPh>
    <rPh sb="3" eb="5">
      <t>ナンセイ</t>
    </rPh>
    <rPh sb="5" eb="8">
      <t>オキリショウ</t>
    </rPh>
    <phoneticPr fontId="1"/>
  </si>
  <si>
    <t>星砂浜前礁縁</t>
    <rPh sb="0" eb="1">
      <t>ホシ</t>
    </rPh>
    <rPh sb="1" eb="2">
      <t>スナ</t>
    </rPh>
    <rPh sb="2" eb="3">
      <t>ハマ</t>
    </rPh>
    <rPh sb="3" eb="4">
      <t>マエ</t>
    </rPh>
    <rPh sb="4" eb="6">
      <t>ショウエン</t>
    </rPh>
    <phoneticPr fontId="1"/>
  </si>
  <si>
    <t>タコ崎礁縁</t>
    <rPh sb="2" eb="3">
      <t>サキ</t>
    </rPh>
    <rPh sb="3" eb="5">
      <t>ショウエン</t>
    </rPh>
    <phoneticPr fontId="1"/>
  </si>
  <si>
    <t>網取湾奥</t>
    <rPh sb="0" eb="1">
      <t>アミ</t>
    </rPh>
    <rPh sb="1" eb="2">
      <t>ト</t>
    </rPh>
    <rPh sb="2" eb="3">
      <t>ワン</t>
    </rPh>
    <rPh sb="3" eb="4">
      <t>オク</t>
    </rPh>
    <phoneticPr fontId="1"/>
  </si>
  <si>
    <t>4～8</t>
  </si>
  <si>
    <t>ヨナソネ</t>
  </si>
  <si>
    <t>崎山礁縁</t>
    <rPh sb="0" eb="2">
      <t>サキヤマ</t>
    </rPh>
    <rPh sb="2" eb="4">
      <t>ショウエン</t>
    </rPh>
    <phoneticPr fontId="1"/>
  </si>
  <si>
    <t>11～13</t>
  </si>
  <si>
    <t>崎山礁池</t>
    <rPh sb="0" eb="2">
      <t>サキヤマ</t>
    </rPh>
    <rPh sb="2" eb="4">
      <t>ショウチ</t>
    </rPh>
    <phoneticPr fontId="1"/>
  </si>
  <si>
    <t>波照間石</t>
    <rPh sb="0" eb="1">
      <t>ハ</t>
    </rPh>
    <rPh sb="1" eb="2">
      <t>テ</t>
    </rPh>
    <rPh sb="2" eb="3">
      <t>マ</t>
    </rPh>
    <rPh sb="3" eb="4">
      <t>イシ</t>
    </rPh>
    <phoneticPr fontId="1"/>
  </si>
  <si>
    <t>鹿川湾中ノ瀬①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</si>
  <si>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鹿川湾中ノ瀬②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</si>
  <si>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サザレ浜礁縁</t>
    <rPh sb="3" eb="4">
      <t>ハマ</t>
    </rPh>
    <rPh sb="4" eb="6">
      <t>ショウエン</t>
    </rPh>
    <phoneticPr fontId="1"/>
  </si>
  <si>
    <t>豊原沖礁縁</t>
    <rPh sb="0" eb="2">
      <t>トヨハラ</t>
    </rPh>
    <rPh sb="2" eb="3">
      <t>オキ</t>
    </rPh>
    <rPh sb="3" eb="5">
      <t>ショウエン</t>
    </rPh>
    <phoneticPr fontId="1"/>
  </si>
  <si>
    <t>船浮崎前</t>
    <rPh sb="0" eb="1">
      <t>フナ</t>
    </rPh>
    <rPh sb="1" eb="2">
      <t>ウ</t>
    </rPh>
    <rPh sb="2" eb="3">
      <t>ザキ</t>
    </rPh>
    <rPh sb="3" eb="4">
      <t>マエ</t>
    </rPh>
    <phoneticPr fontId="1"/>
  </si>
  <si>
    <t>外パナリ南礁縁</t>
    <rPh sb="0" eb="1">
      <t>ソト</t>
    </rPh>
    <rPh sb="4" eb="5">
      <t>ミナミ</t>
    </rPh>
    <rPh sb="5" eb="6">
      <t>ショウ</t>
    </rPh>
    <rPh sb="6" eb="7">
      <t>エン</t>
    </rPh>
    <phoneticPr fontId="1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</si>
  <si>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6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</si>
  <si>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6"/>
  </si>
  <si>
    <t>星砂浜前礁池内</t>
    <rPh sb="0" eb="1">
      <t>ホシ</t>
    </rPh>
    <rPh sb="1" eb="2">
      <t>スナ</t>
    </rPh>
    <rPh sb="2" eb="3">
      <t>ハマ</t>
    </rPh>
    <rPh sb="3" eb="4">
      <t>マエ</t>
    </rPh>
    <rPh sb="4" eb="6">
      <t>ショウチ</t>
    </rPh>
    <rPh sb="6" eb="7">
      <t>ナイ</t>
    </rPh>
    <phoneticPr fontId="1"/>
  </si>
  <si>
    <t>タコ崎礁浅部</t>
    <rPh sb="2" eb="3">
      <t>サキ</t>
    </rPh>
    <rPh sb="3" eb="4">
      <t>ショウ</t>
    </rPh>
    <rPh sb="4" eb="5">
      <t>アサ</t>
    </rPh>
    <rPh sb="5" eb="6">
      <t>ブ</t>
    </rPh>
    <phoneticPr fontId="1"/>
  </si>
  <si>
    <t>小笠原諸島</t>
    <rPh sb="0" eb="3">
      <t>オガサワラ</t>
    </rPh>
    <rPh sb="3" eb="5">
      <t>ショトウ</t>
    </rPh>
    <phoneticPr fontId="3"/>
  </si>
  <si>
    <t>父島周辺</t>
    <rPh sb="0" eb="2">
      <t>チチジマ</t>
    </rPh>
    <rPh sb="2" eb="4">
      <t>シュウヘン</t>
    </rPh>
    <phoneticPr fontId="3"/>
  </si>
  <si>
    <t>東京都</t>
    <rPh sb="0" eb="3">
      <t>トウキョウト</t>
    </rPh>
    <phoneticPr fontId="3"/>
  </si>
  <si>
    <t>兄島　滝之浦</t>
    <rPh sb="4" eb="5">
      <t>コレ</t>
    </rPh>
    <phoneticPr fontId="4"/>
  </si>
  <si>
    <t>内湾</t>
    <rPh sb="0" eb="2">
      <t>ナイワン</t>
    </rPh>
    <phoneticPr fontId="13"/>
  </si>
  <si>
    <t>サンゴ岩盤</t>
  </si>
  <si>
    <t>11.0～18.0</t>
  </si>
  <si>
    <t>内湾（海峡）</t>
    <rPh sb="0" eb="2">
      <t>ナイワン</t>
    </rPh>
    <rPh sb="3" eb="5">
      <t>カイキョウ</t>
    </rPh>
    <phoneticPr fontId="13"/>
  </si>
  <si>
    <t>サンゴ岩盤、砂泥</t>
  </si>
  <si>
    <t>40×60</t>
  </si>
  <si>
    <t>兄島　水玉湾西側</t>
    <rPh sb="3" eb="6">
      <t>ミズタマワン</t>
    </rPh>
    <rPh sb="6" eb="7">
      <t>ニシ</t>
    </rPh>
    <rPh sb="7" eb="8">
      <t>ガワ</t>
    </rPh>
    <phoneticPr fontId="4"/>
  </si>
  <si>
    <t>岩盤</t>
  </si>
  <si>
    <t>80×20</t>
  </si>
  <si>
    <t>5.0～15.0</t>
  </si>
  <si>
    <t>父島　宮之浜</t>
    <rPh sb="0" eb="2">
      <t>チチジマ</t>
    </rPh>
    <rPh sb="3" eb="6">
      <t>ミヤノハマ</t>
    </rPh>
    <phoneticPr fontId="4"/>
  </si>
  <si>
    <t>30×60</t>
  </si>
  <si>
    <t>3.0～5.0</t>
  </si>
  <si>
    <t>父島  釣浜</t>
    <rPh sb="0" eb="2">
      <t>チチジマ</t>
    </rPh>
    <phoneticPr fontId="4"/>
  </si>
  <si>
    <t>サンゴ岩盤、砂</t>
  </si>
  <si>
    <t>20×80</t>
  </si>
  <si>
    <t>父島　初寝浦</t>
    <rPh sb="0" eb="2">
      <t>チチジマ</t>
    </rPh>
    <rPh sb="3" eb="6">
      <t>ハツネウラ</t>
    </rPh>
    <phoneticPr fontId="4"/>
  </si>
  <si>
    <t>外海</t>
    <rPh sb="0" eb="2">
      <t>ガイカイ</t>
    </rPh>
    <phoneticPr fontId="13"/>
  </si>
  <si>
    <t>2.0～5.0</t>
  </si>
  <si>
    <t>父島　巽東海岸</t>
    <rPh sb="0" eb="2">
      <t>チチジマ</t>
    </rPh>
    <rPh sb="3" eb="7">
      <t>タツミナカカイガン</t>
    </rPh>
    <phoneticPr fontId="4"/>
  </si>
  <si>
    <t>サンゴ岩盤、砂、巨礫</t>
  </si>
  <si>
    <t>50×40</t>
  </si>
  <si>
    <t>0.5～10.0</t>
  </si>
  <si>
    <t>父島　巽中海岸</t>
    <rPh sb="0" eb="2">
      <t>チチジマ</t>
    </rPh>
    <rPh sb="3" eb="7">
      <t>タツミナカカイガン</t>
    </rPh>
    <phoneticPr fontId="4"/>
  </si>
  <si>
    <t>サンゴ岩盤、砂、転石</t>
  </si>
  <si>
    <t>0.5～8.0</t>
  </si>
  <si>
    <t>父島(属)南島
サンゴ池</t>
    <rPh sb="0" eb="2">
      <t>チチジマ</t>
    </rPh>
    <rPh sb="3" eb="5">
      <t>ゾク</t>
    </rPh>
    <rPh sb="5" eb="7">
      <t>ミナミジマ</t>
    </rPh>
    <rPh sb="11" eb="12">
      <t>イケ</t>
    </rPh>
    <phoneticPr fontId="4"/>
  </si>
  <si>
    <t>離礁（内湾）</t>
    <rPh sb="0" eb="2">
      <t>リショウ</t>
    </rPh>
    <rPh sb="3" eb="5">
      <t>ナイワン</t>
    </rPh>
    <phoneticPr fontId="13"/>
  </si>
  <si>
    <t>40×40</t>
  </si>
  <si>
    <t>4.0～6.0</t>
  </si>
  <si>
    <t>父島　コペペ海岸</t>
    <rPh sb="0" eb="2">
      <t>チチジマ</t>
    </rPh>
    <rPh sb="6" eb="8">
      <t>カイガン</t>
    </rPh>
    <phoneticPr fontId="4"/>
  </si>
  <si>
    <t>サ岩盤、砂泥</t>
  </si>
  <si>
    <t>1.0～3.0</t>
  </si>
  <si>
    <t>父島　野羊山内側</t>
    <rPh sb="0" eb="2">
      <t>チチジマ</t>
    </rPh>
    <rPh sb="3" eb="4">
      <t>ヤギュウ</t>
    </rPh>
    <rPh sb="4" eb="6">
      <t>ヒツジヤマ</t>
    </rPh>
    <rPh sb="6" eb="8">
      <t>ウチガワ</t>
    </rPh>
    <phoneticPr fontId="4"/>
  </si>
  <si>
    <t>岩盤、巨礫、砂泥</t>
  </si>
  <si>
    <t>5.0～13.0</t>
  </si>
  <si>
    <t>父島　二見湾奥</t>
    <rPh sb="0" eb="2">
      <t>チチジマ</t>
    </rPh>
    <rPh sb="3" eb="7">
      <t>フタミワンオク</t>
    </rPh>
    <phoneticPr fontId="4"/>
  </si>
  <si>
    <t>サンゴ礫、砂泥</t>
  </si>
  <si>
    <t>75×75</t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</si>
  <si>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3"/>
  </si>
  <si>
    <t>館山（房総）</t>
    <rPh sb="0" eb="2">
      <t>タテヤマ</t>
    </rPh>
    <rPh sb="3" eb="5">
      <t>ボウソウ</t>
    </rPh>
    <phoneticPr fontId="3"/>
  </si>
  <si>
    <t>千葉</t>
    <rPh sb="0" eb="2">
      <t>チバ</t>
    </rPh>
    <phoneticPr fontId="4"/>
  </si>
  <si>
    <t>50×20</t>
  </si>
  <si>
    <t>房総・伊豆・伊豆諸島（黒潮影響域）</t>
  </si>
  <si>
    <t>千葉</t>
    <rPh sb="0" eb="2">
      <t>チバ</t>
    </rPh>
    <phoneticPr fontId="3"/>
  </si>
  <si>
    <t>坂田①</t>
    <rPh sb="0" eb="2">
      <t>サカタ</t>
    </rPh>
    <phoneticPr fontId="3"/>
  </si>
  <si>
    <t>やや外洋</t>
  </si>
  <si>
    <t>岩／砂</t>
  </si>
  <si>
    <t>30×20</t>
  </si>
  <si>
    <t>9～10</t>
  </si>
  <si>
    <t>坂田②</t>
    <rPh sb="0" eb="2">
      <t>サカタ</t>
    </rPh>
    <phoneticPr fontId="3"/>
  </si>
  <si>
    <t>20×5</t>
  </si>
  <si>
    <t>雀島</t>
    <rPh sb="0" eb="2">
      <t>スズメシマ</t>
    </rPh>
    <phoneticPr fontId="3"/>
  </si>
  <si>
    <t>7～9</t>
  </si>
  <si>
    <t>坂田③</t>
    <rPh sb="0" eb="2">
      <t>バンダ</t>
    </rPh>
    <phoneticPr fontId="3"/>
  </si>
  <si>
    <t>やや外洋</t>
    <rPh sb="2" eb="4">
      <t>ガイヨウ</t>
    </rPh>
    <phoneticPr fontId="13"/>
  </si>
  <si>
    <t>5×2</t>
  </si>
  <si>
    <t>3～4</t>
  </si>
  <si>
    <t>日本海（対馬暖流影響域）</t>
    <rPh sb="0" eb="3">
      <t>ニホンカイ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3"/>
  </si>
  <si>
    <t>壱岐周辺</t>
    <rPh sb="0" eb="2">
      <t>イキ</t>
    </rPh>
    <rPh sb="2" eb="4">
      <t>シュウヘン</t>
    </rPh>
    <phoneticPr fontId="3"/>
  </si>
  <si>
    <t>長崎</t>
    <rPh sb="0" eb="2">
      <t>ナガサキ</t>
    </rPh>
    <phoneticPr fontId="3"/>
  </si>
  <si>
    <t>福江　布浦(1)</t>
    <rPh sb="0" eb="2">
      <t>フクエ</t>
    </rPh>
    <rPh sb="3" eb="5">
      <t>ヌノウラ</t>
    </rPh>
    <phoneticPr fontId="9"/>
  </si>
  <si>
    <t>基盤岩＋礫底</t>
    <rPh sb="0" eb="3">
      <t>キバンガン</t>
    </rPh>
    <rPh sb="4" eb="5">
      <t>サレキ</t>
    </rPh>
    <rPh sb="5" eb="6">
      <t>スナゾコ</t>
    </rPh>
    <phoneticPr fontId="3"/>
  </si>
  <si>
    <t>福江　布浦(2)</t>
    <rPh sb="0" eb="2">
      <t>フクエ</t>
    </rPh>
    <rPh sb="3" eb="5">
      <t>ヌノウラ</t>
    </rPh>
    <phoneticPr fontId="9"/>
  </si>
  <si>
    <t>基盤岩＋礫底</t>
    <rPh sb="0" eb="3">
      <t>キバンガン</t>
    </rPh>
    <phoneticPr fontId="3"/>
  </si>
  <si>
    <t>福江　津多羅島(1)</t>
    <rPh sb="0" eb="2">
      <t>フクエ</t>
    </rPh>
    <rPh sb="3" eb="5">
      <t>ツタ</t>
    </rPh>
    <rPh sb="5" eb="6">
      <t>ラ</t>
    </rPh>
    <rPh sb="6" eb="7">
      <t>ジマ</t>
    </rPh>
    <phoneticPr fontId="9"/>
  </si>
  <si>
    <t>基盤岩</t>
    <rPh sb="0" eb="3">
      <t>キバンガン「</t>
    </rPh>
    <phoneticPr fontId="3"/>
  </si>
  <si>
    <t>福江　津多羅島(2)</t>
    <rPh sb="0" eb="2">
      <t>フクエ</t>
    </rPh>
    <rPh sb="3" eb="5">
      <t>ツタ</t>
    </rPh>
    <rPh sb="5" eb="6">
      <t>ラ</t>
    </rPh>
    <rPh sb="6" eb="7">
      <t>ジマ</t>
    </rPh>
    <phoneticPr fontId="9"/>
  </si>
  <si>
    <t>福江　津多羅島(3)</t>
    <rPh sb="0" eb="2">
      <t>フクエ</t>
    </rPh>
    <rPh sb="3" eb="5">
      <t>ツタ</t>
    </rPh>
    <rPh sb="5" eb="6">
      <t>ラ</t>
    </rPh>
    <rPh sb="6" eb="7">
      <t>ジマ</t>
    </rPh>
    <phoneticPr fontId="9"/>
  </si>
  <si>
    <t>壱岐　黒崎</t>
    <rPh sb="0" eb="2">
      <t>イキ</t>
    </rPh>
    <rPh sb="3" eb="5">
      <t>クロサキ</t>
    </rPh>
    <phoneticPr fontId="3"/>
  </si>
  <si>
    <t>砂礫底</t>
    <rPh sb="0" eb="3">
      <t>サレキソコ</t>
    </rPh>
    <phoneticPr fontId="3"/>
  </si>
  <si>
    <t>壱岐　板浦</t>
    <rPh sb="0" eb="2">
      <t>イキ</t>
    </rPh>
    <phoneticPr fontId="3"/>
  </si>
  <si>
    <t>基盤岩＋砂底</t>
    <rPh sb="0" eb="3">
      <t>キバンガン</t>
    </rPh>
    <rPh sb="4" eb="6">
      <t>スナゾコ</t>
    </rPh>
    <phoneticPr fontId="3"/>
  </si>
  <si>
    <t>壱岐　神瀬</t>
    <rPh sb="0" eb="2">
      <t>イキ</t>
    </rPh>
    <phoneticPr fontId="3"/>
  </si>
  <si>
    <t>対馬　瀬ノ浦</t>
    <rPh sb="0" eb="2">
      <t>ツシマ</t>
    </rPh>
    <rPh sb="3" eb="4">
      <t>セ</t>
    </rPh>
    <rPh sb="5" eb="6">
      <t>ウラ</t>
    </rPh>
    <phoneticPr fontId="3"/>
  </si>
  <si>
    <t>対馬　太田浦</t>
    <rPh sb="0" eb="2">
      <t>ツシマ</t>
    </rPh>
    <rPh sb="3" eb="5">
      <t>オオタ</t>
    </rPh>
    <rPh sb="5" eb="6">
      <t>ウラ</t>
    </rPh>
    <phoneticPr fontId="3"/>
  </si>
  <si>
    <t>5～7</t>
  </si>
  <si>
    <t>中通島　三ツ瀬(1)</t>
    <rPh sb="0" eb="3">
      <t>ナカドオリジマ</t>
    </rPh>
    <rPh sb="4" eb="5">
      <t>サン</t>
    </rPh>
    <rPh sb="6" eb="7">
      <t>セ</t>
    </rPh>
    <phoneticPr fontId="13"/>
  </si>
  <si>
    <t>20×20</t>
  </si>
  <si>
    <t>中通島　三ツ瀬(2)</t>
    <rPh sb="0" eb="3">
      <t>ナカドオリジマ</t>
    </rPh>
    <rPh sb="4" eb="5">
      <t>サン</t>
    </rPh>
    <rPh sb="6" eb="7">
      <t>セ</t>
    </rPh>
    <phoneticPr fontId="13"/>
  </si>
  <si>
    <t>10×10</t>
  </si>
  <si>
    <t>中通島　三ツ瀬(3)</t>
    <rPh sb="0" eb="3">
      <t>ナカドオリジマ</t>
    </rPh>
    <rPh sb="4" eb="5">
      <t>サン</t>
    </rPh>
    <rPh sb="6" eb="7">
      <t>セ</t>
    </rPh>
    <phoneticPr fontId="13"/>
  </si>
  <si>
    <t>若松島　滝ケ原</t>
    <rPh sb="0" eb="3">
      <t>ワカマツジマ</t>
    </rPh>
    <rPh sb="4" eb="5">
      <t>タキ</t>
    </rPh>
    <rPh sb="6" eb="7">
      <t>ハラ</t>
    </rPh>
    <phoneticPr fontId="13"/>
  </si>
  <si>
    <t>福江　多々良島</t>
    <rPh sb="0" eb="2">
      <t>フクエ</t>
    </rPh>
    <rPh sb="3" eb="6">
      <t>タタラ</t>
    </rPh>
    <rPh sb="6" eb="7">
      <t>ジマ</t>
    </rPh>
    <phoneticPr fontId="13"/>
  </si>
  <si>
    <t>基盤岩</t>
    <rPh sb="0" eb="2">
      <t>キバン</t>
    </rPh>
    <rPh sb="2" eb="3">
      <t>ガン</t>
    </rPh>
    <phoneticPr fontId="3"/>
  </si>
  <si>
    <t>対馬　太田浦沖</t>
    <rPh sb="6" eb="7">
      <t>オキ</t>
    </rPh>
    <phoneticPr fontId="3"/>
  </si>
  <si>
    <t>30×30</t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</si>
  <si>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3"/>
  </si>
  <si>
    <t>串本周辺</t>
    <rPh sb="0" eb="2">
      <t>クシモト</t>
    </rPh>
    <rPh sb="2" eb="4">
      <t>シュウヘン</t>
    </rPh>
    <phoneticPr fontId="3"/>
  </si>
  <si>
    <t>和歌山県</t>
    <rPh sb="0" eb="4">
      <t>ワカヤマケン</t>
    </rPh>
    <phoneticPr fontId="4"/>
  </si>
  <si>
    <t>通夜島</t>
    <rPh sb="0" eb="3">
      <t>ツヤジマ</t>
    </rPh>
    <phoneticPr fontId="4"/>
  </si>
  <si>
    <t>岩/砂礫</t>
  </si>
  <si>
    <t>100×20</t>
  </si>
  <si>
    <t>7～15</t>
  </si>
  <si>
    <t>住崎</t>
    <rPh sb="0" eb="2">
      <t>スミサキ</t>
    </rPh>
    <phoneticPr fontId="4"/>
  </si>
  <si>
    <t>やや外洋
（入り江）</t>
  </si>
  <si>
    <t>砂礫</t>
  </si>
  <si>
    <t>15～17</t>
  </si>
  <si>
    <t>岩
（サンゴ岩）</t>
  </si>
  <si>
    <t>砥崎</t>
    <rPh sb="0" eb="2">
      <t>トサキ</t>
    </rPh>
    <phoneticPr fontId="4"/>
  </si>
  <si>
    <t>やや外洋（湾口、くじの川河口近接）</t>
    <rPh sb="2" eb="4">
      <t>ガイヨウ</t>
    </rPh>
    <rPh sb="5" eb="7">
      <t>ワンコウ</t>
    </rPh>
    <rPh sb="11" eb="12">
      <t>カワ</t>
    </rPh>
    <rPh sb="12" eb="14">
      <t>カコウ</t>
    </rPh>
    <rPh sb="14" eb="16">
      <t>キンセツ</t>
    </rPh>
    <phoneticPr fontId="6"/>
  </si>
  <si>
    <t>岩/転石</t>
  </si>
  <si>
    <t>80×40</t>
  </si>
  <si>
    <t>高富湾奥</t>
    <rPh sb="0" eb="2">
      <t>タカトミ</t>
    </rPh>
    <rPh sb="2" eb="3">
      <t>ワン</t>
    </rPh>
    <rPh sb="3" eb="4">
      <t>オク</t>
    </rPh>
    <phoneticPr fontId="4"/>
  </si>
  <si>
    <t>湾奥（高富川河口近接）</t>
    <rPh sb="0" eb="1">
      <t>ワン</t>
    </rPh>
    <rPh sb="1" eb="2">
      <t>オク</t>
    </rPh>
    <rPh sb="3" eb="5">
      <t>タカトミ</t>
    </rPh>
    <rPh sb="5" eb="6">
      <t>カワ</t>
    </rPh>
    <rPh sb="6" eb="8">
      <t>カコウ</t>
    </rPh>
    <rPh sb="8" eb="10">
      <t>キンセツ</t>
    </rPh>
    <phoneticPr fontId="6"/>
  </si>
  <si>
    <t>公園1号地</t>
    <rPh sb="0" eb="2">
      <t>コウエン</t>
    </rPh>
    <rPh sb="3" eb="5">
      <t>ゴウチ</t>
    </rPh>
    <phoneticPr fontId="4"/>
  </si>
  <si>
    <t>礫砂</t>
  </si>
  <si>
    <t>100×25</t>
  </si>
  <si>
    <t>公園2号地</t>
    <rPh sb="0" eb="2">
      <t>コウエン</t>
    </rPh>
    <rPh sb="3" eb="5">
      <t>ゴウチ</t>
    </rPh>
    <phoneticPr fontId="4"/>
  </si>
  <si>
    <t>岩/礫砂</t>
  </si>
  <si>
    <t>公園3号地</t>
    <rPh sb="0" eb="2">
      <t>コウエン</t>
    </rPh>
    <rPh sb="3" eb="5">
      <t>ゴウチ</t>
    </rPh>
    <phoneticPr fontId="4"/>
  </si>
  <si>
    <t>沖瀬</t>
  </si>
  <si>
    <t>公園4号地</t>
    <rPh sb="0" eb="2">
      <t>コウエン</t>
    </rPh>
    <rPh sb="3" eb="5">
      <t>ゴウチ</t>
    </rPh>
    <phoneticPr fontId="4"/>
  </si>
  <si>
    <t>入り江</t>
  </si>
  <si>
    <t>砂礫/岩</t>
  </si>
  <si>
    <t>展望塔前</t>
    <rPh sb="0" eb="3">
      <t>テンボウトウ</t>
    </rPh>
    <rPh sb="3" eb="4">
      <t>マエ</t>
    </rPh>
    <phoneticPr fontId="4"/>
  </si>
  <si>
    <t>100×30</t>
  </si>
  <si>
    <t>有田湾奥</t>
    <rPh sb="0" eb="2">
      <t>アリタ</t>
    </rPh>
    <rPh sb="2" eb="3">
      <t>ワン</t>
    </rPh>
    <rPh sb="3" eb="4">
      <t>オク</t>
    </rPh>
    <phoneticPr fontId="4"/>
  </si>
  <si>
    <t>湾奥</t>
  </si>
  <si>
    <t>泥/砂礫</t>
  </si>
  <si>
    <t>双島①</t>
    <rPh sb="0" eb="2">
      <t>ソウシマ</t>
    </rPh>
    <phoneticPr fontId="4"/>
  </si>
  <si>
    <t>双島②</t>
    <rPh sb="0" eb="2">
      <t>ソウシマ</t>
    </rPh>
    <phoneticPr fontId="4"/>
  </si>
  <si>
    <t>下浅地</t>
    <rPh sb="0" eb="1">
      <t>シモ</t>
    </rPh>
    <rPh sb="1" eb="3">
      <t>アサジ</t>
    </rPh>
    <phoneticPr fontId="4"/>
  </si>
  <si>
    <t>17～25</t>
  </si>
  <si>
    <t>三重県</t>
    <rPh sb="0" eb="3">
      <t>ミエケン</t>
    </rPh>
    <phoneticPr fontId="4"/>
  </si>
  <si>
    <t>二木島海中公園
1号地区</t>
    <rPh sb="0" eb="3">
      <t>ニギシマ</t>
    </rPh>
    <rPh sb="3" eb="5">
      <t>カイチュウ</t>
    </rPh>
    <rPh sb="5" eb="7">
      <t>コウエン</t>
    </rPh>
    <rPh sb="9" eb="10">
      <t>ゴウ</t>
    </rPh>
    <rPh sb="10" eb="12">
      <t>チク</t>
    </rPh>
    <phoneticPr fontId="7"/>
  </si>
  <si>
    <t>外洋</t>
    <rPh sb="0" eb="2">
      <t>ガイヨウ</t>
    </rPh>
    <phoneticPr fontId="7"/>
  </si>
  <si>
    <t>20×100</t>
  </si>
  <si>
    <t>2～25</t>
  </si>
  <si>
    <t>二木島海中公園
2号地区</t>
    <rPh sb="0" eb="3">
      <t>ニギシマ</t>
    </rPh>
    <rPh sb="3" eb="5">
      <t>カイチュウ</t>
    </rPh>
    <rPh sb="5" eb="7">
      <t>コウエン</t>
    </rPh>
    <rPh sb="9" eb="11">
      <t>ゴウチ</t>
    </rPh>
    <rPh sb="11" eb="12">
      <t>ク</t>
    </rPh>
    <phoneticPr fontId="7"/>
  </si>
  <si>
    <t>1～15</t>
  </si>
  <si>
    <t/>
  </si>
  <si>
    <t>紀伊大島
ゾウバナ</t>
    <rPh sb="0" eb="2">
      <t>キイ</t>
    </rPh>
    <rPh sb="2" eb="4">
      <t>オオシマ</t>
    </rPh>
    <phoneticPr fontId="13"/>
  </si>
  <si>
    <t>弱い内湾傾向</t>
    <rPh sb="0" eb="1">
      <t>ヨワ</t>
    </rPh>
    <rPh sb="2" eb="3">
      <t>ナイ</t>
    </rPh>
    <rPh sb="3" eb="4">
      <t>ワン</t>
    </rPh>
    <rPh sb="4" eb="6">
      <t>ケイコウ</t>
    </rPh>
    <phoneticPr fontId="3"/>
  </si>
  <si>
    <t>砂礫/岩</t>
    <rPh sb="0" eb="2">
      <t>サレキ</t>
    </rPh>
    <phoneticPr fontId="3"/>
  </si>
  <si>
    <t>10～20</t>
  </si>
  <si>
    <t>四国（黒潮影響域）</t>
    <rPh sb="0" eb="2">
      <t>シコク</t>
    </rPh>
    <rPh sb="3" eb="5">
      <t>クロシオ</t>
    </rPh>
    <rPh sb="5" eb="7">
      <t>エイキョウ</t>
    </rPh>
    <rPh sb="7" eb="8">
      <t>イキ</t>
    </rPh>
    <phoneticPr fontId="3"/>
  </si>
  <si>
    <t>四国南西岸（宇和海～足摺岬）</t>
    <rPh sb="2" eb="3">
      <t>ミナミ</t>
    </rPh>
    <phoneticPr fontId="3"/>
  </si>
  <si>
    <t>愛媛県</t>
    <rPh sb="0" eb="3">
      <t>エヒメケン</t>
    </rPh>
    <phoneticPr fontId="4"/>
  </si>
  <si>
    <t>須ノ川</t>
    <rPh sb="0" eb="1">
      <t>ス</t>
    </rPh>
    <rPh sb="2" eb="3">
      <t>カワ</t>
    </rPh>
    <phoneticPr fontId="4"/>
  </si>
  <si>
    <t>開放的湾内</t>
    <rPh sb="0" eb="3">
      <t>カイホウテキ</t>
    </rPh>
    <rPh sb="3" eb="5">
      <t>ワンナイ</t>
    </rPh>
    <phoneticPr fontId="13"/>
  </si>
  <si>
    <t>砂,転石,岩,砂礫</t>
    <rPh sb="0" eb="1">
      <t>スナ</t>
    </rPh>
    <rPh sb="2" eb="3">
      <t>テン</t>
    </rPh>
    <rPh sb="3" eb="4">
      <t>セキ</t>
    </rPh>
    <rPh sb="5" eb="6">
      <t>イワ</t>
    </rPh>
    <rPh sb="7" eb="9">
      <t>サレキ</t>
    </rPh>
    <phoneticPr fontId="13"/>
  </si>
  <si>
    <t>鹿島</t>
    <rPh sb="0" eb="2">
      <t>カシマ</t>
    </rPh>
    <phoneticPr fontId="4"/>
  </si>
  <si>
    <t>外海</t>
    <rPh sb="0" eb="2">
      <t>ソトウミ</t>
    </rPh>
    <phoneticPr fontId="13"/>
  </si>
  <si>
    <t>砂,転石</t>
    <rPh sb="0" eb="1">
      <t>スナ</t>
    </rPh>
    <rPh sb="2" eb="3">
      <t>テン</t>
    </rPh>
    <rPh sb="3" eb="4">
      <t>セキ</t>
    </rPh>
    <phoneticPr fontId="13"/>
  </si>
  <si>
    <t>1～9.5</t>
  </si>
  <si>
    <t>天嶬鼻</t>
    <rPh sb="0" eb="1">
      <t>アマ</t>
    </rPh>
    <rPh sb="1" eb="2">
      <t>タカシ</t>
    </rPh>
    <rPh sb="2" eb="3">
      <t>バナ</t>
    </rPh>
    <phoneticPr fontId="4"/>
  </si>
  <si>
    <t>砂,礫,転石,岩</t>
    <rPh sb="0" eb="1">
      <t>スナ</t>
    </rPh>
    <rPh sb="2" eb="3">
      <t>レキ</t>
    </rPh>
    <rPh sb="4" eb="5">
      <t>テン</t>
    </rPh>
    <rPh sb="5" eb="6">
      <t>セキ</t>
    </rPh>
    <rPh sb="7" eb="8">
      <t>イワ</t>
    </rPh>
    <phoneticPr fontId="13"/>
  </si>
  <si>
    <t>1～3.5</t>
  </si>
  <si>
    <t>高知県</t>
    <rPh sb="0" eb="3">
      <t>コウチケン</t>
    </rPh>
    <phoneticPr fontId="4"/>
  </si>
  <si>
    <t>白浜</t>
    <rPh sb="0" eb="2">
      <t>シラハマ</t>
    </rPh>
    <phoneticPr fontId="4"/>
  </si>
  <si>
    <t>内湾</t>
    <rPh sb="0" eb="1">
      <t>ナイ</t>
    </rPh>
    <rPh sb="1" eb="2">
      <t>ワン</t>
    </rPh>
    <phoneticPr fontId="13"/>
  </si>
  <si>
    <t>砂,転石,岩</t>
    <rPh sb="0" eb="1">
      <t>スナ</t>
    </rPh>
    <rPh sb="2" eb="3">
      <t>テン</t>
    </rPh>
    <rPh sb="3" eb="4">
      <t>セキ</t>
    </rPh>
    <rPh sb="5" eb="6">
      <t>イワ</t>
    </rPh>
    <phoneticPr fontId="13"/>
  </si>
  <si>
    <t>黒崎</t>
    <rPh sb="0" eb="2">
      <t>クロサキ</t>
    </rPh>
    <phoneticPr fontId="4"/>
  </si>
  <si>
    <t>網代</t>
    <rPh sb="0" eb="2">
      <t>アジロ</t>
    </rPh>
    <phoneticPr fontId="4"/>
  </si>
  <si>
    <t>柏島</t>
    <rPh sb="0" eb="1">
      <t>カシワ</t>
    </rPh>
    <rPh sb="1" eb="2">
      <t>ジマ</t>
    </rPh>
    <phoneticPr fontId="4"/>
  </si>
  <si>
    <t>沖ノ島・トリノクビ</t>
    <rPh sb="0" eb="1">
      <t>オキ</t>
    </rPh>
    <rPh sb="2" eb="3">
      <t>シマ</t>
    </rPh>
    <phoneticPr fontId="4"/>
  </si>
  <si>
    <t>1～6.3</t>
  </si>
  <si>
    <t>沖ノ島・三ツ碆</t>
    <rPh sb="0" eb="1">
      <t>オキ</t>
    </rPh>
    <rPh sb="2" eb="3">
      <t>シマ</t>
    </rPh>
    <rPh sb="4" eb="5">
      <t>ミ</t>
    </rPh>
    <phoneticPr fontId="4"/>
  </si>
  <si>
    <t>外海・沖瀬</t>
    <rPh sb="0" eb="2">
      <t>ソトウミ</t>
    </rPh>
    <rPh sb="3" eb="4">
      <t>オキ</t>
    </rPh>
    <rPh sb="4" eb="5">
      <t>セ</t>
    </rPh>
    <phoneticPr fontId="13"/>
  </si>
  <si>
    <t>-</t>
  </si>
  <si>
    <t>尻貝</t>
    <rPh sb="0" eb="1">
      <t>シリ</t>
    </rPh>
    <rPh sb="1" eb="2">
      <t>ガイ</t>
    </rPh>
    <phoneticPr fontId="4"/>
  </si>
  <si>
    <t>1～8.4</t>
  </si>
  <si>
    <t>西泊</t>
    <rPh sb="0" eb="1">
      <t>ニシ</t>
    </rPh>
    <rPh sb="1" eb="2">
      <t>ト</t>
    </rPh>
    <phoneticPr fontId="4"/>
  </si>
  <si>
    <t>湾口</t>
    <rPh sb="0" eb="2">
      <t>ワンコウ</t>
    </rPh>
    <phoneticPr fontId="13"/>
  </si>
  <si>
    <t>爪白</t>
    <rPh sb="0" eb="1">
      <t>ツマ</t>
    </rPh>
    <rPh sb="1" eb="2">
      <t>ジロ</t>
    </rPh>
    <phoneticPr fontId="4"/>
  </si>
  <si>
    <t>1～6.5</t>
  </si>
  <si>
    <t>海中公園2号地・竜串１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</si>
  <si>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1～8.3</t>
  </si>
  <si>
    <t>海中公園2号地・竜串２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</si>
  <si>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1～7.2</t>
  </si>
  <si>
    <t>海中公園3号地・大碆</t>
    <rPh sb="0" eb="2">
      <t>カイチュウ</t>
    </rPh>
    <rPh sb="2" eb="4">
      <t>コウエン</t>
    </rPh>
    <rPh sb="5" eb="7">
      <t>ゴウチ</t>
    </rPh>
    <rPh sb="8" eb="9">
      <t>オオ</t>
    </rPh>
    <phoneticPr fontId="4"/>
  </si>
  <si>
    <t>大村碆</t>
    <rPh sb="0" eb="2">
      <t>オオムラ</t>
    </rPh>
    <rPh sb="2" eb="3">
      <t>ハ</t>
    </rPh>
    <phoneticPr fontId="4"/>
  </si>
  <si>
    <t>岩,転石,砂礫</t>
    <rPh sb="0" eb="1">
      <t>イワ</t>
    </rPh>
    <rPh sb="2" eb="3">
      <t>テン</t>
    </rPh>
    <rPh sb="3" eb="4">
      <t>セキ</t>
    </rPh>
    <rPh sb="5" eb="7">
      <t>サレキ</t>
    </rPh>
    <phoneticPr fontId="13"/>
  </si>
  <si>
    <t>1～6.9</t>
  </si>
  <si>
    <t>奈半利10号堤　内側</t>
    <rPh sb="5" eb="6">
      <t>ゴウ</t>
    </rPh>
    <rPh sb="6" eb="7">
      <t>ツツミ</t>
    </rPh>
    <rPh sb="8" eb="10">
      <t>ウチガワ</t>
    </rPh>
    <phoneticPr fontId="4"/>
  </si>
  <si>
    <t>離岸堤内側</t>
    <rPh sb="0" eb="3">
      <t>リガンテイ</t>
    </rPh>
    <rPh sb="3" eb="5">
      <t>ウチガワ</t>
    </rPh>
    <phoneticPr fontId="13"/>
  </si>
  <si>
    <t>コンクリートブロック</t>
  </si>
  <si>
    <t>奈半利7号堤　外側</t>
    <rPh sb="4" eb="5">
      <t>ゴウ</t>
    </rPh>
    <rPh sb="5" eb="6">
      <t>ツツミ</t>
    </rPh>
    <rPh sb="7" eb="9">
      <t>ソトガワ</t>
    </rPh>
    <phoneticPr fontId="4"/>
  </si>
  <si>
    <t>離岸堤外側</t>
    <rPh sb="0" eb="3">
      <t>リガンテイ</t>
    </rPh>
    <rPh sb="3" eb="5">
      <t>ソトガワ</t>
    </rPh>
    <phoneticPr fontId="13"/>
  </si>
  <si>
    <t>奈半利5号堤　内側</t>
    <rPh sb="4" eb="5">
      <t>ゴウ</t>
    </rPh>
    <rPh sb="5" eb="6">
      <t>ツツミ</t>
    </rPh>
    <rPh sb="7" eb="9">
      <t>ウチガワ</t>
    </rPh>
    <phoneticPr fontId="4"/>
  </si>
  <si>
    <t>田野2号堤　内側</t>
    <rPh sb="0" eb="2">
      <t>タノ</t>
    </rPh>
    <rPh sb="3" eb="5">
      <t>ゴウテイ</t>
    </rPh>
    <rPh sb="6" eb="8">
      <t>ウチガワ</t>
    </rPh>
    <phoneticPr fontId="4"/>
  </si>
  <si>
    <t>徳島県</t>
    <rPh sb="0" eb="3">
      <t>トクシマケン</t>
    </rPh>
    <phoneticPr fontId="4"/>
  </si>
  <si>
    <t>金目</t>
    <rPh sb="0" eb="2">
      <t>カナメ</t>
    </rPh>
    <phoneticPr fontId="4"/>
  </si>
  <si>
    <t>岩・砂</t>
    <rPh sb="0" eb="1">
      <t>イワ</t>
    </rPh>
    <rPh sb="2" eb="3">
      <t>スナ</t>
    </rPh>
    <phoneticPr fontId="13"/>
  </si>
  <si>
    <t>海中公園1号地・沖側</t>
    <rPh sb="0" eb="2">
      <t>カイチュウ</t>
    </rPh>
    <rPh sb="2" eb="4">
      <t>コウエン</t>
    </rPh>
    <rPh sb="5" eb="7">
      <t>ゴウチ</t>
    </rPh>
    <rPh sb="8" eb="10">
      <t>オキガワ</t>
    </rPh>
    <phoneticPr fontId="4"/>
  </si>
  <si>
    <t>海中公園1号地・水路側</t>
    <rPh sb="0" eb="2">
      <t>カイチュウ</t>
    </rPh>
    <rPh sb="2" eb="4">
      <t>コウエン</t>
    </rPh>
    <rPh sb="5" eb="7">
      <t>ゴウチ</t>
    </rPh>
    <rPh sb="8" eb="10">
      <t>スイロ</t>
    </rPh>
    <rPh sb="10" eb="11">
      <t>ガワ</t>
    </rPh>
    <phoneticPr fontId="4"/>
  </si>
  <si>
    <t>海中公園2号地・竹ヶ島</t>
    <rPh sb="0" eb="2">
      <t>カイチュウ</t>
    </rPh>
    <rPh sb="2" eb="4">
      <t>コウエン</t>
    </rPh>
    <rPh sb="5" eb="7">
      <t>ゴウチ</t>
    </rPh>
    <rPh sb="8" eb="11">
      <t>タケガシマ</t>
    </rPh>
    <phoneticPr fontId="4"/>
  </si>
  <si>
    <t>海中公園2号地・二子島</t>
    <rPh sb="0" eb="2">
      <t>カイチュウ</t>
    </rPh>
    <rPh sb="2" eb="4">
      <t>コウエン</t>
    </rPh>
    <rPh sb="5" eb="7">
      <t>ゴウチ</t>
    </rPh>
    <rPh sb="8" eb="11">
      <t>フタゴジマ</t>
    </rPh>
    <phoneticPr fontId="4"/>
  </si>
  <si>
    <t>大島・海中公園1号地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</si>
  <si>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岩・礫</t>
    <rPh sb="0" eb="1">
      <t>イワ</t>
    </rPh>
    <rPh sb="2" eb="3">
      <t>レキ</t>
    </rPh>
    <phoneticPr fontId="13"/>
  </si>
  <si>
    <t>8～17</t>
  </si>
  <si>
    <t>大島・海中公園2号地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</si>
  <si>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大島・ビシャゴ</t>
    <rPh sb="0" eb="2">
      <t>オオシマ</t>
    </rPh>
    <phoneticPr fontId="4"/>
  </si>
  <si>
    <t>岩・転石</t>
    <rPh sb="0" eb="1">
      <t>イワ</t>
    </rPh>
    <rPh sb="2" eb="4">
      <t>テンセキ</t>
    </rPh>
    <phoneticPr fontId="13"/>
  </si>
  <si>
    <t>5～19</t>
  </si>
  <si>
    <t>大島・内湾</t>
    <rPh sb="0" eb="2">
      <t>オオシマ</t>
    </rPh>
    <rPh sb="3" eb="4">
      <t>ナイ</t>
    </rPh>
    <rPh sb="4" eb="5">
      <t>ワン</t>
    </rPh>
    <phoneticPr fontId="4"/>
  </si>
  <si>
    <t>湾内</t>
    <rPh sb="0" eb="1">
      <t>ワン</t>
    </rPh>
    <rPh sb="1" eb="2">
      <t>ナイ</t>
    </rPh>
    <phoneticPr fontId="13"/>
  </si>
  <si>
    <t>6～20</t>
  </si>
  <si>
    <t>大島・チエバの下</t>
    <rPh sb="0" eb="2">
      <t>オオシマ</t>
    </rPh>
    <rPh sb="7" eb="8">
      <t>シタ</t>
    </rPh>
    <phoneticPr fontId="3"/>
  </si>
  <si>
    <t>モニタリング基盤ＷＢ</t>
    <rPh sb="6" eb="8">
      <t>キバン</t>
    </rPh>
    <phoneticPr fontId="3"/>
  </si>
  <si>
    <t>湾内</t>
    <rPh sb="0" eb="2">
      <t>ワンナイ</t>
    </rPh>
    <phoneticPr fontId="6"/>
  </si>
  <si>
    <t>岩・砂</t>
    <rPh sb="0" eb="1">
      <t>イワ</t>
    </rPh>
    <rPh sb="2" eb="3">
      <t>スナ</t>
    </rPh>
    <phoneticPr fontId="6"/>
  </si>
  <si>
    <t>大手の浜・灯台下</t>
    <rPh sb="0" eb="2">
      <t>オオテ</t>
    </rPh>
    <rPh sb="3" eb="4">
      <t>ハマ</t>
    </rPh>
    <rPh sb="5" eb="7">
      <t>トウダイ</t>
    </rPh>
    <rPh sb="7" eb="8">
      <t>シタ</t>
    </rPh>
    <phoneticPr fontId="13"/>
  </si>
  <si>
    <t>内湾</t>
    <rPh sb="0" eb="2">
      <t>ナイワン</t>
    </rPh>
    <phoneticPr fontId="3"/>
  </si>
  <si>
    <t>岩・砂地</t>
    <rPh sb="0" eb="1">
      <t>イワ</t>
    </rPh>
    <rPh sb="2" eb="4">
      <t>スナジ</t>
    </rPh>
    <phoneticPr fontId="13"/>
  </si>
  <si>
    <t>大手の浜・海風荘下</t>
    <rPh sb="0" eb="2">
      <t>オオテ</t>
    </rPh>
    <rPh sb="3" eb="4">
      <t>ハマ</t>
    </rPh>
    <rPh sb="5" eb="7">
      <t>カイフウ</t>
    </rPh>
    <rPh sb="7" eb="8">
      <t>ソウ</t>
    </rPh>
    <rPh sb="8" eb="9">
      <t>シタ</t>
    </rPh>
    <phoneticPr fontId="13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</si>
  <si>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3"/>
  </si>
  <si>
    <t>鹿児島県南部沿岸</t>
    <rPh sb="0" eb="4">
      <t>カゴシマケン</t>
    </rPh>
    <rPh sb="4" eb="6">
      <t>ナンブ</t>
    </rPh>
    <rPh sb="6" eb="8">
      <t>エンガン</t>
    </rPh>
    <phoneticPr fontId="3"/>
  </si>
  <si>
    <t>身代湾入口</t>
    <rPh sb="0" eb="2">
      <t>ミガ</t>
    </rPh>
    <rPh sb="2" eb="3">
      <t>ワン</t>
    </rPh>
    <rPh sb="3" eb="5">
      <t>イリグチ</t>
    </rPh>
    <phoneticPr fontId="19"/>
  </si>
  <si>
    <t>小湾入口</t>
    <rPh sb="0" eb="2">
      <t>ショウワン</t>
    </rPh>
    <rPh sb="2" eb="4">
      <t>イリグチ</t>
    </rPh>
    <phoneticPr fontId="3"/>
  </si>
  <si>
    <t>角礫</t>
    <rPh sb="0" eb="2">
      <t>カクレキレキ</t>
    </rPh>
    <phoneticPr fontId="4"/>
  </si>
  <si>
    <t>6.4～9.9</t>
  </si>
  <si>
    <t>観音崎東</t>
    <rPh sb="0" eb="3">
      <t>カンノンザキ</t>
    </rPh>
    <rPh sb="3" eb="4">
      <t>ヒガシ</t>
    </rPh>
    <phoneticPr fontId="19"/>
  </si>
  <si>
    <t>岩礁入江</t>
    <rPh sb="0" eb="2">
      <t>ガンショウ</t>
    </rPh>
    <rPh sb="2" eb="4">
      <t>イリエ</t>
    </rPh>
    <phoneticPr fontId="3"/>
  </si>
  <si>
    <t>岩礁、角礫</t>
    <rPh sb="0" eb="2">
      <t>ガンショウ</t>
    </rPh>
    <rPh sb="3" eb="4">
      <t>カク</t>
    </rPh>
    <rPh sb="4" eb="5">
      <t>レキ</t>
    </rPh>
    <phoneticPr fontId="4"/>
  </si>
  <si>
    <t>3.4～9.6</t>
  </si>
  <si>
    <t>沖小島 （立神）</t>
    <rPh sb="0" eb="3">
      <t>オキコジマ</t>
    </rPh>
    <rPh sb="5" eb="6">
      <t>タ</t>
    </rPh>
    <rPh sb="6" eb="7">
      <t>カミ</t>
    </rPh>
    <phoneticPr fontId="19"/>
  </si>
  <si>
    <t>島入江</t>
    <rPh sb="0" eb="1">
      <t>シマ</t>
    </rPh>
    <rPh sb="1" eb="3">
      <t>イリエ</t>
    </rPh>
    <phoneticPr fontId="3"/>
  </si>
  <si>
    <t>礫</t>
    <rPh sb="0" eb="1">
      <t>レキ</t>
    </rPh>
    <phoneticPr fontId="4"/>
  </si>
  <si>
    <t>3.0～4.5</t>
  </si>
  <si>
    <t>神瀬</t>
    <rPh sb="0" eb="1">
      <t>カミ</t>
    </rPh>
    <rPh sb="1" eb="2">
      <t>セ</t>
    </rPh>
    <phoneticPr fontId="19"/>
  </si>
  <si>
    <t>干出瀬</t>
    <rPh sb="0" eb="1">
      <t>ヒ</t>
    </rPh>
    <rPh sb="1" eb="2">
      <t>シュツ</t>
    </rPh>
    <rPh sb="2" eb="3">
      <t>セ</t>
    </rPh>
    <phoneticPr fontId="3"/>
  </si>
  <si>
    <t>礫、砂</t>
    <rPh sb="0" eb="1">
      <t>レキ</t>
    </rPh>
    <rPh sb="2" eb="3">
      <t>スナ</t>
    </rPh>
    <phoneticPr fontId="4"/>
  </si>
  <si>
    <t>2.6～4.6</t>
  </si>
  <si>
    <t>岩礁、礫</t>
    <rPh sb="0" eb="2">
      <t>ガンショウ</t>
    </rPh>
    <rPh sb="3" eb="4">
      <t>レキ</t>
    </rPh>
    <phoneticPr fontId="4"/>
  </si>
  <si>
    <t>3～7.6</t>
  </si>
  <si>
    <t>佐田岬海中公園・岬側</t>
    <rPh sb="0" eb="3">
      <t>サダミサキ</t>
    </rPh>
    <rPh sb="3" eb="7">
      <t>カイチュウコウエン</t>
    </rPh>
    <rPh sb="8" eb="9">
      <t>ミサキ</t>
    </rPh>
    <rPh sb="9" eb="10">
      <t>ガワ</t>
    </rPh>
    <phoneticPr fontId="19"/>
  </si>
  <si>
    <t>岩礁、砂</t>
    <rPh sb="0" eb="2">
      <t>ガンショウ</t>
    </rPh>
    <rPh sb="3" eb="4">
      <t>スナ</t>
    </rPh>
    <phoneticPr fontId="4"/>
  </si>
  <si>
    <t>佐多岬海中公園・ビロウ島</t>
    <rPh sb="0" eb="3">
      <t>サタミサキ</t>
    </rPh>
    <rPh sb="3" eb="7">
      <t>カイチュウコウエン</t>
    </rPh>
    <rPh sb="11" eb="12">
      <t>ジマ</t>
    </rPh>
    <phoneticPr fontId="19"/>
  </si>
  <si>
    <t>島岩礁</t>
    <rPh sb="0" eb="1">
      <t>シマ</t>
    </rPh>
    <rPh sb="1" eb="3">
      <t>ガンショウ</t>
    </rPh>
    <phoneticPr fontId="3"/>
  </si>
  <si>
    <t>白木</t>
    <rPh sb="0" eb="2">
      <t>シロキ</t>
    </rPh>
    <phoneticPr fontId="19"/>
  </si>
  <si>
    <t>巨大礫</t>
    <rPh sb="0" eb="2">
      <t>キョダイ</t>
    </rPh>
    <rPh sb="2" eb="3">
      <t>レキ</t>
    </rPh>
    <phoneticPr fontId="4"/>
  </si>
  <si>
    <t>3～6</t>
  </si>
  <si>
    <t>赤水大龍　権現</t>
    <rPh sb="0" eb="2">
      <t>アカミズ</t>
    </rPh>
    <rPh sb="2" eb="3">
      <t>オオ</t>
    </rPh>
    <rPh sb="3" eb="4">
      <t>リュウ</t>
    </rPh>
    <rPh sb="5" eb="7">
      <t>ゴンゲン</t>
    </rPh>
    <phoneticPr fontId="19"/>
  </si>
  <si>
    <t>坊津・塩ケ浦</t>
    <rPh sb="3" eb="4">
      <t>シオ</t>
    </rPh>
    <rPh sb="5" eb="6">
      <t>ウラ</t>
    </rPh>
    <phoneticPr fontId="19"/>
  </si>
  <si>
    <t>坊津・馬込浜その1</t>
    <rPh sb="3" eb="4">
      <t>ウマ</t>
    </rPh>
    <rPh sb="4" eb="5">
      <t>コ</t>
    </rPh>
    <rPh sb="5" eb="6">
      <t>ハマ</t>
    </rPh>
    <phoneticPr fontId="19"/>
  </si>
  <si>
    <t>坊津・馬込浜その2</t>
    <rPh sb="0" eb="2">
      <t>ボウノツ</t>
    </rPh>
    <rPh sb="3" eb="4">
      <t>ウマ</t>
    </rPh>
    <rPh sb="4" eb="5">
      <t>コ</t>
    </rPh>
    <rPh sb="5" eb="6">
      <t>ハマ</t>
    </rPh>
    <phoneticPr fontId="19"/>
  </si>
  <si>
    <t>砂浜沖沈瀬</t>
    <rPh sb="0" eb="2">
      <t>スナハマ</t>
    </rPh>
    <rPh sb="2" eb="3">
      <t>オキ</t>
    </rPh>
    <rPh sb="3" eb="4">
      <t>シズ</t>
    </rPh>
    <rPh sb="4" eb="5">
      <t>セ</t>
    </rPh>
    <phoneticPr fontId="3"/>
  </si>
  <si>
    <t>坊津・平崎集会場下</t>
    <rPh sb="0" eb="2">
      <t>ボウノツ</t>
    </rPh>
    <rPh sb="3" eb="5">
      <t>ヒラサキ</t>
    </rPh>
    <rPh sb="5" eb="9">
      <t>シュウカイジョウシタ</t>
    </rPh>
    <phoneticPr fontId="19"/>
  </si>
  <si>
    <t>坊津・田平</t>
    <rPh sb="0" eb="2">
      <t>ボウノツ</t>
    </rPh>
    <rPh sb="3" eb="5">
      <t>タヒラ</t>
    </rPh>
    <phoneticPr fontId="19"/>
  </si>
  <si>
    <t>笠沙町・大当</t>
    <rPh sb="0" eb="3">
      <t>カササチョウ</t>
    </rPh>
    <rPh sb="4" eb="6">
      <t>ダイトウ</t>
    </rPh>
    <phoneticPr fontId="19"/>
  </si>
  <si>
    <t>開放海岸</t>
    <rPh sb="0" eb="4">
      <t>カイホウカイガン</t>
    </rPh>
    <phoneticPr fontId="3"/>
  </si>
  <si>
    <t>阿久根・桑島　　</t>
    <rPh sb="0" eb="3">
      <t>アクネ</t>
    </rPh>
    <rPh sb="4" eb="6">
      <t>クワシマ</t>
    </rPh>
    <phoneticPr fontId="19"/>
  </si>
  <si>
    <t>桑島西岸の浅瀬</t>
    <rPh sb="0" eb="2">
      <t>クワシマ</t>
    </rPh>
    <rPh sb="2" eb="4">
      <t>セイガン</t>
    </rPh>
    <rPh sb="5" eb="7">
      <t>アサセ</t>
    </rPh>
    <phoneticPr fontId="3"/>
  </si>
  <si>
    <t>長島・多々羅島</t>
    <rPh sb="0" eb="2">
      <t>ナガシマ</t>
    </rPh>
    <rPh sb="3" eb="6">
      <t>タタラ</t>
    </rPh>
    <rPh sb="6" eb="7">
      <t>ジマ</t>
    </rPh>
    <phoneticPr fontId="19"/>
  </si>
  <si>
    <t>多々羅島西岸</t>
    <rPh sb="0" eb="3">
      <t>タタラ</t>
    </rPh>
    <rPh sb="3" eb="4">
      <t>ジマ</t>
    </rPh>
    <rPh sb="4" eb="6">
      <t>セイガン</t>
    </rPh>
    <phoneticPr fontId="3"/>
  </si>
  <si>
    <t>4～9</t>
  </si>
  <si>
    <t>東町・加世堂湾</t>
    <rPh sb="0" eb="1">
      <t>ヒガシ</t>
    </rPh>
    <rPh sb="1" eb="2">
      <t>マチ</t>
    </rPh>
    <rPh sb="3" eb="6">
      <t>カセドウ</t>
    </rPh>
    <rPh sb="6" eb="7">
      <t>ワン</t>
    </rPh>
    <phoneticPr fontId="19"/>
  </si>
  <si>
    <t>湾内</t>
    <rPh sb="0" eb="2">
      <t>ワンナイ</t>
    </rPh>
    <phoneticPr fontId="3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</si>
  <si>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3"/>
  </si>
  <si>
    <t>天草周辺</t>
    <rPh sb="0" eb="2">
      <t>アマクサ</t>
    </rPh>
    <rPh sb="2" eb="4">
      <t>シュウヘン</t>
    </rPh>
    <phoneticPr fontId="3"/>
  </si>
  <si>
    <t>熊本県</t>
    <rPh sb="0" eb="3">
      <t>クマモトケン</t>
    </rPh>
    <phoneticPr fontId="4"/>
  </si>
  <si>
    <t>沈瀬</t>
    <rPh sb="0" eb="1">
      <t>シズ</t>
    </rPh>
    <rPh sb="1" eb="2">
      <t>セ</t>
    </rPh>
    <phoneticPr fontId="13"/>
  </si>
  <si>
    <t>岩礁、間に砂</t>
    <rPh sb="0" eb="2">
      <t>ガンショウ</t>
    </rPh>
    <rPh sb="3" eb="4">
      <t>アイダ</t>
    </rPh>
    <rPh sb="5" eb="6">
      <t>スナ</t>
    </rPh>
    <phoneticPr fontId="6"/>
  </si>
  <si>
    <t>岩礁開放海岸</t>
    <rPh sb="0" eb="2">
      <t>ガンショウ</t>
    </rPh>
    <rPh sb="2" eb="6">
      <t>カイホウカイガン</t>
    </rPh>
    <phoneticPr fontId="13"/>
  </si>
  <si>
    <t>岩礁一部円礫</t>
    <rPh sb="0" eb="2">
      <t>ガンショウ</t>
    </rPh>
    <rPh sb="2" eb="4">
      <t>イチブ</t>
    </rPh>
    <rPh sb="4" eb="5">
      <t>エンレキ</t>
    </rPh>
    <rPh sb="5" eb="6">
      <t>レキ</t>
    </rPh>
    <phoneticPr fontId="6"/>
  </si>
  <si>
    <t>天草海中公園、大ガ瀬対岸</t>
    <rPh sb="0" eb="2">
      <t>アマクサ</t>
    </rPh>
    <rPh sb="2" eb="4">
      <t>カイチュウ</t>
    </rPh>
    <rPh sb="4" eb="6">
      <t>コウエン</t>
    </rPh>
    <phoneticPr fontId="4"/>
  </si>
  <si>
    <t>岩礁、礫</t>
    <rPh sb="0" eb="2">
      <t>ガンショウ</t>
    </rPh>
    <rPh sb="3" eb="4">
      <t>レキ</t>
    </rPh>
    <phoneticPr fontId="6"/>
  </si>
  <si>
    <t>島入江</t>
    <rPh sb="0" eb="1">
      <t>シマ</t>
    </rPh>
    <rPh sb="1" eb="3">
      <t>イリエ</t>
    </rPh>
    <phoneticPr fontId="13"/>
  </si>
  <si>
    <t>砂浜入江</t>
    <rPh sb="0" eb="2">
      <t>スナハマ</t>
    </rPh>
    <rPh sb="2" eb="4">
      <t>イリエ</t>
    </rPh>
    <phoneticPr fontId="13"/>
  </si>
  <si>
    <t>岩礁、砂</t>
    <rPh sb="0" eb="2">
      <t>ガンショウ</t>
    </rPh>
    <rPh sb="3" eb="4">
      <t>スナ</t>
    </rPh>
    <phoneticPr fontId="6"/>
  </si>
  <si>
    <t>岩礁入江</t>
    <rPh sb="0" eb="2">
      <t>ガンショウ</t>
    </rPh>
    <rPh sb="2" eb="4">
      <t>イリエ</t>
    </rPh>
    <phoneticPr fontId="13"/>
  </si>
  <si>
    <t>岩礁、礫、砂</t>
    <rPh sb="0" eb="2">
      <t>ガンショウ</t>
    </rPh>
    <rPh sb="3" eb="4">
      <t>レキ</t>
    </rPh>
    <rPh sb="5" eb="6">
      <t>スナ</t>
    </rPh>
    <phoneticPr fontId="6"/>
  </si>
  <si>
    <t>礫</t>
    <rPh sb="0" eb="1">
      <t>レキ</t>
    </rPh>
    <phoneticPr fontId="6"/>
  </si>
  <si>
    <t>3～15</t>
  </si>
  <si>
    <t>片島南</t>
    <rPh sb="0" eb="2">
      <t>カタシマ</t>
    </rPh>
    <rPh sb="2" eb="3">
      <t>ミナミ</t>
    </rPh>
    <phoneticPr fontId="4"/>
  </si>
  <si>
    <t>砂月</t>
    <rPh sb="0" eb="1">
      <t>スナ</t>
    </rPh>
    <rPh sb="1" eb="2">
      <t>ツキ</t>
    </rPh>
    <phoneticPr fontId="3"/>
  </si>
  <si>
    <t>H17年度のみ茂串(No.6)の代替地として調査</t>
    <rPh sb="3" eb="5">
      <t>ネンド</t>
    </rPh>
    <rPh sb="7" eb="8">
      <t>モ</t>
    </rPh>
    <rPh sb="8" eb="9">
      <t>クシ</t>
    </rPh>
    <rPh sb="16" eb="19">
      <t>ダイタイチ</t>
    </rPh>
    <rPh sb="22" eb="24">
      <t>チョウサ</t>
    </rPh>
    <phoneticPr fontId="3"/>
  </si>
  <si>
    <t>注1：</t>
    <rPh sb="0" eb="1">
      <t>チュウ</t>
    </rPh>
    <phoneticPr fontId="3"/>
  </si>
  <si>
    <t>沖縄島の地点名＊はGPS値を地図より推定した</t>
    <rPh sb="0" eb="2">
      <t>オキナワ</t>
    </rPh>
    <rPh sb="2" eb="3">
      <t>シマ</t>
    </rPh>
    <rPh sb="4" eb="6">
      <t>チテン</t>
    </rPh>
    <rPh sb="6" eb="7">
      <t>ナ</t>
    </rPh>
    <rPh sb="12" eb="13">
      <t>チ</t>
    </rPh>
    <rPh sb="14" eb="16">
      <t>チズ</t>
    </rPh>
    <rPh sb="18" eb="20">
      <t>スイテイ</t>
    </rPh>
    <phoneticPr fontId="4"/>
  </si>
  <si>
    <t>沖縄島の地点名＊＊はGPS値を海岸より測定した</t>
    <rPh sb="0" eb="3">
      <t>オキナワジマ</t>
    </rPh>
    <rPh sb="4" eb="6">
      <t>チテン</t>
    </rPh>
    <rPh sb="6" eb="7">
      <t>ナ</t>
    </rPh>
    <rPh sb="13" eb="14">
      <t>チ</t>
    </rPh>
    <rPh sb="15" eb="17">
      <t>カイガン</t>
    </rPh>
    <rPh sb="19" eb="21">
      <t>ソクテイ</t>
    </rPh>
    <phoneticPr fontId="4"/>
  </si>
  <si>
    <t>北緯</t>
    <rPh sb="0" eb="2">
      <t>ホクイ</t>
    </rPh>
    <phoneticPr fontId="3"/>
  </si>
  <si>
    <t>東経</t>
    <rPh sb="0" eb="2">
      <t>トウケイ</t>
    </rPh>
    <phoneticPr fontId="3"/>
  </si>
  <si>
    <t>（海況不良により調査未実施）</t>
    <rPh sb="1" eb="2">
      <t>カイキョウ</t>
    </rPh>
    <rPh sb="2" eb="3">
      <t>キョウ</t>
    </rPh>
    <rPh sb="3" eb="5">
      <t>フリョウ</t>
    </rPh>
    <rPh sb="8" eb="10">
      <t>チョウサ</t>
    </rPh>
    <rPh sb="10" eb="13">
      <t>ミジッシ</t>
    </rPh>
    <phoneticPr fontId="3"/>
  </si>
  <si>
    <t>50×50</t>
    <phoneticPr fontId="3"/>
  </si>
  <si>
    <t>25゜01' 01.4"</t>
  </si>
  <si>
    <t>125゜14' 47.6"</t>
  </si>
  <si>
    <t>25゜00' 52.6"</t>
  </si>
  <si>
    <t>125゜15' 48.8"</t>
  </si>
  <si>
    <t>24゜59' 49.0"</t>
  </si>
  <si>
    <t>125゜14' 05.2"</t>
  </si>
  <si>
    <t>24゜59' 41.8"</t>
  </si>
  <si>
    <t>125゜15' 43.2"</t>
  </si>
  <si>
    <t>24°20′42.7″</t>
  </si>
  <si>
    <t>124°12′17.5″</t>
  </si>
  <si>
    <t>24°20′39.4″</t>
  </si>
  <si>
    <t>124°12′53.4″</t>
  </si>
  <si>
    <t>24°20′27.1″</t>
  </si>
  <si>
    <t>124°14′01.7″</t>
  </si>
  <si>
    <t>24°20′59.6″</t>
  </si>
  <si>
    <t>124°15′09.6″</t>
  </si>
  <si>
    <t>24°21′47.4″</t>
  </si>
  <si>
    <t>124°15′19.6″</t>
  </si>
  <si>
    <t>24°21′51.7″</t>
  </si>
  <si>
    <t>124°15′16.4″</t>
  </si>
  <si>
    <t>24°22′24.4″</t>
  </si>
  <si>
    <t>124°15′20.5″</t>
  </si>
  <si>
    <t>24°23′04.2″</t>
  </si>
  <si>
    <t>124°15′22.7″</t>
  </si>
  <si>
    <t>24°23′48.0″</t>
  </si>
  <si>
    <t>124°15′41.7″</t>
  </si>
  <si>
    <t>24°24′13.7″</t>
  </si>
  <si>
    <t>124°15′47.1″</t>
  </si>
  <si>
    <t>24°24′35.6″</t>
  </si>
  <si>
    <t>124°15′47.9″</t>
  </si>
  <si>
    <t>24°25′40.0″</t>
  </si>
  <si>
    <t>24°25′49.4″</t>
  </si>
  <si>
    <t>124°15′32.6″</t>
  </si>
  <si>
    <t>24°26′40.3″</t>
  </si>
  <si>
    <t>124°15′40.2″</t>
  </si>
  <si>
    <t>24°27′39.2″</t>
  </si>
  <si>
    <t>124°15′39.7″</t>
  </si>
  <si>
    <t>24°28′06.9″</t>
  </si>
  <si>
    <t>124°15′45.2″</t>
  </si>
  <si>
    <t>24°29′07.6″</t>
  </si>
  <si>
    <t>124°16′40.7″</t>
  </si>
  <si>
    <t>24°29′01.7″</t>
  </si>
  <si>
    <t>124°17′25.2″</t>
  </si>
  <si>
    <t>24°30′57.3″</t>
  </si>
  <si>
    <t>124°17′55.0″</t>
  </si>
  <si>
    <t>24°31′31.6″</t>
  </si>
  <si>
    <t>124°18′32.2″</t>
  </si>
  <si>
    <t>24°31′52.6″</t>
  </si>
  <si>
    <t>124°18′36.7″</t>
  </si>
  <si>
    <t>24°32′37.5″</t>
  </si>
  <si>
    <t>124°18′23.9″</t>
  </si>
  <si>
    <t>24°32′56.3″</t>
  </si>
  <si>
    <t>124°18′56.7″</t>
  </si>
  <si>
    <t>24°33′15.6″</t>
  </si>
  <si>
    <t>124°19′11.2″</t>
  </si>
  <si>
    <t>24°33′36.8″</t>
  </si>
  <si>
    <t>124°19′34.9″</t>
  </si>
  <si>
    <t>24°33′44.3″</t>
  </si>
  <si>
    <t>124°20′06.4″</t>
  </si>
  <si>
    <t>24°34′08.2″</t>
  </si>
  <si>
    <t>124°20′26.3″</t>
  </si>
  <si>
    <t>24°34′55.0″</t>
  </si>
  <si>
    <t>124°20′57.9″</t>
  </si>
  <si>
    <t>24°35′33.6″</t>
  </si>
  <si>
    <t>124°20′55.1″</t>
  </si>
  <si>
    <t>24°36′14.2″</t>
  </si>
  <si>
    <t>124°20′45.0″</t>
  </si>
  <si>
    <t>24°36′14.8″</t>
  </si>
  <si>
    <t>124°20′31.7″</t>
  </si>
  <si>
    <t>24°36′44.2″</t>
  </si>
  <si>
    <t>124°19′53.4″</t>
  </si>
  <si>
    <t>24°36′48.8″</t>
  </si>
  <si>
    <t>124°19′17.9″</t>
  </si>
  <si>
    <t>24°36′19.1″</t>
  </si>
  <si>
    <t>124°18′35.6″</t>
  </si>
  <si>
    <t>24°36′00.1″</t>
  </si>
  <si>
    <t>124°18′23.2″</t>
  </si>
  <si>
    <t>24°35′01.4″</t>
  </si>
  <si>
    <t>124°18′00.1″</t>
  </si>
  <si>
    <t>24°34′19.1″</t>
  </si>
  <si>
    <t>124°17′31.8″</t>
  </si>
  <si>
    <t>24°33′48.0″</t>
  </si>
  <si>
    <t>124°16′55.5″</t>
  </si>
  <si>
    <t>24°33′00.4″</t>
  </si>
  <si>
    <t>124°17′07.0″</t>
  </si>
  <si>
    <t>24°31′13.0″</t>
  </si>
  <si>
    <t>124°15′22.9″</t>
  </si>
  <si>
    <t>24°30′34.3″</t>
  </si>
  <si>
    <t>124°14′26.9″</t>
  </si>
  <si>
    <t>24°30′11.5″</t>
  </si>
  <si>
    <t>124°13′51.8″</t>
  </si>
  <si>
    <t>24°29′57.6″</t>
  </si>
  <si>
    <t>124°13′38.2″</t>
  </si>
  <si>
    <t>24°29′32.1″</t>
  </si>
  <si>
    <t>124°13′07.7″</t>
  </si>
  <si>
    <t>24°28′43.3″</t>
  </si>
  <si>
    <t>124°13′08.2″</t>
  </si>
  <si>
    <t>24°28′09.4″</t>
  </si>
  <si>
    <t>124°13′09.1″</t>
  </si>
  <si>
    <t>24°27′41.7″</t>
  </si>
  <si>
    <t>124°12′31.0″</t>
  </si>
  <si>
    <t>24°27′33.7″</t>
  </si>
  <si>
    <t>124°12′03.7″</t>
  </si>
  <si>
    <t>24°27′12.8″</t>
  </si>
  <si>
    <t>124°11′02.7″</t>
  </si>
  <si>
    <t>24°27′02.6″</t>
  </si>
  <si>
    <t>124°10′22.9″</t>
  </si>
  <si>
    <t>24°27′05.4″</t>
  </si>
  <si>
    <t>124°10′07.1″</t>
  </si>
  <si>
    <t>24°27′25.6″</t>
  </si>
  <si>
    <t>124°09′18.9″</t>
  </si>
  <si>
    <t>24°27′49.8″</t>
  </si>
  <si>
    <t>124°08′58.0″</t>
  </si>
  <si>
    <t>24°28′07.6″</t>
  </si>
  <si>
    <t>124°08′50.2″</t>
  </si>
  <si>
    <t>24°28′10.5″</t>
  </si>
  <si>
    <t>124°08′43.9″</t>
  </si>
  <si>
    <t>24°28′21.9″</t>
  </si>
  <si>
    <t>124°08′40.8″</t>
  </si>
  <si>
    <t>24°28′52.2″</t>
  </si>
  <si>
    <t>124°08′04.5″</t>
  </si>
  <si>
    <t>24°29′04.2″</t>
  </si>
  <si>
    <t>124°07′25.6″</t>
  </si>
  <si>
    <t>24°29′03.1″</t>
  </si>
  <si>
    <t>124°07′06.8″</t>
  </si>
  <si>
    <t>24°28′32.3″</t>
  </si>
  <si>
    <t>124°06′41.6″</t>
  </si>
  <si>
    <t>24°28′11.6″</t>
  </si>
  <si>
    <t>124°06′54.3″</t>
  </si>
  <si>
    <t>24°27′27.2″</t>
  </si>
  <si>
    <t>124°06′40.7″</t>
  </si>
  <si>
    <t>24°27′28.9″</t>
  </si>
  <si>
    <t>124°06′20.1″</t>
  </si>
  <si>
    <t>24°27′17.2″</t>
  </si>
  <si>
    <t>124°05′19.7″</t>
  </si>
  <si>
    <t>24°27′04.1″</t>
  </si>
  <si>
    <t>124°04′33.3″</t>
  </si>
  <si>
    <t>24°26′41.0″</t>
  </si>
  <si>
    <t>124°04′30.1″</t>
  </si>
  <si>
    <t>24°26′01.0″</t>
  </si>
  <si>
    <t>124°04′11.8″</t>
  </si>
  <si>
    <t>24°25′38.9″</t>
  </si>
  <si>
    <t>124°04′13.6″</t>
  </si>
  <si>
    <t>24°25′20.5″</t>
  </si>
  <si>
    <t>124°04′36.1″</t>
  </si>
  <si>
    <t>24°25′15.1″</t>
  </si>
  <si>
    <t>124°05′23.7″</t>
  </si>
  <si>
    <t>24°22′51.0″</t>
  </si>
  <si>
    <t>124°07′00.9″</t>
  </si>
  <si>
    <t>24°21′51.4″</t>
  </si>
  <si>
    <t>124°06′33.4″</t>
  </si>
  <si>
    <t>24°19′40.4″</t>
  </si>
  <si>
    <t>124°10′33.1″</t>
  </si>
  <si>
    <t>24°25′33.9″</t>
  </si>
  <si>
    <t>124°06′41.9″</t>
  </si>
  <si>
    <t>24°24′31.8″</t>
  </si>
  <si>
    <t>124°08′11.1″</t>
  </si>
  <si>
    <t>　124ﾟ 00' 23.554"</t>
  </si>
  <si>
    <t>　123ﾟ 59' 51.702"</t>
  </si>
  <si>
    <t>　123ﾟ 59' 39.163"</t>
  </si>
  <si>
    <t>　123ﾟ 59' 34.505"</t>
  </si>
  <si>
    <t>　123ﾟ 56' 57.574"</t>
  </si>
  <si>
    <t>　123ﾟ 56' 55.474"</t>
  </si>
  <si>
    <t>　124ﾟ 01' 58.746"</t>
  </si>
  <si>
    <t>　124ﾟ 02' 04.745"</t>
  </si>
  <si>
    <t>　124ﾟ 02' 19.243"</t>
  </si>
  <si>
    <t>　124ﾟ 04' 02.149"</t>
  </si>
  <si>
    <t>　124ﾟ 03' 43.844"</t>
  </si>
  <si>
    <t>　124ﾟ 05' 06.144"</t>
  </si>
  <si>
    <t>　124ﾟ 05' 33.442"</t>
  </si>
  <si>
    <t>　124ﾟ 06' 02.840"</t>
  </si>
  <si>
    <t>　123ﾟ 56' 32.676"</t>
  </si>
  <si>
    <t>　123ﾟ 56' 34.877"</t>
  </si>
  <si>
    <t>　123ﾟ 56' 46.277"</t>
  </si>
  <si>
    <t>　123ﾟ 56' 54.177"</t>
  </si>
  <si>
    <t>　124ﾟ 01' 11.549"</t>
  </si>
  <si>
    <t>　124ﾟ 01' 18.449"</t>
  </si>
  <si>
    <t>　123ﾟ 59' 23.365"</t>
  </si>
  <si>
    <t>　123ﾟ 58' 28.070"</t>
  </si>
  <si>
    <t>　123ﾟ 57' 18.375"</t>
  </si>
  <si>
    <t>　124ﾟ 00' 32.853"</t>
  </si>
  <si>
    <t>　124ﾟ 04' 14.748"</t>
  </si>
  <si>
    <t>　123ﾟ 56' 59.778"</t>
  </si>
  <si>
    <t>　124ﾟ 03' 12.955"</t>
  </si>
  <si>
    <t>　124ﾟ 04' 04.750"</t>
  </si>
  <si>
    <t>　124ﾟ 06' 27.538"</t>
  </si>
  <si>
    <t>　124ﾟ 06' 32.438"</t>
  </si>
  <si>
    <t>　124ﾟ 07' 42.134"</t>
  </si>
  <si>
    <t>　124ﾟ 08' 33.629"</t>
  </si>
  <si>
    <t>　124ﾟ 08' 58.327"</t>
  </si>
  <si>
    <t>　124ﾟ 09' 09.128"</t>
  </si>
  <si>
    <t>　124ﾟ 08' 02.933"</t>
  </si>
  <si>
    <t>　124ﾟ 06' 38.452"</t>
  </si>
  <si>
    <t>　124ﾟ 05' 46.930"</t>
  </si>
  <si>
    <t>　124ﾟ 06' 16.597"</t>
  </si>
  <si>
    <t>　124ﾟ 06' 38.238"</t>
  </si>
  <si>
    <t>　124ﾟ 07' 24.435"</t>
  </si>
  <si>
    <t>　124ﾟ 08' 32.430"</t>
  </si>
  <si>
    <t>　124ﾟ 03' 17.155"</t>
  </si>
  <si>
    <t>　124ﾟ 09' 24.728"</t>
  </si>
  <si>
    <t>　124ﾟ 04' 38.548"</t>
  </si>
  <si>
    <t>　124ﾟ 05' 27.945"</t>
  </si>
  <si>
    <t>　124ﾟ 06' 30.040"</t>
  </si>
  <si>
    <t>　124ﾟ 00' 28.035"</t>
  </si>
  <si>
    <t>　124ﾟ 01' 01.730"</t>
  </si>
  <si>
    <t>　123ﾟ 59' 52.636"</t>
  </si>
  <si>
    <t>　123ﾟ 59' 49.037"</t>
  </si>
  <si>
    <t>　123ﾟ 59' 59.144"</t>
  </si>
  <si>
    <t>　124ﾟ 00' 17.246"</t>
  </si>
  <si>
    <t>　124ﾟ 00' 53.239"</t>
  </si>
  <si>
    <t>　124ﾟ 00' 51.045"</t>
  </si>
  <si>
    <t>　123ﾟ 56' 57.873"</t>
  </si>
  <si>
    <t>　123ﾟ 57' 47.526"</t>
  </si>
  <si>
    <t>　124ﾟ 00' 54.938"</t>
  </si>
  <si>
    <t>　124ﾟ 01' 19.036"</t>
  </si>
  <si>
    <t>　124ﾟ 01' 13.436"</t>
  </si>
  <si>
    <t>　123ﾟ 56' 12.075"</t>
  </si>
  <si>
    <t>　123ﾟ 56' 01.177"</t>
  </si>
  <si>
    <t>　123ﾟ 55' 51.277"</t>
  </si>
  <si>
    <t>　123ﾟ 55' 32.879"</t>
  </si>
  <si>
    <t>　123ﾟ 58' 47.021"</t>
  </si>
  <si>
    <t>　123ﾟ 56' 17.953"</t>
  </si>
  <si>
    <t>　124ﾟ 02' 07.124"</t>
  </si>
  <si>
    <t>　123ﾟ 58' 07.198"</t>
  </si>
  <si>
    <t>　123ﾟ 56' 37.274"</t>
  </si>
  <si>
    <t>　124ﾟ 01' 12.236"</t>
  </si>
  <si>
    <t>　123ﾟ 55' 02.562"</t>
  </si>
  <si>
    <t>　124ﾟ 02' 05.025"</t>
  </si>
  <si>
    <t>　124ﾟ 02' 14.724"</t>
  </si>
  <si>
    <t>　123ﾟ 59' 16.839"</t>
  </si>
  <si>
    <t>　123ﾟ 59' 36.736"</t>
  </si>
  <si>
    <t>　123ﾟ 59' 56.133"</t>
  </si>
  <si>
    <t>　124ﾟ 00' 27.631"</t>
  </si>
  <si>
    <t>　124ﾟ 02' 04.624"</t>
  </si>
  <si>
    <t>　124ﾟ 01' 38.228"</t>
  </si>
  <si>
    <t>　123ﾟ 57' 10.749"</t>
  </si>
  <si>
    <t>　123ﾟ 55' 48.555"</t>
  </si>
  <si>
    <t>　123ﾟ 56' 00.753"</t>
  </si>
  <si>
    <t>　123ﾟ 56' 02.352"</t>
  </si>
  <si>
    <t>　123ﾟ 54' 55.357"</t>
  </si>
  <si>
    <t>　123ﾟ 55' 07.456"</t>
  </si>
  <si>
    <t>　124ﾟ 01' 08.228"</t>
  </si>
  <si>
    <t>　124ﾟ 00' 00.333"</t>
  </si>
  <si>
    <t>　123ﾟ 56' 16.751"</t>
  </si>
  <si>
    <t>　123ﾟ 59' 40.735"</t>
  </si>
  <si>
    <t>　124ﾟ 00' 30.230"</t>
  </si>
  <si>
    <t>　124ﾟ 01' 49.524"</t>
  </si>
  <si>
    <t>　124ﾟ 02' 04.525"</t>
  </si>
  <si>
    <t>　123ﾟ 57' 47.845"</t>
  </si>
  <si>
    <t>　123ﾟ 56' 21.350"</t>
  </si>
  <si>
    <t>　123ﾟ 54' 29.859"</t>
  </si>
  <si>
    <t>　123ﾟ 55' 18.257"</t>
  </si>
  <si>
    <t>　123ﾟ 54' 40.464"</t>
  </si>
  <si>
    <t>　123ﾟ 53' 50.454"</t>
  </si>
  <si>
    <t>　123ﾟ 58' 04.945"</t>
  </si>
  <si>
    <t>　123ﾟ 48' 57.524"</t>
  </si>
  <si>
    <t>　123ﾟ 50' 12.322"</t>
  </si>
  <si>
    <t>　123ﾟ 50' 00.623"</t>
  </si>
  <si>
    <t>　123ﾟ 48' 31.530"</t>
  </si>
  <si>
    <t>　123ﾟ 46' 28.836"</t>
  </si>
  <si>
    <t>　123ﾟ 44' 16.635"</t>
  </si>
  <si>
    <t>　123ﾟ 42' 24.942"</t>
  </si>
  <si>
    <t>　123ﾟ 41' 10.051"</t>
  </si>
  <si>
    <t>　123ﾟ 40' 34.450"</t>
  </si>
  <si>
    <t>　123ﾟ 41' 30.186"</t>
  </si>
  <si>
    <t>　123ﾟ 43' 52.031"</t>
  </si>
  <si>
    <t>　123ﾟ 43' 56.231"</t>
  </si>
  <si>
    <t>　123ﾟ 45' 46.621"</t>
  </si>
  <si>
    <t>　123ﾟ 51' 55.590"</t>
  </si>
  <si>
    <t>　123ﾟ 43' 47.139"</t>
  </si>
  <si>
    <t>　123ﾟ 42' 21.649"</t>
  </si>
  <si>
    <t>129°16'39.2''</t>
  </si>
  <si>
    <t>129°39'17.3''</t>
  </si>
  <si>
    <t>129°39'51.3''</t>
  </si>
  <si>
    <t>（船の固定ができず経緯度測定未実施。調査は実施）</t>
    <rPh sb="1" eb="2">
      <t>フネ</t>
    </rPh>
    <rPh sb="3" eb="5">
      <t>コテイ</t>
    </rPh>
    <rPh sb="9" eb="11">
      <t>ケイイ</t>
    </rPh>
    <rPh sb="11" eb="12">
      <t>ド</t>
    </rPh>
    <rPh sb="12" eb="14">
      <t>ソクテイ</t>
    </rPh>
    <rPh sb="18" eb="20">
      <t>チョウサ</t>
    </rPh>
    <rPh sb="21" eb="23">
      <t>ジッシ</t>
    </rPh>
    <phoneticPr fontId="3"/>
  </si>
  <si>
    <t>33゜02’36.6”</t>
  </si>
  <si>
    <t>132゜29’05.6”</t>
  </si>
  <si>
    <t>32゜57’05.5”</t>
  </si>
  <si>
    <t>132゜27’21.3”</t>
  </si>
  <si>
    <t>32゜55’44.3”</t>
  </si>
  <si>
    <t>132゜34’04.7”</t>
  </si>
  <si>
    <t>32゜52’43.3”</t>
  </si>
  <si>
    <t>132゜41’24.0”</t>
  </si>
  <si>
    <t>32゜51’54.8”</t>
  </si>
  <si>
    <t>132゜40’15.4”</t>
  </si>
  <si>
    <t>32゜49’28.6”</t>
  </si>
  <si>
    <t>132゜38’57.3”</t>
  </si>
  <si>
    <t>32゜46’22.4”</t>
  </si>
  <si>
    <t>132゜37’26.1”</t>
  </si>
  <si>
    <t>32゜45’14.4”</t>
  </si>
  <si>
    <t>132゜32’53.4”</t>
  </si>
  <si>
    <t>32゜44’43.8”</t>
  </si>
  <si>
    <t>132゜34’10.8”</t>
  </si>
  <si>
    <t>32゜47’51.5”</t>
  </si>
  <si>
    <t>132゜42’32.9”</t>
  </si>
  <si>
    <t>32゜46’35.4”</t>
  </si>
  <si>
    <t>132゜43’55.4”</t>
  </si>
  <si>
    <t>32゜47’04.7”</t>
  </si>
  <si>
    <t>132゜51’16.9”</t>
  </si>
  <si>
    <t>32゜47’12.6”</t>
  </si>
  <si>
    <t>132゜51’49.8”</t>
  </si>
  <si>
    <t>32゜47’09.3”</t>
  </si>
  <si>
    <t>132゜51’54.0”</t>
  </si>
  <si>
    <t>32゜46’55.1”</t>
  </si>
  <si>
    <t>132゜52’03.4”</t>
  </si>
  <si>
    <t>32゜45’43.4”</t>
  </si>
  <si>
    <t>132゜52’09.1”</t>
  </si>
  <si>
    <t>33゜24’17.7”</t>
  </si>
  <si>
    <t>134゜01’54.8”</t>
  </si>
  <si>
    <t>33゜24’40.4”</t>
  </si>
  <si>
    <t>134゜01’47.5”</t>
  </si>
  <si>
    <t>33゜24’53.3”</t>
  </si>
  <si>
    <t>134゜01’31.8”</t>
  </si>
  <si>
    <t>33゜25’23.5”</t>
  </si>
  <si>
    <t>134゜00’22.7”</t>
  </si>
  <si>
    <t>130°35′28.2″</t>
    <phoneticPr fontId="4"/>
  </si>
  <si>
    <t>30°59′57.0″</t>
    <phoneticPr fontId="4"/>
  </si>
  <si>
    <t>130°40′05.0″</t>
    <phoneticPr fontId="4"/>
  </si>
  <si>
    <t>30°59′46.6″</t>
    <phoneticPr fontId="4"/>
  </si>
  <si>
    <t>130°40′14.8″</t>
    <phoneticPr fontId="4"/>
  </si>
  <si>
    <t>31°16′41.7″</t>
    <phoneticPr fontId="4"/>
  </si>
  <si>
    <t>131°06′43.0″</t>
    <phoneticPr fontId="4"/>
  </si>
  <si>
    <t>31°15′28.1″</t>
    <phoneticPr fontId="4"/>
  </si>
  <si>
    <t>130°15′31.0″</t>
    <phoneticPr fontId="4"/>
  </si>
  <si>
    <t>31°15′23.5″</t>
    <phoneticPr fontId="4"/>
  </si>
  <si>
    <t>130°13′56.6″</t>
    <phoneticPr fontId="4"/>
  </si>
  <si>
    <t>31°19′02.8″</t>
    <phoneticPr fontId="4"/>
  </si>
  <si>
    <t>130°12′13.8″</t>
    <phoneticPr fontId="4"/>
  </si>
  <si>
    <t>31°19′09.9″</t>
    <phoneticPr fontId="4"/>
  </si>
  <si>
    <t>130°12′17.9″</t>
    <phoneticPr fontId="4"/>
  </si>
  <si>
    <t>31°20′32.7″</t>
    <phoneticPr fontId="4"/>
  </si>
  <si>
    <t>130°12′26.1″</t>
    <phoneticPr fontId="4"/>
  </si>
  <si>
    <t>緯度経度チェック出来ず</t>
    <rPh sb="0" eb="4">
      <t>イドケイド</t>
    </rPh>
    <rPh sb="8" eb="10">
      <t>デキ</t>
    </rPh>
    <phoneticPr fontId="4"/>
  </si>
  <si>
    <t>31°25′25.0″</t>
    <phoneticPr fontId="4"/>
  </si>
  <si>
    <t>130°10′12.4″</t>
    <phoneticPr fontId="4"/>
  </si>
  <si>
    <t>岩礁・礫</t>
    <phoneticPr fontId="3"/>
  </si>
  <si>
    <t>富岡海中公園１号、つつま瀬</t>
    <phoneticPr fontId="4"/>
  </si>
  <si>
    <t>32°31′24.5″</t>
    <phoneticPr fontId="4"/>
  </si>
  <si>
    <t>130°00′58.2″</t>
    <phoneticPr fontId="4"/>
  </si>
  <si>
    <t>富岡海中公園２号、白岩崎</t>
    <phoneticPr fontId="4"/>
  </si>
  <si>
    <t>32°31′07.1″</t>
    <phoneticPr fontId="4"/>
  </si>
  <si>
    <t>130°01′34.5″</t>
    <phoneticPr fontId="4"/>
  </si>
  <si>
    <t>天草海中公園、大ガ瀬</t>
    <phoneticPr fontId="4"/>
  </si>
  <si>
    <t>32°20′40.9″</t>
    <phoneticPr fontId="4"/>
  </si>
  <si>
    <t>129°58′03.7″</t>
    <phoneticPr fontId="4"/>
  </si>
  <si>
    <t>32°20′55.8″</t>
    <phoneticPr fontId="4"/>
  </si>
  <si>
    <t>129°58′37.7″</t>
    <phoneticPr fontId="4"/>
  </si>
  <si>
    <t>海中公園、桑島</t>
    <phoneticPr fontId="4"/>
  </si>
  <si>
    <t>32°12′01.3″</t>
    <phoneticPr fontId="4"/>
  </si>
  <si>
    <t>129°58′32.1″</t>
    <phoneticPr fontId="4"/>
  </si>
  <si>
    <t>茂串（白浜）</t>
    <phoneticPr fontId="4"/>
  </si>
  <si>
    <t>32°12′18.8″</t>
    <phoneticPr fontId="4"/>
  </si>
  <si>
    <t>129°59′35.9″</t>
    <phoneticPr fontId="4"/>
  </si>
  <si>
    <t>大島北</t>
    <phoneticPr fontId="4"/>
  </si>
  <si>
    <t>32°11′12.4″</t>
    <phoneticPr fontId="4"/>
  </si>
  <si>
    <t>129°58′06.7″</t>
    <phoneticPr fontId="4"/>
  </si>
  <si>
    <t>牛深海中公園１号、鶴崎</t>
    <phoneticPr fontId="4"/>
  </si>
  <si>
    <t>32°11′35.2″</t>
    <phoneticPr fontId="4"/>
  </si>
  <si>
    <t>129°59′37.7″</t>
    <phoneticPr fontId="4"/>
  </si>
  <si>
    <t>大島港西</t>
    <phoneticPr fontId="4"/>
  </si>
  <si>
    <t>32°10′45.9″</t>
    <phoneticPr fontId="4"/>
  </si>
  <si>
    <t>129°57′59.8″</t>
    <phoneticPr fontId="4"/>
  </si>
  <si>
    <t>片島</t>
    <phoneticPr fontId="4"/>
  </si>
  <si>
    <t>32°08′59.7″</t>
    <phoneticPr fontId="4"/>
  </si>
  <si>
    <t>129°58′30.4″</t>
    <phoneticPr fontId="4"/>
  </si>
  <si>
    <t>春這</t>
    <phoneticPr fontId="4"/>
  </si>
  <si>
    <t>32°10′50.2″</t>
    <phoneticPr fontId="4"/>
  </si>
  <si>
    <t>130°01′15.1″</t>
    <phoneticPr fontId="4"/>
  </si>
  <si>
    <t>平瀬</t>
    <phoneticPr fontId="4"/>
  </si>
  <si>
    <t>32°09′57.0″</t>
    <phoneticPr fontId="4"/>
  </si>
  <si>
    <t>130°00′28.0″</t>
    <phoneticPr fontId="4"/>
  </si>
  <si>
    <t>牛深海中公園３号、築ノ島</t>
    <phoneticPr fontId="4"/>
  </si>
  <si>
    <t>32°09′19.7″</t>
    <phoneticPr fontId="4"/>
  </si>
  <si>
    <t>130°02′34.7″</t>
    <phoneticPr fontId="4"/>
  </si>
  <si>
    <t>牛深海中公園４号、法ヶ島南側</t>
    <phoneticPr fontId="4"/>
  </si>
  <si>
    <t>32°09′42.0″</t>
    <phoneticPr fontId="4"/>
  </si>
  <si>
    <t>130°03′16.6″</t>
    <phoneticPr fontId="4"/>
  </si>
  <si>
    <t>32°08′37.5″</t>
    <phoneticPr fontId="4"/>
  </si>
  <si>
    <t>129°58′19.0″</t>
    <phoneticPr fontId="4"/>
  </si>
  <si>
    <t>サイトNo.</t>
    <phoneticPr fontId="3"/>
  </si>
  <si>
    <t>北緯
(度）</t>
    <phoneticPr fontId="3"/>
  </si>
  <si>
    <t>北緯
(分）</t>
    <phoneticPr fontId="3"/>
  </si>
  <si>
    <t>北緯
(秒）</t>
    <phoneticPr fontId="3"/>
  </si>
  <si>
    <t>東経
(分）</t>
    <phoneticPr fontId="3"/>
  </si>
  <si>
    <t>観察
範囲
(m)</t>
    <phoneticPr fontId="3"/>
  </si>
  <si>
    <t>水深
範囲
(m）</t>
    <phoneticPr fontId="3"/>
  </si>
  <si>
    <t>屋久島　志戸子</t>
    <phoneticPr fontId="3"/>
  </si>
  <si>
    <t>30°26′42.13″</t>
    <phoneticPr fontId="4"/>
  </si>
  <si>
    <t>130°31′26.84″</t>
    <phoneticPr fontId="4"/>
  </si>
  <si>
    <t xml:space="preserve">30°27′06.45″  </t>
    <phoneticPr fontId="4"/>
  </si>
  <si>
    <t>130°30′04.71″</t>
    <phoneticPr fontId="4"/>
  </si>
  <si>
    <t xml:space="preserve">30°27′28.49″  </t>
    <phoneticPr fontId="4"/>
  </si>
  <si>
    <t>130°30′08.02″</t>
    <phoneticPr fontId="4"/>
  </si>
  <si>
    <t xml:space="preserve">30°27′32.12″  </t>
    <phoneticPr fontId="4"/>
  </si>
  <si>
    <t xml:space="preserve">30°27′14.68″ </t>
    <phoneticPr fontId="4"/>
  </si>
  <si>
    <t>130°29′28.08″</t>
    <phoneticPr fontId="4"/>
  </si>
  <si>
    <t xml:space="preserve">30°26′44.38″  </t>
    <phoneticPr fontId="4"/>
  </si>
  <si>
    <t>30°16′07.30″ </t>
    <phoneticPr fontId="4"/>
  </si>
  <si>
    <t>屋久島　七瀬　</t>
    <phoneticPr fontId="8"/>
  </si>
  <si>
    <t xml:space="preserve">30°14′47.73″  </t>
    <phoneticPr fontId="4"/>
  </si>
  <si>
    <t>30°14′41.65″</t>
    <phoneticPr fontId="4"/>
  </si>
  <si>
    <t xml:space="preserve">30°13′47.67″ </t>
    <phoneticPr fontId="4"/>
  </si>
  <si>
    <t>130°28′45.52″</t>
    <phoneticPr fontId="4"/>
  </si>
  <si>
    <t>30°27′58.97″</t>
    <phoneticPr fontId="4"/>
  </si>
  <si>
    <t>130°13′55.17″</t>
    <phoneticPr fontId="4"/>
  </si>
  <si>
    <t>30°28′54.57″</t>
    <phoneticPr fontId="4"/>
  </si>
  <si>
    <t>130°10′12.52″</t>
    <phoneticPr fontId="4"/>
  </si>
  <si>
    <t xml:space="preserve">30°45′14.88″ </t>
    <phoneticPr fontId="4"/>
  </si>
  <si>
    <t>30°23′56.94″</t>
    <phoneticPr fontId="4"/>
  </si>
  <si>
    <t>130°59′07.08″</t>
    <phoneticPr fontId="4"/>
  </si>
  <si>
    <t xml:space="preserve">30°39′44.36″ </t>
    <phoneticPr fontId="4"/>
  </si>
  <si>
    <t>30°48′17.27″</t>
    <phoneticPr fontId="4"/>
  </si>
  <si>
    <t>30°46′20.80″</t>
    <phoneticPr fontId="4"/>
  </si>
  <si>
    <t>堆積岩</t>
    <phoneticPr fontId="3"/>
  </si>
  <si>
    <t>2～3</t>
    <phoneticPr fontId="3"/>
  </si>
  <si>
    <t>28°28′15.9″</t>
    <phoneticPr fontId="9"/>
  </si>
  <si>
    <t>129°38′53.3″</t>
    <phoneticPr fontId="9"/>
  </si>
  <si>
    <t>28°24′38.7″</t>
    <phoneticPr fontId="9"/>
  </si>
  <si>
    <t>129°41′24.1″</t>
    <phoneticPr fontId="9"/>
  </si>
  <si>
    <t>28°24′09.3″</t>
    <phoneticPr fontId="9"/>
  </si>
  <si>
    <t>129°38′15.0″</t>
    <phoneticPr fontId="9"/>
  </si>
  <si>
    <t>28°25′45.1″</t>
    <phoneticPr fontId="9"/>
  </si>
  <si>
    <t>129°35′53.8″</t>
    <phoneticPr fontId="9"/>
  </si>
  <si>
    <t>28°28′39.6″</t>
    <phoneticPr fontId="9"/>
  </si>
  <si>
    <t>129°36′35.3″</t>
    <phoneticPr fontId="9"/>
  </si>
  <si>
    <t>28°20′15.2″</t>
    <phoneticPr fontId="9"/>
  </si>
  <si>
    <t>129°34′02.9″</t>
    <phoneticPr fontId="9"/>
  </si>
  <si>
    <t>28°19′12.7″</t>
    <phoneticPr fontId="9"/>
  </si>
  <si>
    <t>129°32′03.5″</t>
    <phoneticPr fontId="9"/>
  </si>
  <si>
    <t>28°24′46.2″</t>
    <phoneticPr fontId="9"/>
  </si>
  <si>
    <t>129°27′40.5″</t>
    <phoneticPr fontId="9"/>
  </si>
  <si>
    <t>28°24′08.1″</t>
    <phoneticPr fontId="9"/>
  </si>
  <si>
    <t>129°27′10.9″</t>
    <phoneticPr fontId="9"/>
  </si>
  <si>
    <t>28°20′46.0″</t>
    <phoneticPr fontId="9"/>
  </si>
  <si>
    <t>129°18′45.5″</t>
    <phoneticPr fontId="9"/>
  </si>
  <si>
    <t>28°17′33.4″</t>
    <phoneticPr fontId="9"/>
  </si>
  <si>
    <t>129°28′31.6″</t>
    <phoneticPr fontId="9"/>
  </si>
  <si>
    <t>28°11′59.3″</t>
    <phoneticPr fontId="9"/>
  </si>
  <si>
    <t>129°12′08.0″</t>
    <phoneticPr fontId="9"/>
  </si>
  <si>
    <t>28°11′19.6″</t>
    <phoneticPr fontId="9"/>
  </si>
  <si>
    <t>129°14′37.8″</t>
    <phoneticPr fontId="9"/>
  </si>
  <si>
    <t>28°09′37.2″</t>
    <phoneticPr fontId="9"/>
  </si>
  <si>
    <t>129°17′35.1″</t>
    <phoneticPr fontId="9"/>
  </si>
  <si>
    <t>28°06′42.2″</t>
    <phoneticPr fontId="9"/>
  </si>
  <si>
    <t>129°20′49.4″</t>
    <phoneticPr fontId="9"/>
  </si>
  <si>
    <t>26°04′32.9″</t>
    <phoneticPr fontId="3"/>
  </si>
  <si>
    <t>127°40′28.3″</t>
    <phoneticPr fontId="3"/>
  </si>
  <si>
    <t>礁斜面</t>
    <phoneticPr fontId="3"/>
  </si>
  <si>
    <t>200×100</t>
    <phoneticPr fontId="3"/>
  </si>
  <si>
    <t>26°05′25.7″</t>
    <phoneticPr fontId="3"/>
  </si>
  <si>
    <t>127°42′32.5″</t>
    <phoneticPr fontId="4"/>
  </si>
  <si>
    <t>礁池</t>
    <phoneticPr fontId="3"/>
  </si>
  <si>
    <t>26°05′22.8″</t>
    <phoneticPr fontId="3"/>
  </si>
  <si>
    <t>127°43′08.9″</t>
    <phoneticPr fontId="4"/>
  </si>
  <si>
    <t>26°07′39.8″</t>
    <phoneticPr fontId="3"/>
  </si>
  <si>
    <t>127°46′17.3″</t>
    <phoneticPr fontId="3"/>
  </si>
  <si>
    <t>26°08′31.1″</t>
    <phoneticPr fontId="3"/>
  </si>
  <si>
    <t>127°51′10.0″</t>
    <phoneticPr fontId="3"/>
  </si>
  <si>
    <t>26°09′01.7″</t>
    <phoneticPr fontId="3"/>
  </si>
  <si>
    <t>127°53′16.3″</t>
    <phoneticPr fontId="4"/>
  </si>
  <si>
    <t>26°10′36.6″</t>
    <phoneticPr fontId="3"/>
  </si>
  <si>
    <t>127°55′49.0″</t>
    <phoneticPr fontId="4"/>
  </si>
  <si>
    <t>26°14′44.1″</t>
    <phoneticPr fontId="3"/>
  </si>
  <si>
    <t>127°57′19.5″</t>
    <phoneticPr fontId="4"/>
  </si>
  <si>
    <t>26°17′02.2″</t>
    <phoneticPr fontId="3"/>
  </si>
  <si>
    <t>127°59′17.2″</t>
    <phoneticPr fontId="4"/>
  </si>
  <si>
    <t>26°23′01.5″</t>
    <phoneticPr fontId="3"/>
  </si>
  <si>
    <t>127°59′53.2″</t>
    <phoneticPr fontId="4"/>
  </si>
  <si>
    <t>礁斜面/礁池</t>
    <phoneticPr fontId="3"/>
  </si>
  <si>
    <t>慶佐次ウッパマ東</t>
    <phoneticPr fontId="3"/>
  </si>
  <si>
    <t>26°35′55.9″</t>
    <phoneticPr fontId="3"/>
  </si>
  <si>
    <t>128°09′24.5″</t>
    <phoneticPr fontId="3"/>
  </si>
  <si>
    <t>26°36′53.2″</t>
    <phoneticPr fontId="3"/>
  </si>
  <si>
    <t>128°10′50.1″</t>
    <phoneticPr fontId="3"/>
  </si>
  <si>
    <t>26°40′07.1″</t>
    <phoneticPr fontId="3"/>
  </si>
  <si>
    <t>128°16′19.0″</t>
    <phoneticPr fontId="3"/>
  </si>
  <si>
    <t>安波南</t>
    <phoneticPr fontId="3"/>
  </si>
  <si>
    <t>26°42′26.3″</t>
    <phoneticPr fontId="3"/>
  </si>
  <si>
    <t>128°17′38.7″</t>
    <phoneticPr fontId="3"/>
  </si>
  <si>
    <t>カツセノ崎南</t>
    <phoneticPr fontId="3"/>
  </si>
  <si>
    <t>26°43′10.7″</t>
    <phoneticPr fontId="3"/>
  </si>
  <si>
    <t>128°18′11.6″</t>
    <phoneticPr fontId="3"/>
  </si>
  <si>
    <t>イシキナ崎南</t>
    <phoneticPr fontId="3"/>
  </si>
  <si>
    <t>26°43′40.9″</t>
    <phoneticPr fontId="3"/>
  </si>
  <si>
    <t>128°18′40.4″</t>
    <phoneticPr fontId="3"/>
  </si>
  <si>
    <t>安田ヶ島南</t>
    <phoneticPr fontId="3"/>
  </si>
  <si>
    <t>26°44′18.3″</t>
    <phoneticPr fontId="3"/>
  </si>
  <si>
    <t>128°20′18.2″</t>
    <phoneticPr fontId="3"/>
  </si>
  <si>
    <t>26°49′14.7″</t>
    <phoneticPr fontId="3"/>
  </si>
  <si>
    <t>128°18′49.0″</t>
    <phoneticPr fontId="4"/>
  </si>
  <si>
    <t>128°17′09.3″</t>
    <phoneticPr fontId="4"/>
  </si>
  <si>
    <t>砂・岩</t>
    <phoneticPr fontId="3"/>
  </si>
  <si>
    <t>ジャナセ</t>
    <phoneticPr fontId="3"/>
  </si>
  <si>
    <t>真栄田岬西大礁池</t>
    <phoneticPr fontId="3"/>
  </si>
  <si>
    <t>岩</t>
    <phoneticPr fontId="3"/>
  </si>
  <si>
    <t>1～9</t>
    <phoneticPr fontId="3"/>
  </si>
  <si>
    <t>200x100</t>
    <phoneticPr fontId="3"/>
  </si>
  <si>
    <t>1～5</t>
    <phoneticPr fontId="3"/>
  </si>
  <si>
    <t>1～11</t>
    <phoneticPr fontId="3"/>
  </si>
  <si>
    <t>ウカハ岩西</t>
    <phoneticPr fontId="3"/>
  </si>
  <si>
    <t>26°38′44.9″</t>
    <phoneticPr fontId="3"/>
  </si>
  <si>
    <t>127°49′30.0″</t>
    <phoneticPr fontId="4"/>
  </si>
  <si>
    <t>200ｘ100</t>
    <phoneticPr fontId="3"/>
  </si>
  <si>
    <t>26°40′39.9″</t>
    <phoneticPr fontId="3"/>
  </si>
  <si>
    <t>127°49′21.0″</t>
    <phoneticPr fontId="4"/>
  </si>
  <si>
    <t>26°43′09.6″</t>
    <phoneticPr fontId="3"/>
  </si>
  <si>
    <t>127°44′34.1″</t>
    <phoneticPr fontId="4"/>
  </si>
  <si>
    <t>26°43′20.3″</t>
    <phoneticPr fontId="3"/>
  </si>
  <si>
    <t>127°50′06.7″</t>
    <phoneticPr fontId="4"/>
  </si>
  <si>
    <t>26°44′05.0″</t>
    <phoneticPr fontId="3"/>
  </si>
  <si>
    <t>127°47′21.5″</t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</si>
  <si>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12'06.3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</si>
  <si>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19'03.6 E</t>
    </r>
    <phoneticPr fontId="3"/>
  </si>
  <si>
    <t>100×100</t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</si>
  <si>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13'54.8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</si>
  <si>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o18</t>
    </r>
    <r>
      <rPr>
        <sz val="9"/>
        <rFont val="ＭＳ Ｐゴシック"/>
        <family val="3"/>
        <charset val="128"/>
      </rPr>
      <t>'53.2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</si>
  <si>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13'30.6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</si>
  <si>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17'08.9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</si>
  <si>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12'52.6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</si>
  <si>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17'14.0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</si>
  <si>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12'07.9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</si>
  <si>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17'21.5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</si>
  <si>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12'11.3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</si>
  <si>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16'01.8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</si>
  <si>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11'40.8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</si>
  <si>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16'21.4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</si>
  <si>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11'11.4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</si>
  <si>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16'50.5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</si>
  <si>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12'41.8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</si>
  <si>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15'04.7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</si>
  <si>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09'53.9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</si>
  <si>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14'33.7 E</t>
    </r>
    <phoneticPr fontId="3"/>
  </si>
  <si>
    <t>池間島北カギンミ</t>
    <phoneticPr fontId="9"/>
  </si>
  <si>
    <t>24゜56' 29.5"</t>
    <phoneticPr fontId="3"/>
  </si>
  <si>
    <t>125゜14' 43.1"</t>
    <phoneticPr fontId="3"/>
  </si>
  <si>
    <t>1～6</t>
    <phoneticPr fontId="3"/>
  </si>
  <si>
    <t>池間島東チュラビジ</t>
    <phoneticPr fontId="9"/>
  </si>
  <si>
    <t>24゜55' 52.4"</t>
    <phoneticPr fontId="3"/>
  </si>
  <si>
    <t>125゜15' 42.4"</t>
    <phoneticPr fontId="3"/>
  </si>
  <si>
    <t>平良狩俣西</t>
    <phoneticPr fontId="9"/>
  </si>
  <si>
    <t>24゜55' 01.2"</t>
    <phoneticPr fontId="3"/>
  </si>
  <si>
    <t>125゜15' 33.6"</t>
    <phoneticPr fontId="3"/>
  </si>
  <si>
    <t>2～10</t>
    <phoneticPr fontId="3"/>
  </si>
  <si>
    <t>伊良部下地島カヤッファ</t>
    <phoneticPr fontId="9"/>
  </si>
  <si>
    <t>24゜48' 45.3"</t>
    <phoneticPr fontId="3"/>
  </si>
  <si>
    <t>125゜08' 35.0"</t>
    <phoneticPr fontId="3"/>
  </si>
  <si>
    <t>伊良部下地島渡口沖離礁</t>
    <phoneticPr fontId="9"/>
  </si>
  <si>
    <t>24゜47' 52.1"</t>
    <phoneticPr fontId="3"/>
  </si>
  <si>
    <t>125゜09' 42.9"</t>
    <phoneticPr fontId="3"/>
  </si>
  <si>
    <t>来間島東ヨコターラ</t>
    <phoneticPr fontId="9"/>
  </si>
  <si>
    <t>24゜43' 10.0"</t>
    <phoneticPr fontId="3"/>
  </si>
  <si>
    <t>125゜15' 51.4"</t>
    <phoneticPr fontId="3"/>
  </si>
  <si>
    <t>2～12</t>
    <phoneticPr fontId="3"/>
  </si>
  <si>
    <t>上野博愛沖友利大ビセ</t>
    <phoneticPr fontId="9"/>
  </si>
  <si>
    <t>24゜42' 50.5"</t>
    <phoneticPr fontId="3"/>
  </si>
  <si>
    <t>125゜19' 49.0"</t>
    <phoneticPr fontId="3"/>
  </si>
  <si>
    <t>城辺吉野海岸</t>
    <phoneticPr fontId="9"/>
  </si>
  <si>
    <t>24゜44' 54.0"</t>
    <phoneticPr fontId="3"/>
  </si>
  <si>
    <t>125゜26' 35.2"</t>
    <phoneticPr fontId="3"/>
  </si>
  <si>
    <t>城辺ツフツワ干瀬北</t>
    <phoneticPr fontId="9"/>
  </si>
  <si>
    <t>2～5</t>
    <phoneticPr fontId="3"/>
  </si>
  <si>
    <t>1～8</t>
    <phoneticPr fontId="3"/>
  </si>
  <si>
    <t>1～10</t>
    <phoneticPr fontId="3"/>
  </si>
  <si>
    <t>八重干瀬クンカディ・ガマ</t>
    <rPh sb="0" eb="2">
      <t>ヤエ</t>
    </rPh>
    <rPh sb="2" eb="3">
      <t>カン</t>
    </rPh>
    <rPh sb="3" eb="4">
      <t>セ</t>
    </rPh>
    <phoneticPr fontId="3"/>
  </si>
  <si>
    <t>2014年スムトゥビジ南より名称変更．</t>
    <phoneticPr fontId="3"/>
  </si>
  <si>
    <t>石西礁湖北部</t>
    <phoneticPr fontId="3"/>
  </si>
  <si>
    <t>小浜島周辺</t>
    <phoneticPr fontId="3"/>
  </si>
  <si>
    <t>24ﾟ 20' 43.472"</t>
    <phoneticPr fontId="3"/>
  </si>
  <si>
    <t>離礁</t>
    <phoneticPr fontId="3"/>
  </si>
  <si>
    <t>24ﾟ 21' 26.484"</t>
    <phoneticPr fontId="3"/>
  </si>
  <si>
    <t>24ﾟ 21' 48.305"</t>
    <phoneticPr fontId="3"/>
  </si>
  <si>
    <t>24ﾟ 20' 59.987"</t>
    <phoneticPr fontId="3"/>
  </si>
  <si>
    <t>24ﾟ 19' 35.720"</t>
    <phoneticPr fontId="3"/>
  </si>
  <si>
    <t>24ﾟ 19' 35.820"</t>
    <phoneticPr fontId="3"/>
  </si>
  <si>
    <t>24ﾟ 20' 31.673"</t>
    <phoneticPr fontId="3"/>
  </si>
  <si>
    <t>24ﾟ 20' 56.271"</t>
    <phoneticPr fontId="3"/>
  </si>
  <si>
    <t>24ﾟ 21' 29.768"</t>
    <phoneticPr fontId="3"/>
  </si>
  <si>
    <t>24ﾟ 20' 35.885"</t>
    <phoneticPr fontId="3"/>
  </si>
  <si>
    <t>24ﾟ 21' 05.889"</t>
    <phoneticPr fontId="3"/>
  </si>
  <si>
    <t>24ﾟ 20' 51.183"</t>
    <phoneticPr fontId="3"/>
  </si>
  <si>
    <t>24ﾟ 20' 44.582"</t>
    <phoneticPr fontId="3"/>
  </si>
  <si>
    <t>24ﾟ 20' 21.284"</t>
    <phoneticPr fontId="3"/>
  </si>
  <si>
    <t>24ﾟ 19' 41.720"</t>
    <phoneticPr fontId="3"/>
  </si>
  <si>
    <t>24ﾟ 19' 56.418"</t>
    <phoneticPr fontId="3"/>
  </si>
  <si>
    <t>24ﾟ 20' 54.512"</t>
    <phoneticPr fontId="3"/>
  </si>
  <si>
    <t>24ﾟ 21' 32.108"</t>
    <phoneticPr fontId="3"/>
  </si>
  <si>
    <t>24ﾟ 20' 10.775"</t>
    <phoneticPr fontId="3"/>
  </si>
  <si>
    <t>24ﾟ 21' 45.166"</t>
    <phoneticPr fontId="3"/>
  </si>
  <si>
    <t>24ﾟ 21' 52.166"</t>
    <phoneticPr fontId="3"/>
  </si>
  <si>
    <t>　124ﾟ 02' 29.642"</t>
    <phoneticPr fontId="3"/>
  </si>
  <si>
    <t>24ﾟ 22' 10.768"　</t>
    <phoneticPr fontId="3"/>
  </si>
  <si>
    <t>　124ﾟ 00' 34.765"</t>
    <phoneticPr fontId="3"/>
  </si>
  <si>
    <t>24ﾟ 22' 12.903"</t>
    <phoneticPr fontId="3"/>
  </si>
  <si>
    <t>24ﾟ 22' 16.902"</t>
    <phoneticPr fontId="3"/>
  </si>
  <si>
    <t>24ﾟ 21' 33.508"</t>
    <phoneticPr fontId="3"/>
  </si>
  <si>
    <t>24ﾟ 20' 09.475"</t>
    <phoneticPr fontId="3"/>
  </si>
  <si>
    <t>24ﾟ 20' 19.686"</t>
    <phoneticPr fontId="3"/>
  </si>
  <si>
    <t>24ﾟ 22' 16.804"</t>
    <phoneticPr fontId="3"/>
  </si>
  <si>
    <t>石西礁湖東部</t>
    <phoneticPr fontId="3"/>
  </si>
  <si>
    <t>カタグァー周辺</t>
    <phoneticPr fontId="3"/>
  </si>
  <si>
    <t>24ﾟ 18' 28.993"</t>
    <phoneticPr fontId="3"/>
  </si>
  <si>
    <t>24ﾟ 18' 52.592"</t>
    <phoneticPr fontId="3"/>
  </si>
  <si>
    <t>24ﾟ 19' 19.187"</t>
    <phoneticPr fontId="3"/>
  </si>
  <si>
    <t>24ﾟ 18' 42.190"</t>
    <phoneticPr fontId="3"/>
  </si>
  <si>
    <t>24ﾟ 17' 25.899"</t>
    <phoneticPr fontId="3"/>
  </si>
  <si>
    <t>24ﾟ 17' 05.301"</t>
    <phoneticPr fontId="3"/>
  </si>
  <si>
    <t>24ﾟ 17' 07.701"</t>
    <phoneticPr fontId="3"/>
  </si>
  <si>
    <t>24ﾟ 16' 28.404"</t>
    <phoneticPr fontId="3"/>
  </si>
  <si>
    <t>24ﾟ 16' 03.808"</t>
    <phoneticPr fontId="3"/>
  </si>
  <si>
    <t>24ﾟ 15' 08.613"</t>
    <phoneticPr fontId="3"/>
  </si>
  <si>
    <t>24ﾟ 15' 32.310"</t>
    <phoneticPr fontId="3"/>
  </si>
  <si>
    <t>24ﾟ 14' 50.416"</t>
    <phoneticPr fontId="3"/>
  </si>
  <si>
    <t>24ﾟ 18' 46.789"</t>
    <phoneticPr fontId="3"/>
  </si>
  <si>
    <t>24ﾟ 18' 15.493"</t>
    <phoneticPr fontId="3"/>
  </si>
  <si>
    <t>24ﾟ 17' 36.295"</t>
    <phoneticPr fontId="3"/>
  </si>
  <si>
    <t>24ﾟ 18' 01.995"</t>
    <phoneticPr fontId="3"/>
  </si>
  <si>
    <t>24ﾟ 16' 34.600"</t>
    <phoneticPr fontId="3"/>
  </si>
  <si>
    <t>24ﾟ 17' 53.097"</t>
    <phoneticPr fontId="3"/>
  </si>
  <si>
    <t>24ﾟ 17' 12.900"</t>
    <phoneticPr fontId="3"/>
  </si>
  <si>
    <t>24ﾟ 17' 11.800"</t>
    <phoneticPr fontId="3"/>
  </si>
  <si>
    <t>石西礁湖中央部</t>
    <phoneticPr fontId="3"/>
  </si>
  <si>
    <t>シモビシ～仲間崎沖</t>
    <phoneticPr fontId="3"/>
  </si>
  <si>
    <t>24ﾟ 16' 54.300"</t>
    <phoneticPr fontId="3"/>
  </si>
  <si>
    <t>24ﾟ 16' 40.001"</t>
    <phoneticPr fontId="3"/>
  </si>
  <si>
    <t>24ﾟ 15' 47.506"</t>
    <phoneticPr fontId="3"/>
  </si>
  <si>
    <t>24ﾟ 16' 06.204"</t>
    <phoneticPr fontId="3"/>
  </si>
  <si>
    <t>24ﾟ 18' 09.392"</t>
    <phoneticPr fontId="3"/>
  </si>
  <si>
    <t>24ﾟ 19' 26.982"</t>
    <phoneticPr fontId="3"/>
  </si>
  <si>
    <t>24ﾟ 19' 17.585"</t>
    <phoneticPr fontId="3"/>
  </si>
  <si>
    <t>24ﾟ 19' 31.081"</t>
    <phoneticPr fontId="3"/>
  </si>
  <si>
    <t>24ﾟ 18' 00.133"</t>
    <phoneticPr fontId="3"/>
  </si>
  <si>
    <t>24ﾟ 17' 04.325"</t>
    <phoneticPr fontId="3"/>
  </si>
  <si>
    <t>24ﾟ 18' 05.593"</t>
    <phoneticPr fontId="3"/>
  </si>
  <si>
    <t>24ﾟ 18' 49.188"</t>
    <phoneticPr fontId="3"/>
  </si>
  <si>
    <t>24ﾟ 19' 01.987"</t>
    <phoneticPr fontId="3"/>
  </si>
  <si>
    <t>24ﾟ 17' 30.137"</t>
    <phoneticPr fontId="3"/>
  </si>
  <si>
    <t>24ﾟ 18' 07.632"</t>
    <phoneticPr fontId="3"/>
  </si>
  <si>
    <t>24ﾟ 18' 15.632"</t>
    <phoneticPr fontId="3"/>
  </si>
  <si>
    <t>24ﾟ 18' 42.328"</t>
    <phoneticPr fontId="3"/>
  </si>
  <si>
    <t>24ﾟ 19' 33.305"</t>
    <phoneticPr fontId="3"/>
  </si>
  <si>
    <t>24ﾟ 15' 51.511"</t>
    <phoneticPr fontId="3"/>
  </si>
  <si>
    <t>24ﾟ 16' 38.702"</t>
    <phoneticPr fontId="3"/>
  </si>
  <si>
    <t>24ﾟ 18' 18.606"</t>
    <phoneticPr fontId="3"/>
  </si>
  <si>
    <t>24ﾟ 19' 02.725"</t>
    <phoneticPr fontId="3"/>
  </si>
  <si>
    <t>24ﾟ 18' 55.188"</t>
    <phoneticPr fontId="3"/>
  </si>
  <si>
    <t>24ﾟ 16' 21.611"</t>
    <phoneticPr fontId="3"/>
  </si>
  <si>
    <t>石西礁湖南部</t>
    <phoneticPr fontId="3"/>
  </si>
  <si>
    <t>24ﾟ 15' 50.307"</t>
    <phoneticPr fontId="3"/>
  </si>
  <si>
    <t>　124ﾟ 01' 48.026"</t>
    <phoneticPr fontId="3"/>
  </si>
  <si>
    <t>24ﾟ 16' 00.006"</t>
    <phoneticPr fontId="3"/>
  </si>
  <si>
    <t>24ﾟ 16' 26.204"</t>
    <phoneticPr fontId="3"/>
  </si>
  <si>
    <t>24ﾟ 15' 01.811"</t>
    <phoneticPr fontId="3"/>
  </si>
  <si>
    <t>24ﾟ 14' 05.817"</t>
    <phoneticPr fontId="3"/>
  </si>
  <si>
    <t>24ﾟ 13' 30.122"</t>
    <phoneticPr fontId="3"/>
  </si>
  <si>
    <t>24ﾟ 13' 01.225"</t>
    <phoneticPr fontId="3"/>
  </si>
  <si>
    <t>24ﾟ 13' 53.319"</t>
    <phoneticPr fontId="3"/>
  </si>
  <si>
    <t>24ﾟ 15' 05.112"</t>
    <phoneticPr fontId="3"/>
  </si>
  <si>
    <t>24ﾟ 14' 38.517"</t>
    <phoneticPr fontId="3"/>
  </si>
  <si>
    <t>24ﾟ 14' 30.518"</t>
    <phoneticPr fontId="3"/>
  </si>
  <si>
    <t>24ﾟ 13' 56.623"</t>
    <phoneticPr fontId="3"/>
  </si>
  <si>
    <t>24ﾟ 13' 27.026"</t>
    <phoneticPr fontId="3"/>
  </si>
  <si>
    <t>24ﾟ 12' 59.931"</t>
    <phoneticPr fontId="3"/>
  </si>
  <si>
    <t>24ﾟ 12' 56.431"</t>
    <phoneticPr fontId="3"/>
  </si>
  <si>
    <t>24ﾟ 13' 20.423"</t>
    <phoneticPr fontId="3"/>
  </si>
  <si>
    <t>24ﾟ 13' 17.123"</t>
    <phoneticPr fontId="3"/>
  </si>
  <si>
    <t>24ﾟ 13' 21.627"</t>
    <phoneticPr fontId="3"/>
  </si>
  <si>
    <t>24ﾟ 13' 47.120"</t>
    <phoneticPr fontId="3"/>
  </si>
  <si>
    <t>24ﾟ 12' 40.228"</t>
    <phoneticPr fontId="3"/>
  </si>
  <si>
    <t>24ﾟ 13' 20.523"</t>
    <phoneticPr fontId="3"/>
  </si>
  <si>
    <t>24ﾟ 15' 04.612"</t>
    <phoneticPr fontId="3"/>
  </si>
  <si>
    <t>24ﾟ 14' 10.419"</t>
    <phoneticPr fontId="3"/>
  </si>
  <si>
    <t>24ﾟ 12' 22.234"</t>
    <phoneticPr fontId="3"/>
  </si>
  <si>
    <t>24ﾟ 13' 10.330"</t>
    <phoneticPr fontId="3"/>
  </si>
  <si>
    <t>24ﾟ 13' 41.825"</t>
    <phoneticPr fontId="3"/>
  </si>
  <si>
    <t>24ﾟ 15' 13.817"</t>
    <phoneticPr fontId="3"/>
  </si>
  <si>
    <t>24ﾟ 14' 37.250"</t>
    <phoneticPr fontId="3"/>
  </si>
  <si>
    <t>24ﾟ 15' 25.810"</t>
    <phoneticPr fontId="3"/>
  </si>
  <si>
    <t>西表島と周辺離島</t>
    <phoneticPr fontId="3"/>
  </si>
  <si>
    <t>24ﾟ 13' 46.020"</t>
    <phoneticPr fontId="4"/>
  </si>
  <si>
    <t>　123ﾟ 59' 38.535"</t>
    <phoneticPr fontId="3"/>
  </si>
  <si>
    <t>24ﾟ 25' 27.293"</t>
    <phoneticPr fontId="4"/>
  </si>
  <si>
    <t>　123ﾟ 51' 16.511"</t>
    <phoneticPr fontId="3"/>
  </si>
  <si>
    <t>24ﾟ 26' 05.494"</t>
    <phoneticPr fontId="4"/>
  </si>
  <si>
    <t>24ﾟ 27' 10.285"</t>
    <phoneticPr fontId="3"/>
  </si>
  <si>
    <t>24ﾟ 27' 07.485"</t>
    <phoneticPr fontId="3"/>
  </si>
  <si>
    <t>24ﾟ 27' 14.986"</t>
    <phoneticPr fontId="3"/>
  </si>
  <si>
    <t>24ﾟ 26' 22.594"</t>
    <phoneticPr fontId="4"/>
  </si>
  <si>
    <t>24ﾟ 19' 48.841"</t>
    <phoneticPr fontId="3"/>
  </si>
  <si>
    <t>24ﾟ 19' 12.848"</t>
    <phoneticPr fontId="3"/>
  </si>
  <si>
    <t>24ﾟ 20' 52.138"</t>
    <phoneticPr fontId="3"/>
  </si>
  <si>
    <t>24ﾟ 19' 20.249"</t>
    <phoneticPr fontId="3"/>
  </si>
  <si>
    <t>　123ﾟ 40' 26.551"</t>
    <phoneticPr fontId="3"/>
  </si>
  <si>
    <t>24ﾟ 18' 58.751"</t>
    <phoneticPr fontId="3"/>
  </si>
  <si>
    <t>24ﾟ 16' 45.743"</t>
    <phoneticPr fontId="3"/>
  </si>
  <si>
    <t>24ﾟ 17' 07.559"</t>
    <phoneticPr fontId="3"/>
  </si>
  <si>
    <t>24ﾟ 17' 18.557"</t>
    <phoneticPr fontId="3"/>
  </si>
  <si>
    <t>24ﾟ 16' 31.659"</t>
    <phoneticPr fontId="3"/>
  </si>
  <si>
    <t>24ﾟ 14' 33.561"</t>
    <phoneticPr fontId="3"/>
  </si>
  <si>
    <t>24ﾟ 20' 35.937"</t>
    <phoneticPr fontId="3"/>
  </si>
  <si>
    <t>24ﾟ 22' 14.427"</t>
    <phoneticPr fontId="3"/>
  </si>
  <si>
    <t>126'</t>
    <phoneticPr fontId="3"/>
  </si>
  <si>
    <t>崎山湾（西表島西部）周辺</t>
    <phoneticPr fontId="3"/>
  </si>
  <si>
    <t>127'</t>
    <phoneticPr fontId="3"/>
  </si>
  <si>
    <t>27°07′07.6″</t>
    <phoneticPr fontId="3"/>
  </si>
  <si>
    <t>142°12′10.3″</t>
    <phoneticPr fontId="3"/>
  </si>
  <si>
    <t>兄島　キャベツビーチ</t>
    <phoneticPr fontId="4"/>
  </si>
  <si>
    <t>27°06′20.0″</t>
    <phoneticPr fontId="3"/>
  </si>
  <si>
    <t>142°12′25.5″</t>
    <phoneticPr fontId="3"/>
  </si>
  <si>
    <t>27°06′35.5″</t>
    <phoneticPr fontId="3"/>
  </si>
  <si>
    <t>142°13′28.4″</t>
    <phoneticPr fontId="3"/>
  </si>
  <si>
    <t>27°06′21.3″</t>
    <phoneticPr fontId="3"/>
  </si>
  <si>
    <t>142°11′39.6″</t>
    <phoneticPr fontId="3"/>
  </si>
  <si>
    <t>27°06′35.7″</t>
    <phoneticPr fontId="3"/>
  </si>
  <si>
    <t>142°13′28.2″</t>
    <phoneticPr fontId="3"/>
  </si>
  <si>
    <t>27°05′01″</t>
    <phoneticPr fontId="3"/>
  </si>
  <si>
    <t>142°13′31″</t>
    <phoneticPr fontId="3"/>
  </si>
  <si>
    <t>27°03′20.1″</t>
    <phoneticPr fontId="3"/>
  </si>
  <si>
    <t>142°13′44.5″</t>
    <phoneticPr fontId="3"/>
  </si>
  <si>
    <t>27°03′09.9″</t>
    <phoneticPr fontId="3"/>
  </si>
  <si>
    <t>142°13′24.7″</t>
    <phoneticPr fontId="3"/>
  </si>
  <si>
    <t>27°02′51.0″</t>
    <phoneticPr fontId="3"/>
  </si>
  <si>
    <t>142°10′55.9″</t>
    <phoneticPr fontId="3"/>
  </si>
  <si>
    <t>27°03′34.6″</t>
    <phoneticPr fontId="3"/>
  </si>
  <si>
    <t>142°11′44.1″</t>
    <phoneticPr fontId="3"/>
  </si>
  <si>
    <t>27°04′30.4″</t>
    <phoneticPr fontId="3"/>
  </si>
  <si>
    <t>142°11′06.6″</t>
    <phoneticPr fontId="3"/>
  </si>
  <si>
    <t>27°05′37.0″</t>
    <phoneticPr fontId="3"/>
  </si>
  <si>
    <t>142°11′57.6″</t>
    <phoneticPr fontId="3"/>
  </si>
  <si>
    <t>沖ノ島①</t>
    <phoneticPr fontId="4"/>
  </si>
  <si>
    <t>34:59:32.1</t>
    <phoneticPr fontId="3"/>
  </si>
  <si>
    <t>沖ノ島②</t>
    <phoneticPr fontId="4"/>
  </si>
  <si>
    <t>34:59:31.2</t>
    <phoneticPr fontId="3"/>
  </si>
  <si>
    <t>34:58:41.2</t>
    <phoneticPr fontId="3"/>
  </si>
  <si>
    <t>34:58:40.7</t>
    <phoneticPr fontId="3"/>
  </si>
  <si>
    <t>35:01:36.8</t>
    <phoneticPr fontId="3"/>
  </si>
  <si>
    <t>やや内湾</t>
    <phoneticPr fontId="3"/>
  </si>
  <si>
    <t>20×10</t>
    <phoneticPr fontId="3"/>
  </si>
  <si>
    <t>（海況不良により調査未実施）</t>
    <phoneticPr fontId="3"/>
  </si>
  <si>
    <t>10×10</t>
    <phoneticPr fontId="3"/>
  </si>
  <si>
    <t>外洋の島影</t>
    <phoneticPr fontId="3"/>
  </si>
  <si>
    <t>20×20</t>
    <phoneticPr fontId="3"/>
  </si>
  <si>
    <t>34°28' 51.6''</t>
    <phoneticPr fontId="3"/>
  </si>
  <si>
    <t>33°46' 09.0''</t>
    <phoneticPr fontId="3"/>
  </si>
  <si>
    <t>33°45' 57.0''</t>
    <phoneticPr fontId="3"/>
  </si>
  <si>
    <t>5×5</t>
    <phoneticPr fontId="3"/>
  </si>
  <si>
    <t>34°24' 51.7''</t>
    <phoneticPr fontId="3"/>
  </si>
  <si>
    <t>30×30</t>
    <phoneticPr fontId="3"/>
  </si>
  <si>
    <t>5～6</t>
    <phoneticPr fontId="3"/>
  </si>
  <si>
    <t>33:27:12.1</t>
    <phoneticPr fontId="3"/>
  </si>
  <si>
    <t>135:45:39.1</t>
    <phoneticPr fontId="3"/>
  </si>
  <si>
    <t>33:28:39.7</t>
    <phoneticPr fontId="3"/>
  </si>
  <si>
    <t>135:45:05.3</t>
    <phoneticPr fontId="3"/>
  </si>
  <si>
    <t>ｸﾞﾗｽﾜｰﾙﾄﾞ①</t>
    <phoneticPr fontId="4"/>
  </si>
  <si>
    <t>33:27:01.9</t>
    <phoneticPr fontId="3"/>
  </si>
  <si>
    <t>135:45:20.0</t>
    <phoneticPr fontId="3"/>
  </si>
  <si>
    <t>ｸﾞﾗｽﾜｰﾙﾄﾞ②</t>
    <phoneticPr fontId="4"/>
  </si>
  <si>
    <t>50×30</t>
    <phoneticPr fontId="3"/>
  </si>
  <si>
    <t>33:28:18.7</t>
    <phoneticPr fontId="3"/>
  </si>
  <si>
    <t>135:45:03.5</t>
    <phoneticPr fontId="3"/>
  </si>
  <si>
    <t>33:28:57.8</t>
    <phoneticPr fontId="3"/>
  </si>
  <si>
    <t>135:46:24.2</t>
    <phoneticPr fontId="3"/>
  </si>
  <si>
    <t>33:28:46.7</t>
    <phoneticPr fontId="3"/>
  </si>
  <si>
    <t>135:45:14.1</t>
    <phoneticPr fontId="3"/>
  </si>
  <si>
    <t>33:28:44.7</t>
    <phoneticPr fontId="3"/>
  </si>
  <si>
    <t>135:44:36.6</t>
    <phoneticPr fontId="3"/>
  </si>
  <si>
    <t>33:28:27.4</t>
    <phoneticPr fontId="3"/>
  </si>
  <si>
    <t>135:44:09.7</t>
    <phoneticPr fontId="3"/>
  </si>
  <si>
    <t>33:28:39.6</t>
    <phoneticPr fontId="3"/>
  </si>
  <si>
    <t>135:43:27.5</t>
    <phoneticPr fontId="3"/>
  </si>
  <si>
    <t>33:28:50.0</t>
    <phoneticPr fontId="3"/>
  </si>
  <si>
    <t>135:44:46.5</t>
    <phoneticPr fontId="3"/>
  </si>
  <si>
    <t>33:29:03.7</t>
    <phoneticPr fontId="3"/>
  </si>
  <si>
    <t>135:44:04.6</t>
    <phoneticPr fontId="3"/>
  </si>
  <si>
    <t>33:29:40</t>
    <phoneticPr fontId="3"/>
  </si>
  <si>
    <t>135:41:48</t>
    <phoneticPr fontId="3"/>
  </si>
  <si>
    <t>33:28:35.3</t>
    <phoneticPr fontId="3"/>
  </si>
  <si>
    <t>135:39:55.8</t>
    <phoneticPr fontId="3"/>
  </si>
  <si>
    <t>33゜32’46.3”</t>
    <phoneticPr fontId="4"/>
  </si>
  <si>
    <t>134゜18’25.7”</t>
    <phoneticPr fontId="4"/>
  </si>
  <si>
    <t>33゜32’41.2”</t>
    <phoneticPr fontId="4"/>
  </si>
  <si>
    <t>134゜18’52.3”</t>
    <phoneticPr fontId="4"/>
  </si>
  <si>
    <t>33゜32’33.8”</t>
    <phoneticPr fontId="4"/>
  </si>
  <si>
    <t>134゜18’58.8”</t>
    <phoneticPr fontId="4"/>
  </si>
  <si>
    <t>33゜32’30.7”</t>
    <phoneticPr fontId="4"/>
  </si>
  <si>
    <t>134゜18’53.1”</t>
    <phoneticPr fontId="4"/>
  </si>
  <si>
    <t>33゜38’32.2”</t>
    <phoneticPr fontId="4"/>
  </si>
  <si>
    <t>134゜30’04.8”</t>
    <phoneticPr fontId="4"/>
  </si>
  <si>
    <t>33゜38’39.0”</t>
    <phoneticPr fontId="4"/>
  </si>
  <si>
    <t>134゜29’03.8”</t>
    <phoneticPr fontId="4"/>
  </si>
  <si>
    <t>33゜38’22.5”</t>
    <phoneticPr fontId="4"/>
  </si>
  <si>
    <t>134゜29’00.5”</t>
    <phoneticPr fontId="4"/>
  </si>
  <si>
    <t>33゜38’13.2”</t>
    <phoneticPr fontId="4"/>
  </si>
  <si>
    <t>134゜29’05.0”</t>
    <phoneticPr fontId="4"/>
  </si>
  <si>
    <t>31°33′03.3″</t>
    <phoneticPr fontId="4"/>
  </si>
  <si>
    <t>130°41′26.0″</t>
    <phoneticPr fontId="4"/>
  </si>
  <si>
    <t>31°32′48.0″</t>
    <phoneticPr fontId="4"/>
  </si>
  <si>
    <t>130°39′29.5″</t>
    <phoneticPr fontId="4"/>
  </si>
  <si>
    <t>31°32′39.8″</t>
    <phoneticPr fontId="4"/>
  </si>
  <si>
    <t>130°37′01.5″</t>
    <phoneticPr fontId="4"/>
  </si>
  <si>
    <t>31°33′59.0″</t>
    <phoneticPr fontId="4"/>
  </si>
  <si>
    <t>130°35′32.9″</t>
    <phoneticPr fontId="4"/>
  </si>
  <si>
    <t>31°35′23.4″</t>
    <phoneticPr fontId="4"/>
  </si>
  <si>
    <t>注３：</t>
  </si>
  <si>
    <t>は今年度新規設置地点</t>
  </si>
  <si>
    <t>糸満港クラントガイ北</t>
    <rPh sb="0" eb="2">
      <t>イトマン</t>
    </rPh>
    <rPh sb="2" eb="3">
      <t>コウ</t>
    </rPh>
    <rPh sb="9" eb="10">
      <t>キタ</t>
    </rPh>
    <phoneticPr fontId="2"/>
  </si>
  <si>
    <t>崎山</t>
    <rPh sb="0" eb="2">
      <t>サキヤマ</t>
    </rPh>
    <phoneticPr fontId="2"/>
  </si>
  <si>
    <t>岩・礫</t>
    <rPh sb="2" eb="3">
      <t>レキ</t>
    </rPh>
    <phoneticPr fontId="1"/>
  </si>
  <si>
    <t>非公開</t>
    <rPh sb="0" eb="3">
      <t>ヒコウカイ</t>
    </rPh>
    <phoneticPr fontId="3"/>
  </si>
  <si>
    <t>サ
イ
ト
No.</t>
    <phoneticPr fontId="4"/>
  </si>
  <si>
    <t>サイト名</t>
    <rPh sb="3" eb="4">
      <t>メイ</t>
    </rPh>
    <phoneticPr fontId="4"/>
  </si>
  <si>
    <t>調査区（spot）No.</t>
    <rPh sb="0" eb="3">
      <t>チョウサク</t>
    </rPh>
    <phoneticPr fontId="4"/>
  </si>
  <si>
    <t>地名</t>
    <rPh sb="0" eb="2">
      <t>チメイ</t>
    </rPh>
    <phoneticPr fontId="3"/>
  </si>
  <si>
    <t>調査日</t>
    <rPh sb="0" eb="3">
      <t>チョウサビ</t>
    </rPh>
    <phoneticPr fontId="4"/>
  </si>
  <si>
    <t>調査
代表者名</t>
    <rPh sb="0" eb="2">
      <t>チョウサ</t>
    </rPh>
    <rPh sb="3" eb="6">
      <t>ダイヒョウシャ</t>
    </rPh>
    <rPh sb="6" eb="7">
      <t>メイ</t>
    </rPh>
    <phoneticPr fontId="3"/>
  </si>
  <si>
    <t>観察
手段</t>
    <rPh sb="0" eb="2">
      <t>カンサツ</t>
    </rPh>
    <rPh sb="3" eb="5">
      <t>シュダン</t>
    </rPh>
    <phoneticPr fontId="4"/>
  </si>
  <si>
    <t>観察
時間
（分）</t>
    <rPh sb="0" eb="2">
      <t>カンサツ</t>
    </rPh>
    <rPh sb="3" eb="5">
      <t>ジカン</t>
    </rPh>
    <rPh sb="7" eb="8">
      <t>フン</t>
    </rPh>
    <phoneticPr fontId="4"/>
  </si>
  <si>
    <t>サンゴ</t>
    <phoneticPr fontId="4"/>
  </si>
  <si>
    <t>サンゴ食巻貝</t>
    <rPh sb="3" eb="4">
      <t>ショク</t>
    </rPh>
    <rPh sb="4" eb="6">
      <t>マキガイ</t>
    </rPh>
    <phoneticPr fontId="4"/>
  </si>
  <si>
    <t>SPSS</t>
    <phoneticPr fontId="4"/>
  </si>
  <si>
    <t>30cm以上の大型魚類数</t>
    <rPh sb="4" eb="6">
      <t>イジョウ</t>
    </rPh>
    <rPh sb="7" eb="9">
      <t>オオガタ</t>
    </rPh>
    <rPh sb="9" eb="11">
      <t>ギョルイ</t>
    </rPh>
    <rPh sb="11" eb="12">
      <t>スウ</t>
    </rPh>
    <phoneticPr fontId="4"/>
  </si>
  <si>
    <t>病気
の
有無</t>
    <rPh sb="0" eb="2">
      <t>ビョウキ</t>
    </rPh>
    <rPh sb="5" eb="7">
      <t>ウム</t>
    </rPh>
    <phoneticPr fontId="4"/>
  </si>
  <si>
    <t>被度10％換算</t>
    <rPh sb="0" eb="2">
      <t>ヒド</t>
    </rPh>
    <rPh sb="5" eb="7">
      <t>カンサン</t>
    </rPh>
    <phoneticPr fontId="3"/>
  </si>
  <si>
    <t>白化率</t>
    <rPh sb="0" eb="2">
      <t>ハッカ</t>
    </rPh>
    <rPh sb="2" eb="3">
      <t>リツ</t>
    </rPh>
    <phoneticPr fontId="4"/>
  </si>
  <si>
    <t>生育型</t>
    <rPh sb="0" eb="3">
      <t>セイイクガタ</t>
    </rPh>
    <phoneticPr fontId="4"/>
  </si>
  <si>
    <t>加入数
（）内は最大値</t>
    <rPh sb="0" eb="3">
      <t>カニュウスウ</t>
    </rPh>
    <rPh sb="6" eb="7">
      <t>ナイ</t>
    </rPh>
    <rPh sb="8" eb="11">
      <t>サイダイチ</t>
    </rPh>
    <phoneticPr fontId="4"/>
  </si>
  <si>
    <t>卓ﾐﾄﾞ</t>
    <phoneticPr fontId="4"/>
  </si>
  <si>
    <t>優占
ｻｲｽﾞ
(cm)</t>
    <rPh sb="0" eb="2">
      <t>ユウセン</t>
    </rPh>
    <phoneticPr fontId="4"/>
  </si>
  <si>
    <t>範囲
(cm)</t>
    <rPh sb="0" eb="2">
      <t>ハンイ</t>
    </rPh>
    <phoneticPr fontId="4"/>
  </si>
  <si>
    <t>被食率
（％）</t>
    <rPh sb="0" eb="2">
      <t>ヒショク</t>
    </rPh>
    <rPh sb="2" eb="3">
      <t>リツ</t>
    </rPh>
    <phoneticPr fontId="3"/>
  </si>
  <si>
    <t>発生
階級
（注1）</t>
    <rPh sb="0" eb="2">
      <t>ハッセイ</t>
    </rPh>
    <rPh sb="3" eb="5">
      <t>カイキュウ</t>
    </rPh>
    <rPh sb="7" eb="8">
      <t>チュウ</t>
    </rPh>
    <phoneticPr fontId="3"/>
  </si>
  <si>
    <t>測定
値</t>
    <rPh sb="0" eb="2">
      <t>ソクテイ</t>
    </rPh>
    <rPh sb="3" eb="4">
      <t>アタイ</t>
    </rPh>
    <phoneticPr fontId="4"/>
  </si>
  <si>
    <t>階級
（注2）</t>
    <rPh sb="0" eb="2">
      <t>カイキュウ</t>
    </rPh>
    <rPh sb="4" eb="5">
      <t>チュウ</t>
    </rPh>
    <phoneticPr fontId="4"/>
  </si>
  <si>
    <t>ハタ類</t>
    <rPh sb="2" eb="3">
      <t>ルイ</t>
    </rPh>
    <phoneticPr fontId="3"/>
  </si>
  <si>
    <t>ベラ
類</t>
    <rPh sb="3" eb="4">
      <t>ルイ</t>
    </rPh>
    <phoneticPr fontId="3"/>
  </si>
  <si>
    <t>ブダイ
類</t>
    <rPh sb="4" eb="5">
      <t>ルイ</t>
    </rPh>
    <phoneticPr fontId="3"/>
  </si>
  <si>
    <t>全体</t>
    <rPh sb="0" eb="2">
      <t>ゼンタイ</t>
    </rPh>
    <phoneticPr fontId="4"/>
  </si>
  <si>
    <t>ﾐﾄﾞﾘｲｼ</t>
    <phoneticPr fontId="4"/>
  </si>
  <si>
    <t>全体
死滅</t>
    <rPh sb="0" eb="2">
      <t>ゼンタイ</t>
    </rPh>
    <rPh sb="3" eb="5">
      <t>シメツ</t>
    </rPh>
    <phoneticPr fontId="3"/>
  </si>
  <si>
    <t>ﾐﾄﾞﾘ
死滅</t>
    <rPh sb="5" eb="7">
      <t>シメツ</t>
    </rPh>
    <phoneticPr fontId="4"/>
  </si>
  <si>
    <t>大5群体平均サイズ（cm）</t>
    <rPh sb="0" eb="1">
      <t>ダイ</t>
    </rPh>
    <rPh sb="2" eb="4">
      <t>グンタイ</t>
    </rPh>
    <rPh sb="4" eb="6">
      <t>ヘイキン</t>
    </rPh>
    <phoneticPr fontId="4"/>
  </si>
  <si>
    <t>屋久島・種子島周辺</t>
    <rPh sb="0" eb="3">
      <t>ヤクシマ</t>
    </rPh>
    <rPh sb="4" eb="7">
      <t>タネガシマ</t>
    </rPh>
    <rPh sb="7" eb="9">
      <t>シュウヘン</t>
    </rPh>
    <phoneticPr fontId="4"/>
  </si>
  <si>
    <t>枝状ミドリイシ優占型</t>
  </si>
  <si>
    <t>多種混成型</t>
  </si>
  <si>
    <t>特定類優占型</t>
  </si>
  <si>
    <t>屋久島　七瀬</t>
  </si>
  <si>
    <t>興克樹</t>
  </si>
  <si>
    <t>&lt;5</t>
  </si>
  <si>
    <t>&lt;20</t>
  </si>
  <si>
    <t>scuba</t>
  </si>
  <si>
    <t>慶佐次ウッパマ東</t>
  </si>
  <si>
    <t>安波南</t>
  </si>
  <si>
    <t>カツセノ崎南</t>
  </si>
  <si>
    <t>イシキナ崎南</t>
  </si>
  <si>
    <t>安田ヶ島南</t>
  </si>
  <si>
    <t>20-30</t>
  </si>
  <si>
    <t>ジャナセ</t>
  </si>
  <si>
    <t>真栄田岬西大礁池</t>
  </si>
  <si>
    <t>ウカハ岩西</t>
  </si>
  <si>
    <t>安室南</t>
  </si>
  <si>
    <t>豊島正彦</t>
  </si>
  <si>
    <t>座間味アゴノウラ</t>
  </si>
  <si>
    <t>座間味ニタ</t>
  </si>
  <si>
    <t>嘉比南</t>
  </si>
  <si>
    <t>阿嘉ニシハマ</t>
  </si>
  <si>
    <t>阿嘉クシバル</t>
  </si>
  <si>
    <t>阿嘉アグ</t>
  </si>
  <si>
    <t>3.5 (4)</t>
  </si>
  <si>
    <t>阿嘉マエノハマ</t>
  </si>
  <si>
    <t>屋嘉比東</t>
  </si>
  <si>
    <t>池間島北カギンミ</t>
  </si>
  <si>
    <t>池間島東チュラビジ</t>
  </si>
  <si>
    <t>平良狩俣西</t>
  </si>
  <si>
    <t>伊良部下地島カヤッファ</t>
  </si>
  <si>
    <t>5a</t>
  </si>
  <si>
    <t>伊良部下地島渡口沖離礁</t>
  </si>
  <si>
    <t>ソフトコーラル優占型</t>
  </si>
  <si>
    <t>来間島東ヨコターラ</t>
  </si>
  <si>
    <t>上野博愛沖友利大ビセ</t>
  </si>
  <si>
    <t>城辺吉野海岸</t>
  </si>
  <si>
    <t>城辺ツフツワ干瀬北</t>
  </si>
  <si>
    <t>平良高野漁港沖二段干瀬</t>
  </si>
  <si>
    <t>八重干瀬ウル西</t>
  </si>
  <si>
    <t>八重干瀬カナマラ中央南</t>
  </si>
  <si>
    <t>八重干瀬クンカディ・ガマ</t>
  </si>
  <si>
    <t>八重干瀬イフ南</t>
  </si>
  <si>
    <t>&lt;1</t>
  </si>
  <si>
    <t>石西礁湖北部</t>
  </si>
  <si>
    <t>小浜島周辺</t>
  </si>
  <si>
    <t>5b</t>
  </si>
  <si>
    <t>石西礁湖東部</t>
  </si>
  <si>
    <t>カタグァー周辺</t>
  </si>
  <si>
    <t>石西礁湖中央部</t>
  </si>
  <si>
    <t>シモビシ～仲間崎沖</t>
  </si>
  <si>
    <t>石西礁湖南部</t>
  </si>
  <si>
    <t>西表島と周辺離島</t>
  </si>
  <si>
    <t>126'</t>
  </si>
  <si>
    <t>崎山湾（西表島西部）周辺</t>
  </si>
  <si>
    <t>清本正人</t>
  </si>
  <si>
    <t>須之部友基</t>
  </si>
  <si>
    <t>雀島</t>
  </si>
  <si>
    <t>ｸﾞﾗｽﾜｰﾙﾄﾞ①</t>
  </si>
  <si>
    <t>ｸﾞﾗｽﾜｰﾙﾄﾞ②</t>
  </si>
  <si>
    <t>須ノ川</t>
  </si>
  <si>
    <t>天嶬鼻</t>
  </si>
  <si>
    <t>白浜</t>
  </si>
  <si>
    <t>黒崎</t>
  </si>
  <si>
    <t>柏島</t>
  </si>
  <si>
    <t>大村碆</t>
  </si>
  <si>
    <t>モニタリング基盤ＷＢ</t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</si>
  <si>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4"/>
  </si>
  <si>
    <t>大手の浜・灯台下</t>
  </si>
  <si>
    <t>大手の浜・海風荘下</t>
  </si>
  <si>
    <t>注１：</t>
    <rPh sb="0" eb="1">
      <t>チュウ</t>
    </rPh>
    <phoneticPr fontId="4"/>
  </si>
  <si>
    <t>サンゴ食巻貝の階級凡例</t>
    <rPh sb="3" eb="4">
      <t>ショク</t>
    </rPh>
    <rPh sb="4" eb="6">
      <t>マキガイ</t>
    </rPh>
    <rPh sb="7" eb="9">
      <t>カイキュウ</t>
    </rPh>
    <rPh sb="9" eb="11">
      <t>ハンレイ</t>
    </rPh>
    <phoneticPr fontId="4"/>
  </si>
  <si>
    <t>注２：</t>
    <rPh sb="0" eb="1">
      <t>チュウ</t>
    </rPh>
    <phoneticPr fontId="4"/>
  </si>
  <si>
    <t>SPSSの階級凡例</t>
    <rPh sb="5" eb="7">
      <t>カイキュウ</t>
    </rPh>
    <rPh sb="7" eb="9">
      <t>ハンレイ</t>
    </rPh>
    <phoneticPr fontId="4"/>
  </si>
  <si>
    <t>注３：</t>
    <rPh sb="0" eb="1">
      <t>チュウ</t>
    </rPh>
    <phoneticPr fontId="4"/>
  </si>
  <si>
    <t>は今年度新規設置地点</t>
    <rPh sb="1" eb="4">
      <t>コンネンド</t>
    </rPh>
    <rPh sb="4" eb="6">
      <t>シンキ</t>
    </rPh>
    <rPh sb="6" eb="8">
      <t>セッチ</t>
    </rPh>
    <rPh sb="8" eb="10">
      <t>チテン</t>
    </rPh>
    <phoneticPr fontId="4"/>
  </si>
  <si>
    <t>1：食痕（新しいもの）は目立たない。</t>
    <phoneticPr fontId="4"/>
  </si>
  <si>
    <t>1： ＜0.4 ；　きわめてきれい</t>
    <phoneticPr fontId="4"/>
  </si>
  <si>
    <t>2：小さな食痕や食害部のある群体が散見。</t>
    <phoneticPr fontId="4"/>
  </si>
  <si>
    <t>2：　0.4≦, ＜1；　砂をかき混ぜてもシルトの舞い上がりは確認しづらい</t>
    <phoneticPr fontId="4"/>
  </si>
  <si>
    <t>注４：</t>
    <rPh sb="0" eb="1">
      <t>チュウ</t>
    </rPh>
    <phoneticPr fontId="3"/>
  </si>
  <si>
    <t>3：食痕は大きく、食害部のある群体が目立つが、数百個体</t>
    <rPh sb="23" eb="24">
      <t>スウ</t>
    </rPh>
    <rPh sb="24" eb="25">
      <t>ヒャク</t>
    </rPh>
    <rPh sb="25" eb="27">
      <t>コタイ</t>
    </rPh>
    <phoneticPr fontId="4"/>
  </si>
  <si>
    <t>3： 　1≦, ＜5 ；　砂をかき混ぜるとシルトの舞い上がりは確認できる</t>
    <phoneticPr fontId="4"/>
  </si>
  <si>
    <t>4：　 5≦, ＜10；　見た目では分からないが、砂をかき混ぜるとシルトで水が濁る</t>
    <phoneticPr fontId="4"/>
  </si>
  <si>
    <t>4：斃死群体が目立ち、密集した貝集団が散見される。</t>
    <phoneticPr fontId="4"/>
  </si>
  <si>
    <t>5：　 10≦, ＜50；　注意して見ると、表層にシル トの堆積が確認できる</t>
    <phoneticPr fontId="4"/>
  </si>
  <si>
    <t>　5a： 10≦, ＜30</t>
    <phoneticPr fontId="4"/>
  </si>
  <si>
    <t>　5b：　30≦, ＜50</t>
    <phoneticPr fontId="4"/>
  </si>
  <si>
    <t>6：　 50≦, ＜200；　一見してシルトの堆積を確認</t>
    <phoneticPr fontId="4"/>
  </si>
  <si>
    <t>7：　200≦, ＜400；　シルトが堆積するが、まだ砂も確認することができる</t>
    <phoneticPr fontId="4"/>
  </si>
  <si>
    <t>8：　≧400；　底質の見た目は泥そのもの</t>
    <phoneticPr fontId="4"/>
  </si>
  <si>
    <t>大泊橋北東浜</t>
    <phoneticPr fontId="3"/>
  </si>
  <si>
    <t>1～13</t>
    <phoneticPr fontId="3"/>
  </si>
  <si>
    <t>水納島西</t>
  </si>
  <si>
    <t>ヒキイシ南</t>
    <phoneticPr fontId="3"/>
  </si>
  <si>
    <t>0～8</t>
    <phoneticPr fontId="3"/>
  </si>
  <si>
    <t>0～13</t>
    <phoneticPr fontId="3"/>
  </si>
  <si>
    <t>無</t>
  </si>
  <si>
    <t>32°09′42.1″</t>
  </si>
  <si>
    <t>130°03′16.7″</t>
  </si>
  <si>
    <t>32°09′42.2″</t>
  </si>
  <si>
    <t>130°03′16.8″</t>
  </si>
  <si>
    <t>32°09′42.3″</t>
  </si>
  <si>
    <t>130°03′16.9″</t>
  </si>
  <si>
    <t>32°09′42.4″</t>
  </si>
  <si>
    <t>130°03′16.10″</t>
  </si>
  <si>
    <t>32°09′42.5″</t>
  </si>
  <si>
    <t>130°03′16.11″</t>
  </si>
  <si>
    <t>32°09′42.7″</t>
  </si>
  <si>
    <t>130°03′16.13″</t>
  </si>
  <si>
    <t>多良間島周辺</t>
    <rPh sb="0" eb="3">
      <t>タラマ</t>
    </rPh>
    <rPh sb="3" eb="4">
      <t>ジマ</t>
    </rPh>
    <rPh sb="4" eb="6">
      <t>シュウヘン</t>
    </rPh>
    <phoneticPr fontId="3"/>
  </si>
  <si>
    <t>多良間島周辺</t>
    <rPh sb="0" eb="6">
      <t>タラマジマシュウヘン</t>
    </rPh>
    <phoneticPr fontId="3"/>
  </si>
  <si>
    <t>ウエダマーリ°礁縁</t>
    <phoneticPr fontId="4"/>
  </si>
  <si>
    <t>ウエダマーリ°礁池</t>
    <phoneticPr fontId="3"/>
  </si>
  <si>
    <t>タカアナ礁縁</t>
    <phoneticPr fontId="4"/>
  </si>
  <si>
    <t>マガリ°礁縁</t>
    <phoneticPr fontId="3"/>
  </si>
  <si>
    <t>ナカシャラ礁池</t>
    <phoneticPr fontId="3"/>
  </si>
  <si>
    <t>アカダン礁縁</t>
    <phoneticPr fontId="3"/>
  </si>
  <si>
    <t>タカシバマ礁縁</t>
    <phoneticPr fontId="3"/>
  </si>
  <si>
    <t>アウル礁縁</t>
    <phoneticPr fontId="3"/>
  </si>
  <si>
    <t>ナガシャキｨ°礁縁</t>
    <phoneticPr fontId="3"/>
  </si>
  <si>
    <t>裾礁・礁縁</t>
    <rPh sb="0" eb="2">
      <t>キョショウ</t>
    </rPh>
    <rPh sb="3" eb="4">
      <t>ショウ</t>
    </rPh>
    <rPh sb="4" eb="5">
      <t>エン</t>
    </rPh>
    <phoneticPr fontId="2"/>
  </si>
  <si>
    <t>裾礁・礁池</t>
    <rPh sb="0" eb="2">
      <t>キョショウ</t>
    </rPh>
    <rPh sb="3" eb="5">
      <t>ショウチ</t>
    </rPh>
    <phoneticPr fontId="2"/>
  </si>
  <si>
    <t>岩・砂礫</t>
    <rPh sb="0" eb="1">
      <t>イワ</t>
    </rPh>
    <rPh sb="2" eb="4">
      <t>サレキ</t>
    </rPh>
    <phoneticPr fontId="2"/>
  </si>
  <si>
    <t>特定類優占型（オオハナガタサンゴ）</t>
  </si>
  <si>
    <t>中城湾チグニガ</t>
    <phoneticPr fontId="3"/>
  </si>
  <si>
    <t>東村伊是名北</t>
    <phoneticPr fontId="3"/>
  </si>
  <si>
    <t>離礁/礁斜面</t>
    <rPh sb="0" eb="2">
      <t>リショウ</t>
    </rPh>
    <rPh sb="3" eb="6">
      <t>ショウシャメン</t>
    </rPh>
    <phoneticPr fontId="3"/>
  </si>
  <si>
    <t>礁池</t>
    <rPh sb="0" eb="2">
      <t>ショウチ</t>
    </rPh>
    <phoneticPr fontId="3"/>
  </si>
  <si>
    <t>砂・礫</t>
    <rPh sb="0" eb="1">
      <t>スナ</t>
    </rPh>
    <rPh sb="2" eb="3">
      <t>ツブテ</t>
    </rPh>
    <phoneticPr fontId="3"/>
  </si>
  <si>
    <t>2～17</t>
    <phoneticPr fontId="3"/>
  </si>
  <si>
    <t>0～2</t>
    <phoneticPr fontId="3"/>
  </si>
  <si>
    <t>中崎</t>
    <rPh sb="0" eb="2">
      <t>ナカサキ</t>
    </rPh>
    <phoneticPr fontId="2"/>
  </si>
  <si>
    <t>中磯</t>
    <rPh sb="0" eb="2">
      <t>ナカイソ</t>
    </rPh>
    <phoneticPr fontId="2"/>
  </si>
  <si>
    <t>葛島</t>
    <rPh sb="0" eb="1">
      <t>クズ</t>
    </rPh>
    <rPh sb="1" eb="2">
      <t>シマ</t>
    </rPh>
    <phoneticPr fontId="2"/>
  </si>
  <si>
    <t>葛島東</t>
    <rPh sb="0" eb="1">
      <t>クズ</t>
    </rPh>
    <rPh sb="1" eb="2">
      <t>シマ</t>
    </rPh>
    <rPh sb="2" eb="3">
      <t>ヒガシ</t>
    </rPh>
    <phoneticPr fontId="2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</si>
  <si>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4"/>
  </si>
  <si>
    <t>塩屋海岸</t>
    <rPh sb="0" eb="2">
      <t>シオヤ</t>
    </rPh>
    <rPh sb="2" eb="4">
      <t>カイガン</t>
    </rPh>
    <phoneticPr fontId="2"/>
  </si>
  <si>
    <t>内湾</t>
    <rPh sb="0" eb="2">
      <t>ナイワン</t>
    </rPh>
    <phoneticPr fontId="2"/>
  </si>
  <si>
    <t>湾口</t>
  </si>
  <si>
    <t>岩・礫</t>
    <rPh sb="0" eb="1">
      <t>イワ</t>
    </rPh>
    <rPh sb="2" eb="3">
      <t>レキ</t>
    </rPh>
    <phoneticPr fontId="2"/>
  </si>
  <si>
    <t>岩</t>
    <rPh sb="0" eb="1">
      <t>イワ</t>
    </rPh>
    <phoneticPr fontId="2"/>
  </si>
  <si>
    <t>岩・砂</t>
    <rPh sb="0" eb="1">
      <t>イワ</t>
    </rPh>
    <rPh sb="2" eb="3">
      <t>スナ</t>
    </rPh>
    <phoneticPr fontId="2"/>
  </si>
  <si>
    <t>岩・砂・ブロック</t>
    <rPh sb="0" eb="1">
      <t>イワ</t>
    </rPh>
    <rPh sb="2" eb="3">
      <t>スナ</t>
    </rPh>
    <phoneticPr fontId="2"/>
  </si>
  <si>
    <t>6～18</t>
  </si>
  <si>
    <t>１～3</t>
  </si>
  <si>
    <t>渡具知西</t>
    <rPh sb="0" eb="1">
      <t>ワタ</t>
    </rPh>
    <rPh sb="1" eb="2">
      <t>グ</t>
    </rPh>
    <rPh sb="2" eb="3">
      <t>チ</t>
    </rPh>
    <rPh sb="3" eb="4">
      <t>ニシ</t>
    </rPh>
    <phoneticPr fontId="3"/>
  </si>
  <si>
    <t>南浮原南礁斜面</t>
    <rPh sb="0" eb="1">
      <t>ミナミ</t>
    </rPh>
    <rPh sb="1" eb="2">
      <t>ウキ</t>
    </rPh>
    <rPh sb="2" eb="3">
      <t>ハラ</t>
    </rPh>
    <rPh sb="3" eb="4">
      <t>ミナミ</t>
    </rPh>
    <rPh sb="4" eb="5">
      <t>ショウ</t>
    </rPh>
    <rPh sb="5" eb="7">
      <t>シャメン</t>
    </rPh>
    <phoneticPr fontId="5"/>
  </si>
  <si>
    <t>慶佐次北礁斜面</t>
    <rPh sb="0" eb="1">
      <t>ケイ</t>
    </rPh>
    <rPh sb="1" eb="2">
      <t>サ</t>
    </rPh>
    <rPh sb="2" eb="3">
      <t>ジ</t>
    </rPh>
    <rPh sb="3" eb="4">
      <t>キタ</t>
    </rPh>
    <rPh sb="4" eb="5">
      <t>ショウ</t>
    </rPh>
    <rPh sb="5" eb="7">
      <t>シャメン</t>
    </rPh>
    <phoneticPr fontId="5"/>
  </si>
  <si>
    <t>恩納村恩納礁斜面</t>
    <rPh sb="1" eb="2">
      <t>ナ</t>
    </rPh>
    <rPh sb="3" eb="5">
      <t>オンナ</t>
    </rPh>
    <rPh sb="5" eb="6">
      <t>ショウ</t>
    </rPh>
    <rPh sb="6" eb="8">
      <t>シャメン</t>
    </rPh>
    <phoneticPr fontId="2"/>
  </si>
  <si>
    <t>塩川港南礁斜面</t>
    <rPh sb="0" eb="2">
      <t>シオカワ</t>
    </rPh>
    <rPh sb="2" eb="3">
      <t>コウ</t>
    </rPh>
    <rPh sb="3" eb="4">
      <t>ミナミ</t>
    </rPh>
    <rPh sb="4" eb="7">
      <t>ショウシャメン</t>
    </rPh>
    <phoneticPr fontId="2"/>
  </si>
  <si>
    <t>伊江島フナズ原南</t>
    <rPh sb="0" eb="1">
      <t>イ</t>
    </rPh>
    <rPh sb="1" eb="2">
      <t>エ</t>
    </rPh>
    <rPh sb="2" eb="3">
      <t>シマ</t>
    </rPh>
    <rPh sb="6" eb="7">
      <t>ハラ</t>
    </rPh>
    <rPh sb="7" eb="8">
      <t>ミナミ</t>
    </rPh>
    <phoneticPr fontId="2"/>
  </si>
  <si>
    <t>伊是名島第一号立標</t>
    <rPh sb="0" eb="4">
      <t>イゼナシマ</t>
    </rPh>
    <rPh sb="4" eb="6">
      <t>ダイイチ</t>
    </rPh>
    <rPh sb="6" eb="7">
      <t>ゴウ</t>
    </rPh>
    <rPh sb="7" eb="8">
      <t>リツ</t>
    </rPh>
    <rPh sb="8" eb="9">
      <t>シルベ</t>
    </rPh>
    <phoneticPr fontId="2"/>
  </si>
  <si>
    <t>天神崎ビーチ</t>
    <rPh sb="0" eb="3">
      <t>テンジンザキ</t>
    </rPh>
    <phoneticPr fontId="5"/>
  </si>
  <si>
    <t>沖島サンマリンコーラルガーデン</t>
    <rPh sb="0" eb="1">
      <t>オキ</t>
    </rPh>
    <rPh sb="1" eb="2">
      <t>シマ</t>
    </rPh>
    <phoneticPr fontId="6"/>
  </si>
  <si>
    <t>沖島エトセトラコーラルガーデン</t>
    <rPh sb="0" eb="1">
      <t>オキ</t>
    </rPh>
    <rPh sb="1" eb="2">
      <t>シマ</t>
    </rPh>
    <phoneticPr fontId="5"/>
  </si>
  <si>
    <t>ニシザキサンゴ真ん中</t>
    <rPh sb="7" eb="8">
      <t>マ</t>
    </rPh>
    <rPh sb="9" eb="10">
      <t>ナカ</t>
    </rPh>
    <phoneticPr fontId="5"/>
  </si>
  <si>
    <t>四双島南</t>
    <rPh sb="0" eb="2">
      <t>シソウ</t>
    </rPh>
    <rPh sb="2" eb="3">
      <t>ジマ</t>
    </rPh>
    <rPh sb="3" eb="4">
      <t>ミナミ</t>
    </rPh>
    <phoneticPr fontId="5"/>
  </si>
  <si>
    <t>権現崎</t>
    <rPh sb="0" eb="2">
      <t>ゴンゲン</t>
    </rPh>
    <rPh sb="2" eb="3">
      <t>ザキ</t>
    </rPh>
    <phoneticPr fontId="5"/>
  </si>
  <si>
    <t>すさみビーチ</t>
  </si>
  <si>
    <t>特定類優占型（リュウモンサンゴ）</t>
  </si>
  <si>
    <t>特定類優占型（コモンサンゴ類優占）</t>
  </si>
  <si>
    <t>特定類優占型（ハマサンゴ）</t>
  </si>
  <si>
    <t>長田智史</t>
    <rPh sb="0" eb="4">
      <t>ナガタトモフミ</t>
    </rPh>
    <phoneticPr fontId="1"/>
  </si>
  <si>
    <t>特定類優占型（塊状ハマサンゴ優占）</t>
  </si>
  <si>
    <t>0 (0)</t>
  </si>
  <si>
    <t>6.5 (10)</t>
  </si>
  <si>
    <t>特定類優占型（塊・枝ハマサンゴ）</t>
  </si>
  <si>
    <t>特定類優占型（アオサンゴ）</t>
  </si>
  <si>
    <t>特定類優占型（ユビエダハマサンゴ）</t>
  </si>
  <si>
    <t>特定類優占型（塊状ハマサンゴ）</t>
  </si>
  <si>
    <t>特定類優占型（エダハナガササンゴ）</t>
  </si>
  <si>
    <t>特定類優占型（枝状コモンサンゴ）</t>
  </si>
  <si>
    <t>特定類優占型（コモンサンゴ）</t>
  </si>
  <si>
    <t>特定類優占型（パラオハマサンゴ）</t>
  </si>
  <si>
    <t>特定類優占型（枝状アナサンゴモドキ）</t>
  </si>
  <si>
    <t>特定類優占型（ハマサンゴ・キクメイシ）</t>
  </si>
  <si>
    <t>特定類優占型（ハナヤサイサンゴ）</t>
  </si>
  <si>
    <t>特定類優占型（被覆状コモンサンゴ）</t>
  </si>
  <si>
    <t>特定類優占型（エダナガレハナガササンゴ）</t>
  </si>
  <si>
    <t>特定類優占型（アザミサンゴ）</t>
  </si>
  <si>
    <t>特定類優占型（シコロサンゴ・ハマサンゴ）</t>
  </si>
  <si>
    <t>特定類優占型（オガサワラアザミサンゴ優占）</t>
  </si>
  <si>
    <t>特定類優占型（アワサンゴ）</t>
  </si>
  <si>
    <t>特定類優占型（オオナガレハナサンゴ）</t>
  </si>
  <si>
    <t>特定類優占型（センベイアナサンゴ）</t>
  </si>
  <si>
    <t>特定類優占型（オオハナガササンゴ）</t>
  </si>
  <si>
    <t>特定類優占型（シコロサンゴ優占型）</t>
  </si>
  <si>
    <t>特定類優占型（ハマサンゴ類優占型）</t>
  </si>
  <si>
    <t>田辺周辺</t>
    <rPh sb="0" eb="2">
      <t>タナベ</t>
    </rPh>
    <rPh sb="2" eb="4">
      <t>シュウヘン</t>
    </rPh>
    <phoneticPr fontId="1"/>
  </si>
  <si>
    <t>田辺周辺</t>
    <rPh sb="0" eb="2">
      <t>タナベ</t>
    </rPh>
    <rPh sb="2" eb="4">
      <t>シュウヘン</t>
    </rPh>
    <phoneticPr fontId="3"/>
  </si>
  <si>
    <t>15分換算観察数（注5）</t>
    <rPh sb="2" eb="3">
      <t>プン</t>
    </rPh>
    <rPh sb="3" eb="5">
      <t>カンサン</t>
    </rPh>
    <rPh sb="5" eb="7">
      <t>カンサツ</t>
    </rPh>
    <rPh sb="7" eb="8">
      <t>スウ</t>
    </rPh>
    <rPh sb="9" eb="10">
      <t>チュウ</t>
    </rPh>
    <phoneticPr fontId="4"/>
  </si>
  <si>
    <t>注５：</t>
    <rPh sb="0" eb="1">
      <t>チュウ</t>
    </rPh>
    <phoneticPr fontId="3"/>
  </si>
  <si>
    <t xml:space="preserve">サイト13～17では地点の正確な個体数を調べるために2人の調査者が別の範囲を
観察しているため、2人の調査者の合計値を示した。
</t>
    <phoneticPr fontId="3"/>
  </si>
  <si>
    <t>注2：</t>
    <rPh sb="0" eb="1">
      <t>チュウ</t>
    </rPh>
    <phoneticPr fontId="3"/>
  </si>
  <si>
    <t>オニヒトデ（注4）</t>
    <rPh sb="6" eb="7">
      <t>チュウ</t>
    </rPh>
    <phoneticPr fontId="4"/>
  </si>
  <si>
    <t>未調査の項目は空欄で示し、該当するデータが無いもの（例：オニヒトデ観察数が0の場合のオニヒトデのサイズ）は「-」で示した。</t>
    <rPh sb="0" eb="3">
      <t>ミチョウサ</t>
    </rPh>
    <rPh sb="4" eb="6">
      <t>コウモク</t>
    </rPh>
    <rPh sb="7" eb="9">
      <t>クウラン</t>
    </rPh>
    <rPh sb="10" eb="11">
      <t>シメ</t>
    </rPh>
    <rPh sb="13" eb="15">
      <t>ガイトウ</t>
    </rPh>
    <rPh sb="21" eb="22">
      <t>ナ</t>
    </rPh>
    <rPh sb="26" eb="27">
      <t>レイ</t>
    </rPh>
    <rPh sb="33" eb="35">
      <t>カンサツ</t>
    </rPh>
    <rPh sb="35" eb="36">
      <t>スウ</t>
    </rPh>
    <rPh sb="39" eb="41">
      <t>バアイ</t>
    </rPh>
    <rPh sb="57" eb="58">
      <t>シメ</t>
    </rPh>
    <phoneticPr fontId="9"/>
  </si>
  <si>
    <t>特定類優占型（ユビエダハマサンゴ</t>
  </si>
  <si>
    <t>skin</t>
  </si>
  <si>
    <t>トカラ列島</t>
  </si>
  <si>
    <t>中之島七ツ山</t>
    <rPh sb="0" eb="1">
      <t>ナカ</t>
    </rPh>
    <rPh sb="1" eb="2">
      <t>ノ</t>
    </rPh>
    <rPh sb="2" eb="3">
      <t>シマ</t>
    </rPh>
    <rPh sb="3" eb="4">
      <t>ナナ</t>
    </rPh>
    <rPh sb="5" eb="6">
      <t>ヤマ</t>
    </rPh>
    <phoneticPr fontId="3"/>
  </si>
  <si>
    <t>口之島エボシのハナレ</t>
    <rPh sb="0" eb="1">
      <t xml:space="preserve">クチノシマ </t>
    </rPh>
    <phoneticPr fontId="15"/>
  </si>
  <si>
    <t>口之島オランナダ</t>
    <rPh sb="0" eb="3">
      <t xml:space="preserve">クチノシマ </t>
    </rPh>
    <phoneticPr fontId="15"/>
  </si>
  <si>
    <t>口之島前之浜</t>
    <rPh sb="0" eb="3">
      <t xml:space="preserve">クチノシマ </t>
    </rPh>
    <rPh sb="3" eb="6">
      <t xml:space="preserve">マエノハマ </t>
    </rPh>
    <phoneticPr fontId="15"/>
  </si>
  <si>
    <t>口之島平瀬海水浴場前</t>
    <rPh sb="0" eb="3">
      <t xml:space="preserve">クチノシマ </t>
    </rPh>
    <rPh sb="3" eb="5">
      <t xml:space="preserve">ヒラセ </t>
    </rPh>
    <rPh sb="5" eb="9">
      <t xml:space="preserve">カイスイヨクジョウ </t>
    </rPh>
    <rPh sb="9" eb="10">
      <t xml:space="preserve">マエ </t>
    </rPh>
    <phoneticPr fontId="15"/>
  </si>
  <si>
    <t>4.0 (5)</t>
  </si>
  <si>
    <t>1.3 (2)</t>
  </si>
  <si>
    <t>2.0 (3)</t>
  </si>
  <si>
    <t>0.6 (2)</t>
  </si>
  <si>
    <t>3.3 (4)</t>
  </si>
  <si>
    <t>0.3 (1)</t>
  </si>
  <si>
    <t>1.6 (2)</t>
  </si>
  <si>
    <t>1.0 (1)</t>
  </si>
  <si>
    <t>1.0 (2)</t>
  </si>
  <si>
    <t>4.3 (5)</t>
  </si>
  <si>
    <t>特定類優占型（塊状ﾊﾏｻﾝｺﾞ/ 枝状ﾐﾄﾞﾘｲｼ優占）</t>
  </si>
  <si>
    <t>0.6 (1)</t>
  </si>
  <si>
    <t>有</t>
  </si>
  <si>
    <t>+</t>
  </si>
  <si>
    <t>3.3 (5)</t>
  </si>
  <si>
    <t>2.8 (5)</t>
  </si>
  <si>
    <t>3.6 (4)</t>
  </si>
  <si>
    <t>3.4 (8)</t>
  </si>
  <si>
    <t>2 (4)</t>
  </si>
  <si>
    <t>4.1 (6)</t>
  </si>
  <si>
    <t>2.8 (4)</t>
  </si>
  <si>
    <t>5.3 (6)</t>
  </si>
  <si>
    <t>6.7 (12)</t>
  </si>
  <si>
    <t>特定類優占型（ハナヤサイサンゴ属）</t>
  </si>
  <si>
    <t>3.0 (4)</t>
  </si>
  <si>
    <t>特定類優占型（ニオウミドリイシ属）</t>
  </si>
  <si>
    <t>2.3 (3)</t>
  </si>
  <si>
    <t>4.7 (5)</t>
  </si>
  <si>
    <t>4.7 (6)</t>
  </si>
  <si>
    <t>6.3 (8)</t>
  </si>
  <si>
    <t>卓状ミドリイシ優占型</t>
  </si>
  <si>
    <t>20～
30</t>
  </si>
  <si>
    <t>不明</t>
    <rPh sb="0" eb="2">
      <t>フメイ</t>
    </rPh>
    <phoneticPr fontId="2"/>
  </si>
  <si>
    <t>&gt;90</t>
  </si>
  <si>
    <t>11(15)</t>
  </si>
  <si>
    <t>6.5(10)</t>
  </si>
  <si>
    <t>18(30)</t>
  </si>
  <si>
    <t>2.5(4)</t>
  </si>
  <si>
    <t>1(2)</t>
  </si>
  <si>
    <t>1.5(3)</t>
  </si>
  <si>
    <t>0.5(1)</t>
  </si>
  <si>
    <t>1(1)</t>
  </si>
  <si>
    <t>2.5(3)</t>
  </si>
  <si>
    <t>2(4)</t>
  </si>
  <si>
    <t>1.5(2)</t>
  </si>
  <si>
    <t>4.5(6)</t>
  </si>
  <si>
    <t>15(24)</t>
  </si>
  <si>
    <t>12(16)</t>
  </si>
  <si>
    <t>3(5)</t>
  </si>
  <si>
    <t>6.5(11)</t>
  </si>
  <si>
    <t>5.5(7)</t>
  </si>
  <si>
    <t>8.5(15)</t>
  </si>
  <si>
    <t>17(22)</t>
  </si>
  <si>
    <t>7(11)</t>
  </si>
  <si>
    <t>35(55)</t>
  </si>
  <si>
    <t>46.5(80)</t>
  </si>
  <si>
    <t>63.5(100)</t>
  </si>
  <si>
    <t>57(100)</t>
  </si>
  <si>
    <t>40(66)</t>
  </si>
  <si>
    <t>3.5(6)</t>
  </si>
  <si>
    <t>6(9)</t>
  </si>
  <si>
    <t>3(3)</t>
  </si>
  <si>
    <t>13(17)</t>
  </si>
  <si>
    <t>5(5)</t>
  </si>
  <si>
    <t>42.5(80)</t>
  </si>
  <si>
    <t>11.5(16)</t>
  </si>
  <si>
    <t>14.5(24)</t>
  </si>
  <si>
    <t>14(14)</t>
  </si>
  <si>
    <t>9.5(12)</t>
  </si>
  <si>
    <t>3.5(4)</t>
  </si>
  <si>
    <t>14(23)</t>
  </si>
  <si>
    <t>7(10)</t>
  </si>
  <si>
    <t>5.5(10)</t>
  </si>
  <si>
    <t>4(8)</t>
  </si>
  <si>
    <t>5(8)</t>
  </si>
  <si>
    <t>2(3)</t>
  </si>
  <si>
    <t>3(4)</t>
  </si>
  <si>
    <t>10.5(13)</t>
  </si>
  <si>
    <t>7(8)</t>
  </si>
  <si>
    <t>2.5(5)</t>
  </si>
  <si>
    <t>10.5(16)</t>
  </si>
  <si>
    <t>11(22)</t>
  </si>
  <si>
    <t>4(7)</t>
  </si>
  <si>
    <t>12.5(17)</t>
  </si>
  <si>
    <t>≻30</t>
  </si>
  <si>
    <t>2(2)</t>
  </si>
  <si>
    <t>5(9)</t>
  </si>
  <si>
    <t>4(4)</t>
  </si>
  <si>
    <t>220(n=3)</t>
  </si>
  <si>
    <t>228(n=5)</t>
  </si>
  <si>
    <t>226(n=5)</t>
  </si>
  <si>
    <t>192(n=5)</t>
  </si>
  <si>
    <t>206(n=5)</t>
  </si>
  <si>
    <t>84(n=5)</t>
  </si>
  <si>
    <t>0(n=0)</t>
  </si>
  <si>
    <t>124(n=5)</t>
  </si>
  <si>
    <t>　</t>
  </si>
  <si>
    <t>平林</t>
    <rPh sb="0" eb="2">
      <t>ヒラバヤシ</t>
    </rPh>
    <phoneticPr fontId="2"/>
  </si>
  <si>
    <t>平林・佐久間</t>
    <rPh sb="0" eb="2">
      <t>ヒラバヤシ</t>
    </rPh>
    <rPh sb="3" eb="6">
      <t>サクマ</t>
    </rPh>
    <phoneticPr fontId="2"/>
  </si>
  <si>
    <t>平林・吉田</t>
    <rPh sb="0" eb="2">
      <t>ヒラバヤシ</t>
    </rPh>
    <rPh sb="3" eb="5">
      <t>ヨシダ</t>
    </rPh>
    <phoneticPr fontId="2"/>
  </si>
  <si>
    <t>平林・野村</t>
    <rPh sb="0" eb="2">
      <t>ヒラバヤシ</t>
    </rPh>
    <rPh sb="3" eb="5">
      <t>ノムラ</t>
    </rPh>
    <phoneticPr fontId="2"/>
  </si>
  <si>
    <t>1.33
（全4）</t>
    <rPh sb="6" eb="7">
      <t>ゼン</t>
    </rPh>
    <phoneticPr fontId="2"/>
  </si>
  <si>
    <t>0.66
(全2）</t>
    <rPh sb="6" eb="7">
      <t>ゼン</t>
    </rPh>
    <phoneticPr fontId="2"/>
  </si>
  <si>
    <t>0.66
（全2）</t>
    <rPh sb="6" eb="7">
      <t>ゼン</t>
    </rPh>
    <phoneticPr fontId="2"/>
  </si>
  <si>
    <t>1.33
（全6）</t>
    <rPh sb="6" eb="7">
      <t>ゼン</t>
    </rPh>
    <phoneticPr fontId="2"/>
  </si>
  <si>
    <t>0.33
（全1）</t>
    <rPh sb="6" eb="7">
      <t>ゼン</t>
    </rPh>
    <phoneticPr fontId="2"/>
  </si>
  <si>
    <t>200&lt;</t>
  </si>
  <si>
    <t>30&lt;</t>
  </si>
  <si>
    <t>多々良島(2)</t>
    <rPh sb="0" eb="3">
      <t>タタラ</t>
    </rPh>
    <rPh sb="3" eb="4">
      <t>ジマ</t>
    </rPh>
    <phoneticPr fontId="4"/>
  </si>
  <si>
    <t>福江　屋根尾島</t>
  </si>
  <si>
    <t>中通島　青木浦</t>
    <rPh sb="0" eb="2">
      <t>アオキ</t>
    </rPh>
    <rPh sb="2" eb="3">
      <t>ウラ</t>
    </rPh>
    <phoneticPr fontId="3"/>
  </si>
  <si>
    <t>中通島　ダイビングショップ前</t>
    <rPh sb="0" eb="1">
      <t>アル</t>
    </rPh>
    <phoneticPr fontId="3"/>
  </si>
  <si>
    <t>枝状・卓状ﾐﾄﾞﾘｲｼ混成型</t>
    <rPh sb="0" eb="1">
      <t>エダ</t>
    </rPh>
    <rPh sb="1" eb="2">
      <t>ジョウ</t>
    </rPh>
    <rPh sb="3" eb="5">
      <t>タクジョウ</t>
    </rPh>
    <rPh sb="11" eb="13">
      <t>コンセイ</t>
    </rPh>
    <rPh sb="13" eb="14">
      <t>ガタ</t>
    </rPh>
    <phoneticPr fontId="2"/>
  </si>
  <si>
    <t>多種混成型</t>
    <rPh sb="0" eb="2">
      <t>タシュ</t>
    </rPh>
    <rPh sb="2" eb="4">
      <t>コンセイ</t>
    </rPh>
    <rPh sb="4" eb="5">
      <t>カタ</t>
    </rPh>
    <phoneticPr fontId="2"/>
  </si>
  <si>
    <t>6a</t>
  </si>
  <si>
    <t>‐</t>
  </si>
  <si>
    <t>20-30&lt;</t>
  </si>
  <si>
    <t>&lt;30</t>
  </si>
  <si>
    <t>＜5</t>
  </si>
  <si>
    <t xml:space="preserve">20
</t>
  </si>
  <si>
    <t>平林
仮屋
垣本</t>
    <rPh sb="0" eb="2">
      <t>ヒラバヤシ</t>
    </rPh>
    <rPh sb="3" eb="5">
      <t>カリヤ</t>
    </rPh>
    <rPh sb="6" eb="8">
      <t>カキモト</t>
    </rPh>
    <phoneticPr fontId="2"/>
  </si>
  <si>
    <t>平林
吉田</t>
    <rPh sb="0" eb="2">
      <t>ヒラバヤシ</t>
    </rPh>
    <rPh sb="3" eb="5">
      <t>ヨシダ</t>
    </rPh>
    <phoneticPr fontId="2"/>
  </si>
  <si>
    <t>平林
橋野
山本</t>
    <rPh sb="0" eb="2">
      <t>ヒラバヤシ</t>
    </rPh>
    <rPh sb="3" eb="5">
      <t>ハシノ</t>
    </rPh>
    <rPh sb="6" eb="8">
      <t>ヤマモト</t>
    </rPh>
    <phoneticPr fontId="2"/>
  </si>
  <si>
    <t>平林
李
垣本
吉田</t>
    <rPh sb="0" eb="2">
      <t>ヒラバヤシ</t>
    </rPh>
    <rPh sb="3" eb="4">
      <t>リ</t>
    </rPh>
    <rPh sb="5" eb="7">
      <t>カキモト</t>
    </rPh>
    <rPh sb="8" eb="10">
      <t>ヨシダ</t>
    </rPh>
    <phoneticPr fontId="2"/>
  </si>
  <si>
    <t>平林
原田</t>
    <rPh sb="0" eb="2">
      <t>ヒラバヤシ</t>
    </rPh>
    <rPh sb="3" eb="5">
      <t>ハラダ</t>
    </rPh>
    <phoneticPr fontId="2"/>
  </si>
  <si>
    <t>平林
中西
本多
井池</t>
    <rPh sb="0" eb="2">
      <t>ヒラバヤシ</t>
    </rPh>
    <rPh sb="3" eb="5">
      <t>ナカニシ</t>
    </rPh>
    <rPh sb="6" eb="8">
      <t>ホンタ</t>
    </rPh>
    <rPh sb="9" eb="11">
      <t>イイケ</t>
    </rPh>
    <phoneticPr fontId="2"/>
  </si>
  <si>
    <t>1
(全5)</t>
    <rPh sb="3" eb="4">
      <t>ゼン</t>
    </rPh>
    <phoneticPr fontId="2"/>
  </si>
  <si>
    <t>1.33
(全9)</t>
    <rPh sb="6" eb="7">
      <t>ゼン</t>
    </rPh>
    <phoneticPr fontId="2"/>
  </si>
  <si>
    <t>0.67
(全2)</t>
    <rPh sb="6" eb="7">
      <t>ゼン</t>
    </rPh>
    <phoneticPr fontId="2"/>
  </si>
  <si>
    <t>1.33
(全10)</t>
    <rPh sb="6" eb="7">
      <t>ゼン</t>
    </rPh>
    <phoneticPr fontId="2"/>
  </si>
  <si>
    <t>&lt;10</t>
  </si>
  <si>
    <t>浜比嘉島西</t>
  </si>
  <si>
    <t>チービシナガンヌ南2022</t>
    <rPh sb="8" eb="9">
      <t>ミナミ</t>
    </rPh>
    <phoneticPr fontId="2"/>
  </si>
  <si>
    <t>宜野湾漁港西</t>
    <rPh sb="0" eb="3">
      <t>ギノワン</t>
    </rPh>
    <rPh sb="3" eb="5">
      <t>ギョコウ</t>
    </rPh>
    <rPh sb="5" eb="6">
      <t>ニシ</t>
    </rPh>
    <phoneticPr fontId="2"/>
  </si>
  <si>
    <t>イナンビシ西</t>
    <rPh sb="5" eb="6">
      <t>ニシ</t>
    </rPh>
    <phoneticPr fontId="2"/>
  </si>
  <si>
    <t>冨着チンバマグムイ</t>
    <rPh sb="0" eb="2">
      <t>フチャク</t>
    </rPh>
    <phoneticPr fontId="2"/>
  </si>
  <si>
    <t>恩納村万座毛西</t>
    <rPh sb="0" eb="3">
      <t>オンナソン</t>
    </rPh>
    <rPh sb="3" eb="5">
      <t>マンザ</t>
    </rPh>
    <rPh sb="5" eb="6">
      <t>モウ</t>
    </rPh>
    <rPh sb="6" eb="7">
      <t>ニシ</t>
    </rPh>
    <phoneticPr fontId="2"/>
  </si>
  <si>
    <t>恩納村万座毛</t>
    <rPh sb="0" eb="3">
      <t>オンナソン</t>
    </rPh>
    <rPh sb="3" eb="5">
      <t>マンザ</t>
    </rPh>
    <rPh sb="5" eb="6">
      <t>モウ</t>
    </rPh>
    <phoneticPr fontId="2"/>
  </si>
  <si>
    <t>屋部</t>
    <rPh sb="0" eb="2">
      <t>ヤブ</t>
    </rPh>
    <phoneticPr fontId="2"/>
  </si>
  <si>
    <t>瀬底島北</t>
    <rPh sb="0" eb="1">
      <t>セ</t>
    </rPh>
    <rPh sb="1" eb="2">
      <t>ソコ</t>
    </rPh>
    <rPh sb="2" eb="3">
      <t>シマ</t>
    </rPh>
    <rPh sb="3" eb="4">
      <t>キタ</t>
    </rPh>
    <phoneticPr fontId="2"/>
  </si>
  <si>
    <t>伊江島西旧</t>
    <rPh sb="0" eb="1">
      <t>イ</t>
    </rPh>
    <rPh sb="1" eb="2">
      <t>エ</t>
    </rPh>
    <rPh sb="2" eb="3">
      <t>シマ</t>
    </rPh>
    <rPh sb="3" eb="4">
      <t>ニシ</t>
    </rPh>
    <rPh sb="4" eb="5">
      <t>キュウ</t>
    </rPh>
    <phoneticPr fontId="2"/>
  </si>
  <si>
    <t>枝状・卓状ミドリイシ混成型</t>
  </si>
  <si>
    <t>入り江</t>
    <rPh sb="0" eb="1">
      <t>イ</t>
    </rPh>
    <rPh sb="2" eb="3">
      <t>エ</t>
    </rPh>
    <phoneticPr fontId="3"/>
  </si>
  <si>
    <t>内湾（斜面）</t>
    <rPh sb="0" eb="2">
      <t xml:space="preserve">ナイワン </t>
    </rPh>
    <rPh sb="3" eb="5">
      <t xml:space="preserve">シャメン </t>
    </rPh>
    <phoneticPr fontId="3"/>
  </si>
  <si>
    <t>3–10</t>
  </si>
  <si>
    <t>砂70, ガレ30</t>
    <rPh sb="0" eb="1">
      <t xml:space="preserve">スナ </t>
    </rPh>
    <phoneticPr fontId="2"/>
  </si>
  <si>
    <t>1–8</t>
  </si>
  <si>
    <t>砂50, 石50</t>
    <rPh sb="0" eb="1">
      <t xml:space="preserve">スナ </t>
    </rPh>
    <rPh sb="5" eb="6">
      <t xml:space="preserve">イシ </t>
    </rPh>
    <phoneticPr fontId="2"/>
  </si>
  <si>
    <t>10–19</t>
  </si>
  <si>
    <t>岩石50, 砂30, ミル30</t>
    <rPh sb="0" eb="2">
      <t xml:space="preserve">ガンセキ </t>
    </rPh>
    <rPh sb="6" eb="7">
      <t xml:space="preserve">スナ </t>
    </rPh>
    <phoneticPr fontId="2"/>
  </si>
  <si>
    <t>5–15</t>
  </si>
  <si>
    <t>砂95, 石5</t>
    <rPh sb="0" eb="1">
      <t xml:space="preserve">スナ </t>
    </rPh>
    <rPh sb="5" eb="6">
      <t xml:space="preserve">イシ </t>
    </rPh>
    <phoneticPr fontId="2"/>
  </si>
  <si>
    <t>7×100</t>
    <phoneticPr fontId="3"/>
  </si>
  <si>
    <t>縁脚</t>
    <rPh sb="0" eb="1">
      <t>エン</t>
    </rPh>
    <rPh sb="1" eb="2">
      <t>キャク</t>
    </rPh>
    <phoneticPr fontId="2"/>
  </si>
  <si>
    <t>礁斜面</t>
    <rPh sb="0" eb="1">
      <t>ショウ</t>
    </rPh>
    <rPh sb="1" eb="3">
      <t>シャメン</t>
    </rPh>
    <phoneticPr fontId="2"/>
  </si>
  <si>
    <t>離れの周囲、礁斜面</t>
    <rPh sb="0" eb="1">
      <t>ハナ</t>
    </rPh>
    <rPh sb="3" eb="5">
      <t>シュウイ</t>
    </rPh>
    <rPh sb="6" eb="7">
      <t>ショウ</t>
    </rPh>
    <rPh sb="7" eb="9">
      <t>シャメン</t>
    </rPh>
    <phoneticPr fontId="2"/>
  </si>
  <si>
    <t>1-10</t>
  </si>
  <si>
    <t>5-18</t>
  </si>
  <si>
    <t>3-10</t>
  </si>
  <si>
    <t>1-8</t>
  </si>
  <si>
    <t>1-12</t>
  </si>
  <si>
    <t>2-10</t>
  </si>
  <si>
    <t>礁池</t>
    <rPh sb="0" eb="1">
      <t>ショウ</t>
    </rPh>
    <rPh sb="1" eb="2">
      <t>チ</t>
    </rPh>
    <phoneticPr fontId="2"/>
  </si>
  <si>
    <t>0-2</t>
  </si>
  <si>
    <t>1-5</t>
  </si>
  <si>
    <t>1-7</t>
  </si>
  <si>
    <t>0-1</t>
  </si>
  <si>
    <t>口之島赤立</t>
    <rPh sb="0" eb="3">
      <t xml:space="preserve">クチノシマ </t>
    </rPh>
    <rPh sb="3" eb="5">
      <t xml:space="preserve">アカタチガミ </t>
    </rPh>
    <phoneticPr fontId="15"/>
  </si>
  <si>
    <t>R3</t>
    <phoneticPr fontId="3"/>
  </si>
  <si>
    <t>増減</t>
    <rPh sb="0" eb="2">
      <t>ゾウゲン</t>
    </rPh>
    <phoneticPr fontId="3"/>
  </si>
  <si>
    <t>　　　以上からなる密集した貝集団は見られない。</t>
    <phoneticPr fontId="3"/>
  </si>
  <si>
    <t>納品版では削除or非表示</t>
    <rPh sb="0" eb="2">
      <t>ノウヒン</t>
    </rPh>
    <rPh sb="2" eb="3">
      <t>バン</t>
    </rPh>
    <rPh sb="5" eb="7">
      <t>サクジョ</t>
    </rPh>
    <rPh sb="9" eb="12">
      <t>ヒヒョウジ</t>
    </rPh>
    <phoneticPr fontId="3"/>
  </si>
  <si>
    <t>袴腰海中公園</t>
    <rPh sb="1" eb="2">
      <t>コシ</t>
    </rPh>
    <rPh sb="2" eb="6">
      <t>カイチュウコウエン</t>
    </rPh>
    <phoneticPr fontId="19"/>
  </si>
  <si>
    <t>32°09′42.8″</t>
  </si>
  <si>
    <t>130°03′16.14″</t>
  </si>
  <si>
    <t>32°09′42.9″</t>
  </si>
  <si>
    <t>130°03′16.15″</t>
  </si>
  <si>
    <t>32°09′42.10″</t>
  </si>
  <si>
    <t>130°03′16.16″</t>
  </si>
  <si>
    <t>32°09′42.11″</t>
  </si>
  <si>
    <t>130°03′16.17″</t>
  </si>
  <si>
    <t>32°09′42.12″</t>
  </si>
  <si>
    <t>130°03′16.18″</t>
  </si>
  <si>
    <t>32°09′42.13″</t>
  </si>
  <si>
    <t>130°03′16.19″</t>
  </si>
  <si>
    <t>32°09′42.14″</t>
  </si>
  <si>
    <t>130°03′16.20″</t>
  </si>
  <si>
    <t>岩・砂</t>
    <rPh sb="0" eb="1">
      <t>イワ</t>
    </rPh>
    <rPh sb="2" eb="3">
      <t>サ</t>
    </rPh>
    <phoneticPr fontId="2"/>
  </si>
  <si>
    <t>内海</t>
    <rPh sb="0" eb="2">
      <t>ウチウミ</t>
    </rPh>
    <phoneticPr fontId="2"/>
  </si>
  <si>
    <t>外洋</t>
    <rPh sb="0" eb="2">
      <t>ガイヨウ</t>
    </rPh>
    <phoneticPr fontId="3"/>
  </si>
  <si>
    <t>25×25</t>
  </si>
  <si>
    <t>15×35</t>
  </si>
  <si>
    <t>25×30</t>
  </si>
  <si>
    <t>和歌山県</t>
  </si>
  <si>
    <t>大隅諸島</t>
    <rPh sb="0" eb="2">
      <t>オオスミ</t>
    </rPh>
    <rPh sb="2" eb="4">
      <t>ショトウ</t>
    </rPh>
    <phoneticPr fontId="5"/>
  </si>
  <si>
    <t>屋久島・種子島周辺</t>
    <rPh sb="0" eb="3">
      <t>ヤクシマ</t>
    </rPh>
    <rPh sb="4" eb="7">
      <t>タネガシマ</t>
    </rPh>
    <rPh sb="7" eb="9">
      <t>シュウヘン</t>
    </rPh>
    <phoneticPr fontId="5"/>
  </si>
  <si>
    <t>屋久島　志戸子</t>
    <rPh sb="0" eb="3">
      <t>ヤクシマ</t>
    </rPh>
    <rPh sb="4" eb="7">
      <t>シトゴ</t>
    </rPh>
    <phoneticPr fontId="9"/>
  </si>
  <si>
    <t>松本</t>
    <rPh sb="0" eb="2">
      <t>マツモト</t>
    </rPh>
    <phoneticPr fontId="4"/>
  </si>
  <si>
    <t>屋久島　元浦　</t>
    <rPh sb="0" eb="3">
      <t>ヤクシマ</t>
    </rPh>
    <rPh sb="4" eb="6">
      <t>モトウラ</t>
    </rPh>
    <phoneticPr fontId="9"/>
  </si>
  <si>
    <t xml:space="preserve">屋久島 管理棟下　 </t>
    <rPh sb="0" eb="3">
      <t>ヤクシマ</t>
    </rPh>
    <rPh sb="4" eb="6">
      <t>カンリ</t>
    </rPh>
    <rPh sb="6" eb="7">
      <t>トウ</t>
    </rPh>
    <rPh sb="7" eb="8">
      <t>シタ</t>
    </rPh>
    <phoneticPr fontId="9"/>
  </si>
  <si>
    <t>卓状ミドリイシ優占型</t>
    <rPh sb="0" eb="2">
      <t>タクジョウ</t>
    </rPh>
    <rPh sb="7" eb="8">
      <t>ユウ</t>
    </rPh>
    <rPh sb="8" eb="9">
      <t>ウラナイ</t>
    </rPh>
    <rPh sb="9" eb="10">
      <t>カタ</t>
    </rPh>
    <phoneticPr fontId="4"/>
  </si>
  <si>
    <t>屋久島　お宮下　</t>
    <rPh sb="0" eb="3">
      <t>ヤクシマ</t>
    </rPh>
    <rPh sb="5" eb="7">
      <t>ミヤシタ</t>
    </rPh>
    <phoneticPr fontId="9"/>
  </si>
  <si>
    <t>屋久島タンク下　</t>
    <rPh sb="0" eb="3">
      <t>ヤクシマ</t>
    </rPh>
    <rPh sb="6" eb="7">
      <t>シタ</t>
    </rPh>
    <phoneticPr fontId="9"/>
  </si>
  <si>
    <t>屋久島センロク　</t>
    <rPh sb="0" eb="3">
      <t>ヤクシマ</t>
    </rPh>
    <phoneticPr fontId="9"/>
  </si>
  <si>
    <t>屋久島　塚崎　</t>
    <rPh sb="4" eb="6">
      <t>ツカザキ</t>
    </rPh>
    <phoneticPr fontId="9"/>
  </si>
  <si>
    <t>屋久島　中間　</t>
    <rPh sb="0" eb="3">
      <t>ヤクシマ</t>
    </rPh>
    <rPh sb="4" eb="6">
      <t>ナカマ</t>
    </rPh>
    <phoneticPr fontId="9"/>
  </si>
  <si>
    <t>屋久島　湯泊　</t>
    <rPh sb="0" eb="3">
      <t>ヤクシマ</t>
    </rPh>
    <rPh sb="4" eb="6">
      <t>ユドマリ</t>
    </rPh>
    <phoneticPr fontId="9"/>
  </si>
  <si>
    <t>屋久島　麦生　</t>
    <rPh sb="0" eb="3">
      <t>ヤクシマ</t>
    </rPh>
    <rPh sb="4" eb="6">
      <t>ムギオ</t>
    </rPh>
    <phoneticPr fontId="9"/>
  </si>
  <si>
    <t>口永良部　寝待　</t>
    <rPh sb="0" eb="4">
      <t>クチエラブ</t>
    </rPh>
    <rPh sb="5" eb="7">
      <t>ネマチ</t>
    </rPh>
    <phoneticPr fontId="9"/>
  </si>
  <si>
    <t>口永良部岩屋泊</t>
    <rPh sb="0" eb="4">
      <t>クチエラブ</t>
    </rPh>
    <rPh sb="4" eb="6">
      <t>イワヤ</t>
    </rPh>
    <rPh sb="6" eb="7">
      <t>トマリ</t>
    </rPh>
    <phoneticPr fontId="9"/>
  </si>
  <si>
    <t>馬毛島　</t>
    <rPh sb="0" eb="3">
      <t>マゲシマ</t>
    </rPh>
    <phoneticPr fontId="9"/>
  </si>
  <si>
    <t>種子島　大瀬</t>
    <rPh sb="0" eb="3">
      <t>タネガシマ</t>
    </rPh>
    <rPh sb="4" eb="6">
      <t>オオセ</t>
    </rPh>
    <phoneticPr fontId="9"/>
  </si>
  <si>
    <t>種子島　住吉　　</t>
    <rPh sb="0" eb="3">
      <t>タネガシマ</t>
    </rPh>
    <rPh sb="4" eb="6">
      <t>スミヨシ</t>
    </rPh>
    <phoneticPr fontId="9"/>
  </si>
  <si>
    <t xml:space="preserve">竹島　コモリ港 </t>
    <rPh sb="0" eb="2">
      <t>タケシマ</t>
    </rPh>
    <rPh sb="6" eb="7">
      <t>コウ</t>
    </rPh>
    <phoneticPr fontId="9"/>
  </si>
  <si>
    <t>硫黄島 永良部崎　</t>
    <rPh sb="0" eb="3">
      <t>イオウジマ</t>
    </rPh>
    <rPh sb="4" eb="7">
      <t>エラブ</t>
    </rPh>
    <rPh sb="7" eb="8">
      <t>サキ</t>
    </rPh>
    <phoneticPr fontId="9"/>
  </si>
  <si>
    <t>黒島　夫婦瀬</t>
    <rPh sb="0" eb="2">
      <t>クロシマ</t>
    </rPh>
    <rPh sb="3" eb="5">
      <t>フウフ</t>
    </rPh>
    <rPh sb="5" eb="6">
      <t>セ</t>
    </rPh>
    <phoneticPr fontId="4"/>
  </si>
  <si>
    <t>大隅諸島</t>
  </si>
  <si>
    <t>種子島　浦田ビーチ　</t>
    <rPh sb="0" eb="3">
      <t>タネガシマ</t>
    </rPh>
    <rPh sb="4" eb="6">
      <t>ウラタ</t>
    </rPh>
    <phoneticPr fontId="9"/>
  </si>
  <si>
    <t>小宝島周辺</t>
    <rPh sb="0" eb="1">
      <t>コ</t>
    </rPh>
    <rPh sb="1" eb="3">
      <t>タカラジマ</t>
    </rPh>
    <rPh sb="3" eb="5">
      <t>シュウヘン</t>
    </rPh>
    <phoneticPr fontId="14"/>
  </si>
  <si>
    <t>宝島前篭港東</t>
    <rPh sb="0" eb="2">
      <t>タカラジマ</t>
    </rPh>
    <rPh sb="2" eb="3">
      <t>マエ</t>
    </rPh>
    <rPh sb="3" eb="4">
      <t>コモ</t>
    </rPh>
    <rPh sb="4" eb="5">
      <t>ミナト</t>
    </rPh>
    <rPh sb="5" eb="6">
      <t>ヒガシ</t>
    </rPh>
    <phoneticPr fontId="5"/>
  </si>
  <si>
    <t>北野・下池</t>
    <rPh sb="0" eb="2">
      <t xml:space="preserve">キタノユウコ </t>
    </rPh>
    <rPh sb="3" eb="5">
      <t xml:space="preserve">シモイケ </t>
    </rPh>
    <phoneticPr fontId="14"/>
  </si>
  <si>
    <t>多種混成型</t>
    <rPh sb="0" eb="2">
      <t>タシュ</t>
    </rPh>
    <rPh sb="2" eb="4">
      <t>コンセイ</t>
    </rPh>
    <rPh sb="4" eb="5">
      <t>カタ</t>
    </rPh>
    <phoneticPr fontId="4"/>
  </si>
  <si>
    <t>宝島海水浴場沖</t>
    <rPh sb="0" eb="2">
      <t>タカラジマ</t>
    </rPh>
    <rPh sb="2" eb="5">
      <t>カイスイヨク</t>
    </rPh>
    <rPh sb="5" eb="6">
      <t>ジョウ</t>
    </rPh>
    <rPh sb="6" eb="7">
      <t>オキ</t>
    </rPh>
    <phoneticPr fontId="5"/>
  </si>
  <si>
    <t>下池</t>
    <rPh sb="0" eb="1">
      <t xml:space="preserve">シモイケ </t>
    </rPh>
    <phoneticPr fontId="14"/>
  </si>
  <si>
    <t>卓状ﾐﾄﾞﾘｲｼ優占型</t>
    <rPh sb="0" eb="1">
      <t>タク</t>
    </rPh>
    <rPh sb="1" eb="2">
      <t>ジョウ</t>
    </rPh>
    <rPh sb="8" eb="10">
      <t>ユウセン</t>
    </rPh>
    <rPh sb="10" eb="11">
      <t>カタ</t>
    </rPh>
    <phoneticPr fontId="4"/>
  </si>
  <si>
    <t>宝島ヘリポート沖①</t>
    <rPh sb="0" eb="2">
      <t>タカラジマ</t>
    </rPh>
    <rPh sb="7" eb="8">
      <t>オキ</t>
    </rPh>
    <phoneticPr fontId="5"/>
  </si>
  <si>
    <t>宝島ヘリポート沖②</t>
    <rPh sb="0" eb="2">
      <t>タカラジマ</t>
    </rPh>
    <rPh sb="7" eb="8">
      <t>オキ</t>
    </rPh>
    <phoneticPr fontId="5"/>
  </si>
  <si>
    <t>無</t>
    <rPh sb="0" eb="1">
      <t xml:space="preserve">ナシ </t>
    </rPh>
    <phoneticPr fontId="15"/>
  </si>
  <si>
    <t>宝島洗石港南</t>
    <rPh sb="0" eb="2">
      <t>タカラジマ</t>
    </rPh>
    <rPh sb="2" eb="3">
      <t>アラ</t>
    </rPh>
    <rPh sb="3" eb="4">
      <t>ゴク</t>
    </rPh>
    <rPh sb="4" eb="5">
      <t>ミナト</t>
    </rPh>
    <rPh sb="5" eb="6">
      <t>ミナミ</t>
    </rPh>
    <phoneticPr fontId="5"/>
  </si>
  <si>
    <t>宝島ヘリポート沖③</t>
    <rPh sb="0" eb="2">
      <t>タカラジマ</t>
    </rPh>
    <rPh sb="7" eb="8">
      <t>オキ</t>
    </rPh>
    <phoneticPr fontId="5"/>
  </si>
  <si>
    <t>特定類優占型（ハナヤサイサンゴ属）</t>
    <rPh sb="0" eb="2">
      <t>トクテイ</t>
    </rPh>
    <rPh sb="2" eb="3">
      <t>ルイ</t>
    </rPh>
    <rPh sb="3" eb="5">
      <t>ユウセン</t>
    </rPh>
    <rPh sb="5" eb="6">
      <t>カタ</t>
    </rPh>
    <phoneticPr fontId="4"/>
  </si>
  <si>
    <t>宝島ヘリポート沖④</t>
    <rPh sb="0" eb="2">
      <t>タカラジマ</t>
    </rPh>
    <rPh sb="7" eb="8">
      <t>オキ</t>
    </rPh>
    <phoneticPr fontId="5"/>
  </si>
  <si>
    <t>ソフトコーラル優占型</t>
    <rPh sb="7" eb="9">
      <t>ユウセン</t>
    </rPh>
    <rPh sb="9" eb="10">
      <t>ガタ</t>
    </rPh>
    <phoneticPr fontId="4"/>
  </si>
  <si>
    <t>小宝島港西</t>
    <rPh sb="0" eb="1">
      <t>コ</t>
    </rPh>
    <rPh sb="1" eb="3">
      <t>タカラジマ</t>
    </rPh>
    <rPh sb="3" eb="4">
      <t>ミナト</t>
    </rPh>
    <rPh sb="4" eb="5">
      <t>ニシ</t>
    </rPh>
    <phoneticPr fontId="5"/>
  </si>
  <si>
    <t>悪石島北東岸畝神</t>
    <rPh sb="0" eb="1">
      <t>アク</t>
    </rPh>
    <rPh sb="1" eb="2">
      <t>セキ</t>
    </rPh>
    <rPh sb="2" eb="3">
      <t>ジマ</t>
    </rPh>
    <rPh sb="3" eb="5">
      <t>ホクトウ</t>
    </rPh>
    <rPh sb="5" eb="6">
      <t>ガン</t>
    </rPh>
    <rPh sb="6" eb="7">
      <t>ホ</t>
    </rPh>
    <rPh sb="7" eb="8">
      <t>ガミ</t>
    </rPh>
    <phoneticPr fontId="5"/>
  </si>
  <si>
    <t>多種混成型（被覆状）</t>
    <rPh sb="0" eb="2">
      <t>タシュ</t>
    </rPh>
    <rPh sb="2" eb="4">
      <t>コンセイ</t>
    </rPh>
    <rPh sb="4" eb="5">
      <t>カタ</t>
    </rPh>
    <phoneticPr fontId="4"/>
  </si>
  <si>
    <t>悪石島東岸女神山岬下</t>
    <rPh sb="0" eb="1">
      <t>アク</t>
    </rPh>
    <rPh sb="1" eb="2">
      <t>セキ</t>
    </rPh>
    <rPh sb="2" eb="3">
      <t>ジマ</t>
    </rPh>
    <rPh sb="3" eb="5">
      <t>トウガン</t>
    </rPh>
    <rPh sb="5" eb="7">
      <t>メガミ</t>
    </rPh>
    <rPh sb="7" eb="8">
      <t>ヤマ</t>
    </rPh>
    <rPh sb="8" eb="9">
      <t>ミサキ</t>
    </rPh>
    <rPh sb="9" eb="10">
      <t>シタ</t>
    </rPh>
    <phoneticPr fontId="5"/>
  </si>
  <si>
    <t>諏訪之瀬島南東岸</t>
    <rPh sb="0" eb="2">
      <t>スワ</t>
    </rPh>
    <rPh sb="2" eb="3">
      <t>ノ</t>
    </rPh>
    <rPh sb="3" eb="4">
      <t>セ</t>
    </rPh>
    <rPh sb="4" eb="5">
      <t>ジマ</t>
    </rPh>
    <rPh sb="5" eb="7">
      <t>ナントウ</t>
    </rPh>
    <rPh sb="7" eb="8">
      <t>ガン</t>
    </rPh>
    <phoneticPr fontId="5"/>
  </si>
  <si>
    <t>諏訪之瀬島港桟橋南</t>
    <rPh sb="0" eb="2">
      <t>スワ</t>
    </rPh>
    <rPh sb="2" eb="3">
      <t>ノ</t>
    </rPh>
    <rPh sb="3" eb="4">
      <t>セ</t>
    </rPh>
    <rPh sb="4" eb="5">
      <t>ジマ</t>
    </rPh>
    <rPh sb="5" eb="6">
      <t>ミナト</t>
    </rPh>
    <rPh sb="6" eb="8">
      <t>サンバシ</t>
    </rPh>
    <rPh sb="8" eb="9">
      <t>ミナミ</t>
    </rPh>
    <phoneticPr fontId="5"/>
  </si>
  <si>
    <t>下池</t>
    <rPh sb="0" eb="2">
      <t xml:space="preserve">シモイケ </t>
    </rPh>
    <phoneticPr fontId="14"/>
  </si>
  <si>
    <t>中之島ジンニョム岳下</t>
    <rPh sb="0" eb="1">
      <t>ナカ</t>
    </rPh>
    <rPh sb="1" eb="2">
      <t>ノ</t>
    </rPh>
    <rPh sb="2" eb="3">
      <t>シマ</t>
    </rPh>
    <rPh sb="8" eb="9">
      <t>タケ</t>
    </rPh>
    <rPh sb="9" eb="10">
      <t>シタ</t>
    </rPh>
    <phoneticPr fontId="5"/>
  </si>
  <si>
    <t>有</t>
    <rPh sb="0" eb="1">
      <t>ア</t>
    </rPh>
    <phoneticPr fontId="15"/>
  </si>
  <si>
    <t>小宝島赤立神東</t>
    <rPh sb="0" eb="1">
      <t>コ</t>
    </rPh>
    <rPh sb="1" eb="3">
      <t>タカラジマ</t>
    </rPh>
    <rPh sb="3" eb="4">
      <t>アカ</t>
    </rPh>
    <rPh sb="4" eb="5">
      <t>タ</t>
    </rPh>
    <rPh sb="5" eb="6">
      <t>カミ</t>
    </rPh>
    <rPh sb="6" eb="7">
      <t>ヒガシ</t>
    </rPh>
    <phoneticPr fontId="7"/>
  </si>
  <si>
    <t>宝島前籠港西</t>
    <rPh sb="0" eb="2">
      <t>タカラジマ</t>
    </rPh>
    <rPh sb="2" eb="3">
      <t>マエ</t>
    </rPh>
    <rPh sb="3" eb="4">
      <t>コモ</t>
    </rPh>
    <rPh sb="4" eb="5">
      <t>ミナト</t>
    </rPh>
    <rPh sb="5" eb="6">
      <t>ニシ</t>
    </rPh>
    <phoneticPr fontId="7"/>
  </si>
  <si>
    <t>小宝島港南</t>
    <rPh sb="0" eb="1">
      <t>コ</t>
    </rPh>
    <rPh sb="1" eb="3">
      <t>タカラジマ</t>
    </rPh>
    <rPh sb="3" eb="4">
      <t>ミナト</t>
    </rPh>
    <rPh sb="4" eb="5">
      <t>ミナミ</t>
    </rPh>
    <phoneticPr fontId="7"/>
  </si>
  <si>
    <t>小宝島横瀬海岸東</t>
    <rPh sb="0" eb="1">
      <t>コ</t>
    </rPh>
    <rPh sb="1" eb="3">
      <t>タカラジマ</t>
    </rPh>
    <rPh sb="3" eb="5">
      <t>ヨコセ</t>
    </rPh>
    <rPh sb="5" eb="7">
      <t>カイガン</t>
    </rPh>
    <rPh sb="7" eb="8">
      <t>ヒガシ</t>
    </rPh>
    <phoneticPr fontId="7"/>
  </si>
  <si>
    <t>小宝島横瀬海岸西</t>
    <rPh sb="0" eb="1">
      <t>コ</t>
    </rPh>
    <rPh sb="1" eb="3">
      <t>タカラジマ</t>
    </rPh>
    <rPh sb="3" eb="5">
      <t>ヨコセ</t>
    </rPh>
    <rPh sb="5" eb="7">
      <t>カイガン</t>
    </rPh>
    <rPh sb="7" eb="8">
      <t>ニシ</t>
    </rPh>
    <phoneticPr fontId="7"/>
  </si>
  <si>
    <t>悪石島東浜</t>
    <rPh sb="0" eb="1">
      <t>アク</t>
    </rPh>
    <rPh sb="1" eb="2">
      <t>セキ</t>
    </rPh>
    <rPh sb="2" eb="3">
      <t>ジマ</t>
    </rPh>
    <rPh sb="3" eb="5">
      <t>ヒガシハマ</t>
    </rPh>
    <phoneticPr fontId="7"/>
  </si>
  <si>
    <t>中之島荷積</t>
    <rPh sb="0" eb="1">
      <t>ナカ</t>
    </rPh>
    <rPh sb="1" eb="2">
      <t>ノ</t>
    </rPh>
    <rPh sb="2" eb="3">
      <t>シマ</t>
    </rPh>
    <rPh sb="3" eb="4">
      <t>ニ</t>
    </rPh>
    <rPh sb="4" eb="5">
      <t>ツ</t>
    </rPh>
    <phoneticPr fontId="7"/>
  </si>
  <si>
    <t>中之島相原</t>
    <rPh sb="0" eb="1">
      <t>ナカ</t>
    </rPh>
    <rPh sb="1" eb="2">
      <t>ノ</t>
    </rPh>
    <rPh sb="2" eb="3">
      <t>シマ</t>
    </rPh>
    <rPh sb="3" eb="5">
      <t>アイハラ</t>
    </rPh>
    <phoneticPr fontId="7"/>
  </si>
  <si>
    <t>上ノ根島北</t>
    <rPh sb="0" eb="1">
      <t>カミ</t>
    </rPh>
    <rPh sb="2" eb="3">
      <t>ネ</t>
    </rPh>
    <rPh sb="3" eb="4">
      <t>ジマ</t>
    </rPh>
    <rPh sb="4" eb="5">
      <t>キタ</t>
    </rPh>
    <phoneticPr fontId="7"/>
  </si>
  <si>
    <t>横当島北入り江</t>
    <rPh sb="0" eb="1">
      <t>ヨコ</t>
    </rPh>
    <rPh sb="1" eb="2">
      <t>ア</t>
    </rPh>
    <rPh sb="2" eb="3">
      <t>ジマ</t>
    </rPh>
    <rPh sb="3" eb="4">
      <t>キタ</t>
    </rPh>
    <rPh sb="4" eb="5">
      <t>イ</t>
    </rPh>
    <rPh sb="6" eb="7">
      <t>エ</t>
    </rPh>
    <phoneticPr fontId="7"/>
  </si>
  <si>
    <t>枝状ﾐﾄﾞﾘｲｼ優占型</t>
    <rPh sb="0" eb="1">
      <t>エダ</t>
    </rPh>
    <rPh sb="1" eb="2">
      <t>ジョウ</t>
    </rPh>
    <rPh sb="8" eb="10">
      <t>ユウセン</t>
    </rPh>
    <rPh sb="10" eb="11">
      <t>カタ</t>
    </rPh>
    <phoneticPr fontId="4"/>
  </si>
  <si>
    <t>中之島七ツ山</t>
    <rPh sb="0" eb="1">
      <t>ナカ</t>
    </rPh>
    <rPh sb="1" eb="2">
      <t>ノ</t>
    </rPh>
    <rPh sb="2" eb="3">
      <t>シマ</t>
    </rPh>
    <rPh sb="3" eb="4">
      <t>ナナ</t>
    </rPh>
    <rPh sb="5" eb="6">
      <t>ヤマ</t>
    </rPh>
    <phoneticPr fontId="4"/>
  </si>
  <si>
    <t>特定類優占型（ニオウミドリイシ属）</t>
    <rPh sb="0" eb="2">
      <t>トクテイ</t>
    </rPh>
    <rPh sb="2" eb="3">
      <t>ルイ</t>
    </rPh>
    <rPh sb="3" eb="5">
      <t>ユウセン</t>
    </rPh>
    <rPh sb="5" eb="6">
      <t>カタ</t>
    </rPh>
    <phoneticPr fontId="4"/>
  </si>
  <si>
    <t>口之島赤立</t>
    <rPh sb="0" eb="3">
      <t xml:space="preserve">クチノシマ </t>
    </rPh>
    <rPh sb="3" eb="5">
      <t xml:space="preserve">アカタチガミ </t>
    </rPh>
    <phoneticPr fontId="16"/>
  </si>
  <si>
    <t>口之島エボシのハナレ</t>
    <rPh sb="0" eb="1">
      <t xml:space="preserve">クチノシマ </t>
    </rPh>
    <phoneticPr fontId="16"/>
  </si>
  <si>
    <t>卓・枝ﾐﾄﾞﾘｲｼ優占型</t>
    <rPh sb="0" eb="1">
      <t>タク</t>
    </rPh>
    <rPh sb="2" eb="3">
      <t>エダ</t>
    </rPh>
    <rPh sb="9" eb="11">
      <t>ユウセン</t>
    </rPh>
    <rPh sb="11" eb="12">
      <t>カタ</t>
    </rPh>
    <phoneticPr fontId="4"/>
  </si>
  <si>
    <t>口之島オランナダ</t>
    <rPh sb="0" eb="3">
      <t xml:space="preserve">クチノシマ </t>
    </rPh>
    <phoneticPr fontId="16"/>
  </si>
  <si>
    <t>口之島前之浜</t>
    <rPh sb="0" eb="3">
      <t xml:space="preserve">クチノシマ </t>
    </rPh>
    <rPh sb="3" eb="6">
      <t xml:space="preserve">マエノハマ </t>
    </rPh>
    <phoneticPr fontId="16"/>
  </si>
  <si>
    <t>口之島平瀬海水浴場前</t>
    <rPh sb="0" eb="3">
      <t xml:space="preserve">クチノシマ </t>
    </rPh>
    <rPh sb="3" eb="5">
      <t xml:space="preserve">ヒラセ </t>
    </rPh>
    <rPh sb="5" eb="9">
      <t xml:space="preserve">カイスイヨクジョウ </t>
    </rPh>
    <rPh sb="9" eb="10">
      <t xml:space="preserve">マエ </t>
    </rPh>
    <phoneticPr fontId="16"/>
  </si>
  <si>
    <t>奄美群島</t>
    <rPh sb="0" eb="2">
      <t>アマミ</t>
    </rPh>
    <rPh sb="2" eb="4">
      <t>グントウ</t>
    </rPh>
    <phoneticPr fontId="5"/>
  </si>
  <si>
    <t>瀬戸内周辺（大島）</t>
    <rPh sb="0" eb="1">
      <t>セ</t>
    </rPh>
    <rPh sb="1" eb="3">
      <t>トウチ</t>
    </rPh>
    <rPh sb="3" eb="5">
      <t>シュウヘン</t>
    </rPh>
    <rPh sb="6" eb="8">
      <t>オオシマ</t>
    </rPh>
    <phoneticPr fontId="5"/>
  </si>
  <si>
    <t>赤木名立神</t>
    <rPh sb="0" eb="1">
      <t>アカ</t>
    </rPh>
    <rPh sb="1" eb="2">
      <t>キ</t>
    </rPh>
    <rPh sb="2" eb="3">
      <t>ナ</t>
    </rPh>
    <rPh sb="3" eb="4">
      <t>タ</t>
    </rPh>
    <rPh sb="4" eb="5">
      <t>カミ</t>
    </rPh>
    <phoneticPr fontId="4"/>
  </si>
  <si>
    <t>興克樹</t>
    <rPh sb="0" eb="1">
      <t>オキ</t>
    </rPh>
    <rPh sb="1" eb="3">
      <t>カツキ</t>
    </rPh>
    <phoneticPr fontId="4"/>
  </si>
  <si>
    <t>枝状・卓状ミドリイシ混成型</t>
    <rPh sb="10" eb="12">
      <t>コンセイ</t>
    </rPh>
    <phoneticPr fontId="14"/>
  </si>
  <si>
    <t>神の子</t>
    <rPh sb="0" eb="1">
      <t>カミ</t>
    </rPh>
    <rPh sb="2" eb="3">
      <t>コ</t>
    </rPh>
    <phoneticPr fontId="4"/>
  </si>
  <si>
    <t>久場</t>
    <rPh sb="0" eb="1">
      <t>ヒサ</t>
    </rPh>
    <rPh sb="1" eb="2">
      <t>バ</t>
    </rPh>
    <phoneticPr fontId="4"/>
  </si>
  <si>
    <t>安木屋場</t>
    <rPh sb="0" eb="1">
      <t>アン</t>
    </rPh>
    <rPh sb="1" eb="2">
      <t>キ</t>
    </rPh>
    <rPh sb="2" eb="3">
      <t>ヤ</t>
    </rPh>
    <rPh sb="3" eb="4">
      <t>バ</t>
    </rPh>
    <phoneticPr fontId="4"/>
  </si>
  <si>
    <t>崎原東</t>
    <rPh sb="0" eb="2">
      <t>サキバル</t>
    </rPh>
    <rPh sb="2" eb="3">
      <t>ヒガシ</t>
    </rPh>
    <phoneticPr fontId="4"/>
  </si>
  <si>
    <t>卓状ミドリイシ優占型</t>
    <rPh sb="0" eb="2">
      <t>タクジョウ</t>
    </rPh>
    <rPh sb="7" eb="8">
      <t>ユウ</t>
    </rPh>
    <rPh sb="8" eb="9">
      <t>ウラナイ</t>
    </rPh>
    <rPh sb="9" eb="10">
      <t>カタ</t>
    </rPh>
    <phoneticPr fontId="15"/>
  </si>
  <si>
    <t>崎原南</t>
    <rPh sb="0" eb="2">
      <t>サキバル</t>
    </rPh>
    <rPh sb="2" eb="3">
      <t>ミナミ</t>
    </rPh>
    <phoneticPr fontId="4"/>
  </si>
  <si>
    <t>摺子崎</t>
    <rPh sb="0" eb="3">
      <t>スリコザキ</t>
    </rPh>
    <phoneticPr fontId="4"/>
  </si>
  <si>
    <t>大浜</t>
    <rPh sb="0" eb="2">
      <t>オオハマ</t>
    </rPh>
    <phoneticPr fontId="4"/>
  </si>
  <si>
    <t>徳浜</t>
    <rPh sb="0" eb="2">
      <t>トクハマ</t>
    </rPh>
    <phoneticPr fontId="4"/>
  </si>
  <si>
    <t>和瀬</t>
    <rPh sb="0" eb="1">
      <t>ワ</t>
    </rPh>
    <rPh sb="1" eb="2">
      <t>セ</t>
    </rPh>
    <phoneticPr fontId="4"/>
  </si>
  <si>
    <t>実久</t>
    <rPh sb="0" eb="1">
      <t>サネ</t>
    </rPh>
    <rPh sb="1" eb="2">
      <t>ヒサ</t>
    </rPh>
    <phoneticPr fontId="4"/>
  </si>
  <si>
    <t>デリキョンマ崎</t>
    <rPh sb="6" eb="7">
      <t>サキ</t>
    </rPh>
    <phoneticPr fontId="4"/>
  </si>
  <si>
    <t>手安</t>
    <rPh sb="0" eb="1">
      <t>テ</t>
    </rPh>
    <rPh sb="1" eb="2">
      <t>アン</t>
    </rPh>
    <phoneticPr fontId="4"/>
  </si>
  <si>
    <t>安脚場</t>
    <rPh sb="0" eb="1">
      <t>アン</t>
    </rPh>
    <rPh sb="1" eb="2">
      <t>キャク</t>
    </rPh>
    <rPh sb="2" eb="3">
      <t>バ</t>
    </rPh>
    <phoneticPr fontId="4"/>
  </si>
  <si>
    <t>沖縄島東岸</t>
    <rPh sb="0" eb="3">
      <t>オキナワジマ</t>
    </rPh>
    <rPh sb="3" eb="5">
      <t>ヒガシガン</t>
    </rPh>
    <phoneticPr fontId="4"/>
  </si>
  <si>
    <t>荒崎西礁池**</t>
    <rPh sb="0" eb="2">
      <t>アラサキ</t>
    </rPh>
    <rPh sb="2" eb="3">
      <t>ニシ</t>
    </rPh>
    <rPh sb="3" eb="4">
      <t>ショウ</t>
    </rPh>
    <rPh sb="4" eb="5">
      <t>チ</t>
    </rPh>
    <phoneticPr fontId="4"/>
  </si>
  <si>
    <t>長田智史</t>
    <rPh sb="0" eb="4">
      <t>ナガタトモフミ</t>
    </rPh>
    <phoneticPr fontId="4"/>
  </si>
  <si>
    <t>大度海岸礁池**</t>
    <rPh sb="0" eb="1">
      <t>オオド</t>
    </rPh>
    <rPh sb="1" eb="2">
      <t>ド</t>
    </rPh>
    <rPh sb="2" eb="4">
      <t>カイガン</t>
    </rPh>
    <rPh sb="4" eb="6">
      <t>ショウチ</t>
    </rPh>
    <phoneticPr fontId="4"/>
  </si>
  <si>
    <t>有</t>
    <rPh sb="0" eb="1">
      <t>ア</t>
    </rPh>
    <phoneticPr fontId="4"/>
  </si>
  <si>
    <t>大度海岸礁斜面**</t>
    <rPh sb="0" eb="1">
      <t>オオド</t>
    </rPh>
    <rPh sb="1" eb="2">
      <t>ド</t>
    </rPh>
    <rPh sb="2" eb="4">
      <t>カイガン</t>
    </rPh>
    <rPh sb="4" eb="7">
      <t>ショウシャメン</t>
    </rPh>
    <phoneticPr fontId="4"/>
  </si>
  <si>
    <t>摩文仁南礁池**</t>
    <rPh sb="0" eb="3">
      <t>マブニ</t>
    </rPh>
    <rPh sb="3" eb="4">
      <t>ミナミ</t>
    </rPh>
    <rPh sb="4" eb="5">
      <t>ショウ</t>
    </rPh>
    <rPh sb="5" eb="6">
      <t>チ</t>
    </rPh>
    <phoneticPr fontId="4"/>
  </si>
  <si>
    <t>長田智史</t>
    <rPh sb="0" eb="2">
      <t>ナガタ</t>
    </rPh>
    <rPh sb="2" eb="4">
      <t>トモフミ</t>
    </rPh>
    <phoneticPr fontId="4"/>
  </si>
  <si>
    <t>奥武島南礁池**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4"/>
  </si>
  <si>
    <t>奥武島南礁斜面**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4"/>
  </si>
  <si>
    <t>クマカ島南*</t>
    <rPh sb="3" eb="4">
      <t>ジマ</t>
    </rPh>
    <rPh sb="4" eb="5">
      <t>ミナミ</t>
    </rPh>
    <phoneticPr fontId="4"/>
  </si>
  <si>
    <t>久高島エラブ岩東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4"/>
  </si>
  <si>
    <t>ウガン岩南</t>
    <rPh sb="3" eb="4">
      <t>イワ</t>
    </rPh>
    <rPh sb="4" eb="5">
      <t>ミナミ</t>
    </rPh>
    <phoneticPr fontId="4"/>
  </si>
  <si>
    <t>津堅島アギハマ東</t>
    <rPh sb="0" eb="1">
      <t>ツ</t>
    </rPh>
    <rPh sb="1" eb="2">
      <t>ケン</t>
    </rPh>
    <rPh sb="2" eb="3">
      <t>ジマ</t>
    </rPh>
    <rPh sb="7" eb="8">
      <t>ヒガシ</t>
    </rPh>
    <phoneticPr fontId="4"/>
  </si>
  <si>
    <t>ギノギ岩北東</t>
    <rPh sb="3" eb="4">
      <t>イワ</t>
    </rPh>
    <rPh sb="4" eb="6">
      <t>ホクトウ</t>
    </rPh>
    <phoneticPr fontId="4"/>
  </si>
  <si>
    <t>南浮原島南東</t>
    <rPh sb="0" eb="1">
      <t>ミナミ</t>
    </rPh>
    <rPh sb="1" eb="2">
      <t>ウキ</t>
    </rPh>
    <rPh sb="2" eb="3">
      <t>ハラ</t>
    </rPh>
    <rPh sb="3" eb="4">
      <t>シマ</t>
    </rPh>
    <rPh sb="4" eb="5">
      <t>ミナミ</t>
    </rPh>
    <rPh sb="5" eb="6">
      <t>ヒガシ</t>
    </rPh>
    <phoneticPr fontId="4"/>
  </si>
  <si>
    <t>浮原島北東ヨコビシ</t>
    <rPh sb="0" eb="1">
      <t>ウキ</t>
    </rPh>
    <rPh sb="1" eb="3">
      <t>ハラシマ</t>
    </rPh>
    <rPh sb="3" eb="5">
      <t>ホクトウ</t>
    </rPh>
    <phoneticPr fontId="4"/>
  </si>
  <si>
    <t>伊計島東礁池</t>
    <rPh sb="0" eb="2">
      <t>イケイ</t>
    </rPh>
    <rPh sb="2" eb="3">
      <t>ジマ</t>
    </rPh>
    <rPh sb="3" eb="4">
      <t>ヒガシ</t>
    </rPh>
    <rPh sb="4" eb="6">
      <t>ショウチ</t>
    </rPh>
    <phoneticPr fontId="4"/>
  </si>
  <si>
    <t>伊計島東礁斜面</t>
    <rPh sb="0" eb="2">
      <t>イケイ</t>
    </rPh>
    <rPh sb="2" eb="3">
      <t>ジマ</t>
    </rPh>
    <rPh sb="3" eb="4">
      <t>ヒガシ</t>
    </rPh>
    <rPh sb="4" eb="7">
      <t>ショウシャメン</t>
    </rPh>
    <phoneticPr fontId="4"/>
  </si>
  <si>
    <t>東村宮城ウンシ南</t>
    <rPh sb="0" eb="2">
      <t>ヒガシソン</t>
    </rPh>
    <rPh sb="7" eb="8">
      <t>ミナミ</t>
    </rPh>
    <phoneticPr fontId="4"/>
  </si>
  <si>
    <t>揚水発電所南東</t>
    <rPh sb="0" eb="1">
      <t>アゲ</t>
    </rPh>
    <phoneticPr fontId="4"/>
  </si>
  <si>
    <t>国頭村赤崎北礁池**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4"/>
  </si>
  <si>
    <t>国頭村赤崎北礁斜面**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4"/>
  </si>
  <si>
    <t>&gt;20</t>
  </si>
  <si>
    <t>奥漁港北**</t>
    <rPh sb="0" eb="1">
      <t>オク</t>
    </rPh>
    <rPh sb="1" eb="3">
      <t>ギョコウ</t>
    </rPh>
    <rPh sb="3" eb="4">
      <t>キタ</t>
    </rPh>
    <phoneticPr fontId="4"/>
  </si>
  <si>
    <t>慶佐次ウッパマ東礁斜面</t>
    <rPh sb="8" eb="9">
      <t>ショウ</t>
    </rPh>
    <rPh sb="9" eb="11">
      <t>シャメン</t>
    </rPh>
    <phoneticPr fontId="4"/>
  </si>
  <si>
    <t>大度海岸西礁池</t>
    <rPh sb="0" eb="2">
      <t>オオド</t>
    </rPh>
    <rPh sb="2" eb="4">
      <t>カイガン</t>
    </rPh>
    <rPh sb="4" eb="5">
      <t>ニシ</t>
    </rPh>
    <rPh sb="5" eb="7">
      <t>ショウチ</t>
    </rPh>
    <phoneticPr fontId="17"/>
  </si>
  <si>
    <t>&gt;30</t>
  </si>
  <si>
    <t>沖縄島東岸</t>
    <rPh sb="0" eb="3">
      <t>オキナワジマ</t>
    </rPh>
    <rPh sb="3" eb="5">
      <t>ヒガシガン</t>
    </rPh>
    <phoneticPr fontId="17"/>
  </si>
  <si>
    <t>東村～奥</t>
    <rPh sb="0" eb="2">
      <t>ヒガシソン</t>
    </rPh>
    <rPh sb="3" eb="4">
      <t>オク</t>
    </rPh>
    <phoneticPr fontId="9"/>
  </si>
  <si>
    <t>浮原北東ヨコビシ東</t>
    <rPh sb="0" eb="1">
      <t>ウキ</t>
    </rPh>
    <rPh sb="1" eb="2">
      <t>ハラ</t>
    </rPh>
    <rPh sb="2" eb="4">
      <t>ホクトウ</t>
    </rPh>
    <rPh sb="8" eb="9">
      <t>ヒガシ</t>
    </rPh>
    <phoneticPr fontId="4"/>
  </si>
  <si>
    <t>大泊橋北東浜</t>
  </si>
  <si>
    <t>中城湾チグニガ</t>
  </si>
  <si>
    <t>東村伊是名北</t>
  </si>
  <si>
    <t>南浮原南礁斜面</t>
    <rPh sb="0" eb="1">
      <t>ミナミ</t>
    </rPh>
    <rPh sb="1" eb="2">
      <t>ウキ</t>
    </rPh>
    <rPh sb="2" eb="3">
      <t>ハラ</t>
    </rPh>
    <rPh sb="3" eb="4">
      <t>ミナミ</t>
    </rPh>
    <rPh sb="4" eb="5">
      <t>ショウ</t>
    </rPh>
    <rPh sb="5" eb="7">
      <t>シャメン</t>
    </rPh>
    <phoneticPr fontId="7"/>
  </si>
  <si>
    <t>慶佐次北礁斜面</t>
    <rPh sb="0" eb="1">
      <t>ケイ</t>
    </rPh>
    <rPh sb="1" eb="2">
      <t>サ</t>
    </rPh>
    <rPh sb="2" eb="3">
      <t>ジ</t>
    </rPh>
    <rPh sb="3" eb="4">
      <t>キタ</t>
    </rPh>
    <rPh sb="4" eb="5">
      <t>ショウ</t>
    </rPh>
    <rPh sb="5" eb="7">
      <t>シャメン</t>
    </rPh>
    <phoneticPr fontId="7"/>
  </si>
  <si>
    <t>沖縄島西岸</t>
    <rPh sb="0" eb="2">
      <t>オキナワ</t>
    </rPh>
    <rPh sb="2" eb="3">
      <t>ジマ</t>
    </rPh>
    <rPh sb="3" eb="5">
      <t>セイガン</t>
    </rPh>
    <phoneticPr fontId="4"/>
  </si>
  <si>
    <t>喜屋武漁港西</t>
    <rPh sb="0" eb="3">
      <t>キャン</t>
    </rPh>
    <rPh sb="3" eb="5">
      <t>ギョコウ</t>
    </rPh>
    <rPh sb="5" eb="6">
      <t>ニシ</t>
    </rPh>
    <phoneticPr fontId="4"/>
  </si>
  <si>
    <t>那覇空港北儀間の瀬礁池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4"/>
  </si>
  <si>
    <t>那覇空港北儀間の瀬北礁斜面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4"/>
  </si>
  <si>
    <t>チービシクエフ南*</t>
    <rPh sb="7" eb="8">
      <t>ミナミ</t>
    </rPh>
    <phoneticPr fontId="4"/>
  </si>
  <si>
    <t>チービシ神山南</t>
    <rPh sb="4" eb="6">
      <t>カミヤマ</t>
    </rPh>
    <rPh sb="6" eb="7">
      <t>ミナミ</t>
    </rPh>
    <phoneticPr fontId="4"/>
  </si>
  <si>
    <t>チービシナガンヌ南</t>
    <rPh sb="8" eb="9">
      <t>ミナミ</t>
    </rPh>
    <phoneticPr fontId="4"/>
  </si>
  <si>
    <t>チービシナガンヌ西</t>
    <rPh sb="8" eb="9">
      <t>ニシ</t>
    </rPh>
    <phoneticPr fontId="4"/>
  </si>
  <si>
    <t>チービシナガンヌ北</t>
    <rPh sb="8" eb="9">
      <t>キタ</t>
    </rPh>
    <phoneticPr fontId="4"/>
  </si>
  <si>
    <t>空寿崎西座礁船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4"/>
  </si>
  <si>
    <t>伊佐西</t>
    <rPh sb="0" eb="2">
      <t>イサ</t>
    </rPh>
    <rPh sb="2" eb="3">
      <t>ニシ</t>
    </rPh>
    <phoneticPr fontId="4"/>
  </si>
  <si>
    <t>北谷町宮城海岸</t>
    <rPh sb="0" eb="1">
      <t>キタ</t>
    </rPh>
    <rPh sb="1" eb="3">
      <t>タニマチ</t>
    </rPh>
    <rPh sb="3" eb="5">
      <t>ミヤギ</t>
    </rPh>
    <rPh sb="5" eb="7">
      <t>カイガン</t>
    </rPh>
    <phoneticPr fontId="4"/>
  </si>
  <si>
    <t>渡具知西</t>
    <rPh sb="0" eb="1">
      <t>ワタ</t>
    </rPh>
    <rPh sb="1" eb="2">
      <t>グ</t>
    </rPh>
    <rPh sb="2" eb="3">
      <t>チ</t>
    </rPh>
    <rPh sb="3" eb="4">
      <t>ニシ</t>
    </rPh>
    <phoneticPr fontId="4"/>
  </si>
  <si>
    <t>残波岬西礁池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4"/>
  </si>
  <si>
    <t>残波岬西礁斜面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4"/>
  </si>
  <si>
    <t>真栄田岬西礁池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phoneticPr fontId="4"/>
  </si>
  <si>
    <t>真栄田岬西礁斜面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4"/>
  </si>
  <si>
    <t>恩納村赤崎西礁池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4"/>
  </si>
  <si>
    <t>恩納村赤崎西礁斜面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4"/>
  </si>
  <si>
    <t>安富祖北礁池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4"/>
  </si>
  <si>
    <t>部瀬名岬西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4"/>
  </si>
  <si>
    <t>瀬底島南</t>
    <rPh sb="0" eb="1">
      <t>セ</t>
    </rPh>
    <rPh sb="1" eb="2">
      <t>ソコ</t>
    </rPh>
    <rPh sb="2" eb="3">
      <t>ジマ</t>
    </rPh>
    <rPh sb="3" eb="4">
      <t>ミナミ</t>
    </rPh>
    <phoneticPr fontId="4"/>
  </si>
  <si>
    <t>港原海洋センター西</t>
    <rPh sb="0" eb="1">
      <t>ミナト</t>
    </rPh>
    <rPh sb="1" eb="2">
      <t>ハラ</t>
    </rPh>
    <rPh sb="2" eb="4">
      <t>カイヨウ</t>
    </rPh>
    <rPh sb="8" eb="9">
      <t>ニシ</t>
    </rPh>
    <phoneticPr fontId="4"/>
  </si>
  <si>
    <t>水族館西</t>
    <rPh sb="0" eb="3">
      <t>スイゾクカン</t>
    </rPh>
    <rPh sb="3" eb="4">
      <t>ニシ</t>
    </rPh>
    <phoneticPr fontId="4"/>
  </si>
  <si>
    <t>備瀬崎東礁池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4"/>
  </si>
  <si>
    <t>備瀬崎東礁斜面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4"/>
  </si>
  <si>
    <t>&gt;100</t>
  </si>
  <si>
    <t>今帰仁村長浜北礁池*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4"/>
  </si>
  <si>
    <t>今帰仁村長浜北礁斜面*</t>
    <rPh sb="4" eb="6">
      <t>ナガハマ</t>
    </rPh>
    <rPh sb="6" eb="7">
      <t>キタ</t>
    </rPh>
    <rPh sb="7" eb="10">
      <t>ショウシャメン</t>
    </rPh>
    <phoneticPr fontId="4"/>
  </si>
  <si>
    <t>古宇利島北礁池**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4"/>
  </si>
  <si>
    <t>古宇利島北礁斜面**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4"/>
  </si>
  <si>
    <t>泊大橋南</t>
    <rPh sb="0" eb="1">
      <t>トマリ</t>
    </rPh>
    <rPh sb="1" eb="3">
      <t>オオハシ</t>
    </rPh>
    <rPh sb="3" eb="4">
      <t>ミナミ</t>
    </rPh>
    <phoneticPr fontId="16"/>
  </si>
  <si>
    <t>瀬底大橋北</t>
    <rPh sb="2" eb="4">
      <t>オオハシ</t>
    </rPh>
    <rPh sb="4" eb="5">
      <t>キタ</t>
    </rPh>
    <phoneticPr fontId="16"/>
  </si>
  <si>
    <t>砂辺*</t>
    <rPh sb="0" eb="1">
      <t>スナ</t>
    </rPh>
    <rPh sb="1" eb="2">
      <t>ベ</t>
    </rPh>
    <phoneticPr fontId="4"/>
  </si>
  <si>
    <t>チービシ神山北</t>
    <rPh sb="4" eb="5">
      <t>カミ</t>
    </rPh>
    <rPh sb="5" eb="7">
      <t>ヤマキタ</t>
    </rPh>
    <phoneticPr fontId="4"/>
  </si>
  <si>
    <t>久良波</t>
    <rPh sb="0" eb="2">
      <t>ヒサヨシ</t>
    </rPh>
    <rPh sb="2" eb="3">
      <t>ナミ</t>
    </rPh>
    <phoneticPr fontId="4"/>
  </si>
  <si>
    <t>ヒキイシ南</t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</si>
  <si>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4"/>
  </si>
  <si>
    <t>水納島東</t>
    <rPh sb="0" eb="1">
      <t>ミズ</t>
    </rPh>
    <rPh sb="1" eb="2">
      <t>ナ</t>
    </rPh>
    <rPh sb="2" eb="3">
      <t>シマ</t>
    </rPh>
    <rPh sb="3" eb="4">
      <t>ヒガシ</t>
    </rPh>
    <phoneticPr fontId="4"/>
  </si>
  <si>
    <t>ナカンシ東</t>
    <rPh sb="4" eb="5">
      <t>ヒガシ</t>
    </rPh>
    <phoneticPr fontId="4"/>
  </si>
  <si>
    <t>伊江島西</t>
    <rPh sb="0" eb="3">
      <t>イエジマ</t>
    </rPh>
    <rPh sb="3" eb="4">
      <t>ニシ</t>
    </rPh>
    <phoneticPr fontId="4"/>
  </si>
  <si>
    <t>伊江島イシャラ原東</t>
    <rPh sb="0" eb="3">
      <t>イエジマ</t>
    </rPh>
    <rPh sb="7" eb="8">
      <t>ハラ</t>
    </rPh>
    <rPh sb="8" eb="9">
      <t>ヒガシ</t>
    </rPh>
    <phoneticPr fontId="4"/>
  </si>
  <si>
    <t>伊江島湧出北</t>
    <rPh sb="0" eb="3">
      <t>イエジマ</t>
    </rPh>
    <rPh sb="3" eb="5">
      <t>ユウシュツ</t>
    </rPh>
    <rPh sb="5" eb="6">
      <t>キタ</t>
    </rPh>
    <phoneticPr fontId="4"/>
  </si>
  <si>
    <t>慶良間諸島</t>
    <rPh sb="0" eb="3">
      <t>ケラマ</t>
    </rPh>
    <rPh sb="3" eb="5">
      <t>ショトウ</t>
    </rPh>
    <phoneticPr fontId="5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</si>
  <si>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1">
      <t>ア</t>
    </rPh>
    <rPh sb="11" eb="12">
      <t>カ</t>
    </rPh>
    <rPh sb="12" eb="13">
      <t>シマ</t>
    </rPh>
    <rPh sb="14" eb="17">
      <t>ザマミ</t>
    </rPh>
    <rPh sb="18" eb="21">
      <t>トカシキ</t>
    </rPh>
    <rPh sb="21" eb="23">
      <t>シュウヘン</t>
    </rPh>
    <phoneticPr fontId="5"/>
  </si>
  <si>
    <t>久場北西</t>
    <rPh sb="2" eb="3">
      <t>キタ</t>
    </rPh>
    <rPh sb="3" eb="4">
      <t>セイ</t>
    </rPh>
    <phoneticPr fontId="18"/>
  </si>
  <si>
    <t>渡嘉敷アリガー</t>
    <rPh sb="0" eb="3">
      <t>トカシキ</t>
    </rPh>
    <phoneticPr fontId="19"/>
  </si>
  <si>
    <t>渡嘉敷アハレン</t>
    <rPh sb="0" eb="3">
      <t>トカシキ</t>
    </rPh>
    <phoneticPr fontId="19"/>
  </si>
  <si>
    <t>大東諸島</t>
    <rPh sb="0" eb="2">
      <t>ダイトウ</t>
    </rPh>
    <rPh sb="2" eb="4">
      <t>ショトウ</t>
    </rPh>
    <phoneticPr fontId="4"/>
  </si>
  <si>
    <t>無</t>
    <rPh sb="0" eb="1">
      <t xml:space="preserve">ナシ </t>
    </rPh>
    <phoneticPr fontId="14"/>
  </si>
  <si>
    <t>有</t>
    <rPh sb="0" eb="1">
      <t xml:space="preserve">アリ </t>
    </rPh>
    <phoneticPr fontId="14"/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</si>
  <si>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4"/>
  </si>
  <si>
    <t>塩屋プール</t>
    <rPh sb="0" eb="2">
      <t>シオヤ</t>
    </rPh>
    <phoneticPr fontId="4"/>
  </si>
  <si>
    <t>ながやの下南側・浅瀬</t>
    <rPh sb="4" eb="5">
      <t>シタ</t>
    </rPh>
    <rPh sb="5" eb="7">
      <t>ミナミガワ</t>
    </rPh>
    <rPh sb="8" eb="10">
      <t>アサセ</t>
    </rPh>
    <phoneticPr fontId="4"/>
  </si>
  <si>
    <t>宮古島周辺</t>
    <rPh sb="0" eb="3">
      <t>ミヤコジマ</t>
    </rPh>
    <rPh sb="3" eb="5">
      <t>シュウヘン</t>
    </rPh>
    <phoneticPr fontId="5"/>
  </si>
  <si>
    <t>梶原健次</t>
    <rPh sb="0" eb="2">
      <t>カジワラ</t>
    </rPh>
    <rPh sb="2" eb="4">
      <t>ケンジ</t>
    </rPh>
    <phoneticPr fontId="4"/>
  </si>
  <si>
    <t>有</t>
    <rPh sb="0" eb="1">
      <t>ユウ</t>
    </rPh>
    <phoneticPr fontId="5"/>
  </si>
  <si>
    <t>無</t>
    <rPh sb="0" eb="1">
      <t>ナ</t>
    </rPh>
    <phoneticPr fontId="4"/>
  </si>
  <si>
    <t>宮古島離礁</t>
    <rPh sb="0" eb="3">
      <t>ミヤコジマ</t>
    </rPh>
    <rPh sb="3" eb="4">
      <t>リ</t>
    </rPh>
    <rPh sb="4" eb="5">
      <t>ショウ</t>
    </rPh>
    <phoneticPr fontId="5"/>
  </si>
  <si>
    <t>八重干瀬</t>
    <rPh sb="0" eb="2">
      <t>ヤエ</t>
    </rPh>
    <rPh sb="2" eb="3">
      <t>ヒ</t>
    </rPh>
    <rPh sb="3" eb="4">
      <t>セ</t>
    </rPh>
    <phoneticPr fontId="5"/>
  </si>
  <si>
    <t>石垣島東岸</t>
    <rPh sb="0" eb="3">
      <t>イシガキジマ</t>
    </rPh>
    <rPh sb="3" eb="4">
      <t>ヒガシ</t>
    </rPh>
    <rPh sb="4" eb="5">
      <t>キシ</t>
    </rPh>
    <phoneticPr fontId="5"/>
  </si>
  <si>
    <t>平久保～宮良湾</t>
    <rPh sb="0" eb="3">
      <t>ヒラクボ</t>
    </rPh>
    <rPh sb="4" eb="5">
      <t>ミヤ</t>
    </rPh>
    <rPh sb="5" eb="6">
      <t>ヨ</t>
    </rPh>
    <rPh sb="6" eb="7">
      <t>ワン</t>
    </rPh>
    <phoneticPr fontId="5"/>
  </si>
  <si>
    <t>吉田</t>
    <rPh sb="0" eb="2">
      <t>ヨシダ</t>
    </rPh>
    <phoneticPr fontId="4"/>
  </si>
  <si>
    <t>石垣島西岸</t>
    <rPh sb="0" eb="3">
      <t>イシガキジマ</t>
    </rPh>
    <rPh sb="3" eb="5">
      <t>セイガン</t>
    </rPh>
    <phoneticPr fontId="5"/>
  </si>
  <si>
    <t>川平～大崎</t>
    <rPh sb="0" eb="2">
      <t>カビラ</t>
    </rPh>
    <rPh sb="3" eb="5">
      <t>オオサキ</t>
    </rPh>
    <phoneticPr fontId="5"/>
  </si>
  <si>
    <t>枝状ミドリイシ優占型</t>
    <rPh sb="7" eb="9">
      <t>ユウセン</t>
    </rPh>
    <phoneticPr fontId="14"/>
  </si>
  <si>
    <t>特定類優占型（塊状ハマサンゴ）</t>
    <rPh sb="7" eb="9">
      <t>カタマリジョウ</t>
    </rPh>
    <phoneticPr fontId="9"/>
  </si>
  <si>
    <t>枝状ミドリイシ混成型</t>
    <rPh sb="7" eb="9">
      <t>コンセイ</t>
    </rPh>
    <phoneticPr fontId="14"/>
  </si>
  <si>
    <t>明石西</t>
    <rPh sb="0" eb="2">
      <t>アカイシ</t>
    </rPh>
    <rPh sb="2" eb="3">
      <t>ニシ</t>
    </rPh>
    <phoneticPr fontId="4"/>
  </si>
  <si>
    <t>伊原間湾口</t>
    <rPh sb="0" eb="3">
      <t>イバルマ</t>
    </rPh>
    <rPh sb="3" eb="4">
      <t>ワン</t>
    </rPh>
    <rPh sb="4" eb="5">
      <t>コウ</t>
    </rPh>
    <phoneticPr fontId="4"/>
  </si>
  <si>
    <t>上野・川崎</t>
    <rPh sb="0" eb="2">
      <t>ウエノ</t>
    </rPh>
    <rPh sb="3" eb="5">
      <t>カワサキ</t>
    </rPh>
    <phoneticPr fontId="14"/>
  </si>
  <si>
    <t>有</t>
    <rPh sb="0" eb="1">
      <t>ユウ</t>
    </rPh>
    <phoneticPr fontId="14"/>
  </si>
  <si>
    <t>黒島～新城島</t>
    <rPh sb="0" eb="2">
      <t>クロジマ</t>
    </rPh>
    <rPh sb="3" eb="5">
      <t>シンジョウ</t>
    </rPh>
    <rPh sb="5" eb="6">
      <t>ジマ</t>
    </rPh>
    <phoneticPr fontId="4"/>
  </si>
  <si>
    <t>特定類優占型（被覆状コモンサンゴ）</t>
    <rPh sb="7" eb="10">
      <t>ヒフクジョウ</t>
    </rPh>
    <phoneticPr fontId="9"/>
  </si>
  <si>
    <t>崎山湾（西表島西部）周辺</t>
    <rPh sb="10" eb="12">
      <t>シュウヘン</t>
    </rPh>
    <phoneticPr fontId="4"/>
  </si>
  <si>
    <t>無</t>
    <rPh sb="0" eb="1">
      <t>ナ</t>
    </rPh>
    <phoneticPr fontId="14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</si>
  <si>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17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</si>
  <si>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17"/>
  </si>
  <si>
    <t>小笠原諸島</t>
    <rPh sb="0" eb="3">
      <t>オガサワラ</t>
    </rPh>
    <rPh sb="3" eb="5">
      <t>ショトウ</t>
    </rPh>
    <phoneticPr fontId="5"/>
  </si>
  <si>
    <t>父島周辺</t>
    <rPh sb="0" eb="1">
      <t>チチ</t>
    </rPh>
    <rPh sb="1" eb="2">
      <t>ジマ</t>
    </rPh>
    <rPh sb="2" eb="4">
      <t>シュウヘン</t>
    </rPh>
    <phoneticPr fontId="5"/>
  </si>
  <si>
    <t>兄島・滝之浦</t>
    <rPh sb="0" eb="2">
      <t>アニジマ</t>
    </rPh>
    <rPh sb="3" eb="6">
      <t>タキノウラ</t>
    </rPh>
    <phoneticPr fontId="4"/>
  </si>
  <si>
    <t>佐々木哲朗</t>
    <rPh sb="0" eb="5">
      <t>ササキテツロウ</t>
    </rPh>
    <phoneticPr fontId="4"/>
  </si>
  <si>
    <t>兄島・キャベツビーチ</t>
    <rPh sb="0" eb="2">
      <t>アニジマ</t>
    </rPh>
    <phoneticPr fontId="4"/>
  </si>
  <si>
    <t>兄島・水玉湾西側</t>
    <rPh sb="0" eb="2">
      <t>アニジマ</t>
    </rPh>
    <rPh sb="3" eb="6">
      <t>ミズタマワン</t>
    </rPh>
    <rPh sb="6" eb="8">
      <t>ニシガワ</t>
    </rPh>
    <phoneticPr fontId="4"/>
  </si>
  <si>
    <t>父島・宮之浜</t>
    <rPh sb="0" eb="2">
      <t>チチジマ</t>
    </rPh>
    <rPh sb="3" eb="6">
      <t>ミヤノハマ</t>
    </rPh>
    <phoneticPr fontId="4"/>
  </si>
  <si>
    <t>父島・釣浜</t>
    <rPh sb="0" eb="2">
      <t>チチジマ</t>
    </rPh>
    <rPh sb="3" eb="4">
      <t>ツ</t>
    </rPh>
    <rPh sb="4" eb="5">
      <t>ハマ</t>
    </rPh>
    <phoneticPr fontId="4"/>
  </si>
  <si>
    <t>父島・初寝浦</t>
    <rPh sb="0" eb="2">
      <t>チチジマ</t>
    </rPh>
    <rPh sb="3" eb="6">
      <t>ハツネウラ</t>
    </rPh>
    <phoneticPr fontId="4"/>
  </si>
  <si>
    <t>父島・巽東海岸</t>
    <rPh sb="0" eb="2">
      <t>チチジマ</t>
    </rPh>
    <rPh sb="3" eb="7">
      <t>タツミヒガシカイガン</t>
    </rPh>
    <phoneticPr fontId="4"/>
  </si>
  <si>
    <t>父島・巽中海岸</t>
    <rPh sb="0" eb="2">
      <t>チチジマ</t>
    </rPh>
    <rPh sb="3" eb="7">
      <t>タツミナ</t>
    </rPh>
    <phoneticPr fontId="4"/>
  </si>
  <si>
    <t>父島（属）・南島サンゴ池</t>
    <rPh sb="0" eb="2">
      <t>チチジマ</t>
    </rPh>
    <rPh sb="3" eb="4">
      <t>ゾクトウ</t>
    </rPh>
    <rPh sb="6" eb="8">
      <t>ミナミジマ</t>
    </rPh>
    <rPh sb="11" eb="12">
      <t>イケ</t>
    </rPh>
    <phoneticPr fontId="4"/>
  </si>
  <si>
    <t>父島・コペペ海岸</t>
    <rPh sb="0" eb="2">
      <t>チチジマ</t>
    </rPh>
    <rPh sb="6" eb="8">
      <t>カイガン</t>
    </rPh>
    <phoneticPr fontId="4"/>
  </si>
  <si>
    <t>父島・野羊山内側</t>
    <rPh sb="0" eb="2">
      <t>チチジマ</t>
    </rPh>
    <rPh sb="3" eb="6">
      <t>ヤギュウサン</t>
    </rPh>
    <rPh sb="6" eb="8">
      <t>ウチガワ</t>
    </rPh>
    <phoneticPr fontId="4"/>
  </si>
  <si>
    <t>無</t>
    <rPh sb="0" eb="1">
      <t>ナ</t>
    </rPh>
    <phoneticPr fontId="5"/>
  </si>
  <si>
    <t>父島・二見湾奥</t>
    <rPh sb="0" eb="2">
      <t>チチジマ</t>
    </rPh>
    <rPh sb="3" eb="6">
      <t>フタミワン</t>
    </rPh>
    <rPh sb="6" eb="7">
      <t>オク</t>
    </rPh>
    <phoneticPr fontId="4"/>
  </si>
  <si>
    <t>≧30</t>
  </si>
  <si>
    <t>35-40</t>
  </si>
  <si>
    <t>1%&gt;</t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</si>
  <si>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5"/>
  </si>
  <si>
    <t>館山（房総）</t>
    <rPh sb="0" eb="2">
      <t>タテヤマ</t>
    </rPh>
    <rPh sb="3" eb="5">
      <t>ボウソウ</t>
    </rPh>
    <phoneticPr fontId="5"/>
  </si>
  <si>
    <t>沖の島①</t>
  </si>
  <si>
    <t>沖の島②</t>
  </si>
  <si>
    <t>坂田①</t>
  </si>
  <si>
    <t>坂田②</t>
  </si>
  <si>
    <t>坂田③</t>
  </si>
  <si>
    <t>日本海（対馬暖流影響域）</t>
    <rPh sb="0" eb="2">
      <t>ニホン</t>
    </rPh>
    <rPh sb="2" eb="3">
      <t>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5"/>
  </si>
  <si>
    <t>壱岐周辺</t>
    <rPh sb="0" eb="2">
      <t>イキ</t>
    </rPh>
    <rPh sb="2" eb="4">
      <t>シュウヘン</t>
    </rPh>
    <phoneticPr fontId="5"/>
  </si>
  <si>
    <t>福江・布浦（１）</t>
    <rPh sb="0" eb="2">
      <t>フクエ</t>
    </rPh>
    <rPh sb="3" eb="4">
      <t>ヌノ</t>
    </rPh>
    <rPh sb="4" eb="5">
      <t>ウラ</t>
    </rPh>
    <phoneticPr fontId="4"/>
  </si>
  <si>
    <t>北野・下池</t>
    <rPh sb="0" eb="2">
      <t xml:space="preserve">キタノ </t>
    </rPh>
    <rPh sb="3" eb="5">
      <t xml:space="preserve">シモイケ </t>
    </rPh>
    <phoneticPr fontId="4"/>
  </si>
  <si>
    <t>多種混成型</t>
    <rPh sb="0" eb="2">
      <t>タシュ</t>
    </rPh>
    <rPh sb="2" eb="4">
      <t>コンセイ</t>
    </rPh>
    <rPh sb="4" eb="5">
      <t>ガタ</t>
    </rPh>
    <phoneticPr fontId="4"/>
  </si>
  <si>
    <t>福江・布浦（２）</t>
    <rPh sb="0" eb="2">
      <t>フクエ</t>
    </rPh>
    <rPh sb="3" eb="4">
      <t>ヌノ</t>
    </rPh>
    <rPh sb="4" eb="5">
      <t>ウラ</t>
    </rPh>
    <phoneticPr fontId="4"/>
  </si>
  <si>
    <t>福江・津多羅島（１）</t>
    <rPh sb="0" eb="2">
      <t>フクエ</t>
    </rPh>
    <rPh sb="3" eb="4">
      <t>ツ</t>
    </rPh>
    <rPh sb="4" eb="6">
      <t>タラ</t>
    </rPh>
    <rPh sb="6" eb="7">
      <t>ジマ</t>
    </rPh>
    <phoneticPr fontId="4"/>
  </si>
  <si>
    <t>卓状ﾐﾄﾞﾘｲｼ優占型</t>
    <rPh sb="0" eb="1">
      <t>タク</t>
    </rPh>
    <rPh sb="1" eb="2">
      <t>ジョウ</t>
    </rPh>
    <rPh sb="8" eb="9">
      <t>ユウ</t>
    </rPh>
    <rPh sb="9" eb="10">
      <t>ウラナイ</t>
    </rPh>
    <rPh sb="10" eb="11">
      <t>カタ</t>
    </rPh>
    <phoneticPr fontId="4"/>
  </si>
  <si>
    <t>福江・津多羅島（２）</t>
    <rPh sb="0" eb="2">
      <t>フクエ</t>
    </rPh>
    <rPh sb="3" eb="4">
      <t>ツ</t>
    </rPh>
    <rPh sb="4" eb="6">
      <t>タラ</t>
    </rPh>
    <rPh sb="6" eb="7">
      <t>ジマ</t>
    </rPh>
    <phoneticPr fontId="4"/>
  </si>
  <si>
    <t>ｿﾌﾄｺｰﾗﾙ優占型</t>
    <rPh sb="7" eb="8">
      <t>ユウ</t>
    </rPh>
    <rPh sb="8" eb="9">
      <t>セン</t>
    </rPh>
    <rPh sb="9" eb="10">
      <t>ガタ</t>
    </rPh>
    <phoneticPr fontId="4"/>
  </si>
  <si>
    <t>福江・津多羅島（３）</t>
    <rPh sb="0" eb="2">
      <t>フクエ</t>
    </rPh>
    <rPh sb="3" eb="4">
      <t>ツ</t>
    </rPh>
    <rPh sb="4" eb="6">
      <t>タラ</t>
    </rPh>
    <rPh sb="6" eb="7">
      <t>ジマ</t>
    </rPh>
    <phoneticPr fontId="4"/>
  </si>
  <si>
    <t>壱岐・黒崎</t>
    <rPh sb="0" eb="2">
      <t>イキ</t>
    </rPh>
    <rPh sb="3" eb="5">
      <t>クロサキ</t>
    </rPh>
    <phoneticPr fontId="4"/>
  </si>
  <si>
    <t>壱岐・板浦</t>
    <rPh sb="0" eb="2">
      <t>イキ</t>
    </rPh>
    <rPh sb="3" eb="4">
      <t>イタ</t>
    </rPh>
    <rPh sb="4" eb="5">
      <t>ウラ</t>
    </rPh>
    <phoneticPr fontId="4"/>
  </si>
  <si>
    <t>壱岐・神瀬</t>
    <rPh sb="0" eb="2">
      <t>イキ</t>
    </rPh>
    <rPh sb="3" eb="4">
      <t>カミ</t>
    </rPh>
    <rPh sb="4" eb="5">
      <t>セ</t>
    </rPh>
    <phoneticPr fontId="4"/>
  </si>
  <si>
    <t>対馬・瀬ノ浦</t>
    <rPh sb="0" eb="2">
      <t>ツシマ</t>
    </rPh>
    <rPh sb="3" eb="4">
      <t>セ</t>
    </rPh>
    <rPh sb="5" eb="6">
      <t>ウラ</t>
    </rPh>
    <phoneticPr fontId="4"/>
  </si>
  <si>
    <t>対馬・太田浦</t>
    <rPh sb="0" eb="2">
      <t>ツシマ</t>
    </rPh>
    <rPh sb="3" eb="5">
      <t>オオタ</t>
    </rPh>
    <rPh sb="5" eb="6">
      <t>ウラ</t>
    </rPh>
    <phoneticPr fontId="4"/>
  </si>
  <si>
    <t>中通島・三ツ瀬（1)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</si>
  <si>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中通島・三ツ瀬（2)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</si>
  <si>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中通島・三ツ瀬（3)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</si>
  <si>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若松島・滝ヶ原</t>
    <rPh sb="0" eb="2">
      <t>ワカマツ</t>
    </rPh>
    <rPh sb="2" eb="3">
      <t>ジマ</t>
    </rPh>
    <rPh sb="4" eb="7">
      <t>タキガハラ</t>
    </rPh>
    <phoneticPr fontId="4"/>
  </si>
  <si>
    <t>福江・多々良島</t>
    <rPh sb="0" eb="2">
      <t>フクエ</t>
    </rPh>
    <rPh sb="3" eb="6">
      <t>タタラ</t>
    </rPh>
    <rPh sb="6" eb="7">
      <t>ジマ</t>
    </rPh>
    <phoneticPr fontId="4"/>
  </si>
  <si>
    <t>対馬・太田浦沖</t>
    <rPh sb="0" eb="2">
      <t>ツシマ</t>
    </rPh>
    <rPh sb="3" eb="5">
      <t>オオタ</t>
    </rPh>
    <rPh sb="5" eb="6">
      <t>ウラ</t>
    </rPh>
    <rPh sb="6" eb="7">
      <t>オキ</t>
    </rPh>
    <phoneticPr fontId="4"/>
  </si>
  <si>
    <t>多々良島(2)</t>
    <rPh sb="0" eb="3">
      <t>タタラ</t>
    </rPh>
    <rPh sb="3" eb="4">
      <t>ジマ</t>
    </rPh>
    <phoneticPr fontId="5"/>
  </si>
  <si>
    <t>特定種優占型（ｵｵｽﾘﾊﾞﾁｻﾝｺﾞ）</t>
    <rPh sb="0" eb="2">
      <t>トクテイ</t>
    </rPh>
    <rPh sb="2" eb="3">
      <t>シュ</t>
    </rPh>
    <rPh sb="3" eb="5">
      <t>ユウセン</t>
    </rPh>
    <rPh sb="5" eb="6">
      <t>ガタ</t>
    </rPh>
    <phoneticPr fontId="4"/>
  </si>
  <si>
    <t>中通島　青木浦</t>
    <rPh sb="0" eb="2">
      <t>アオキ</t>
    </rPh>
    <rPh sb="2" eb="3">
      <t>ウラ</t>
    </rPh>
    <phoneticPr fontId="4"/>
  </si>
  <si>
    <t>枝ﾐﾄﾞ・多種混成型</t>
    <rPh sb="0" eb="1">
      <t>エダ</t>
    </rPh>
    <rPh sb="5" eb="7">
      <t>タシュ</t>
    </rPh>
    <rPh sb="7" eb="9">
      <t>コンセイ</t>
    </rPh>
    <rPh sb="9" eb="10">
      <t>ガタ</t>
    </rPh>
    <phoneticPr fontId="4"/>
  </si>
  <si>
    <t>中通島　ダイビングショップ前</t>
    <rPh sb="0" eb="1">
      <t>アル</t>
    </rPh>
    <phoneticPr fontId="4"/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</si>
  <si>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5"/>
  </si>
  <si>
    <t>串本周辺</t>
    <rPh sb="0" eb="2">
      <t>クシモト</t>
    </rPh>
    <rPh sb="2" eb="4">
      <t>シュウヘン</t>
    </rPh>
    <phoneticPr fontId="5"/>
  </si>
  <si>
    <t>通夜島</t>
    <rPh sb="0" eb="3">
      <t>ツヤジマ</t>
    </rPh>
    <phoneticPr fontId="5"/>
  </si>
  <si>
    <t>住崎</t>
    <rPh sb="0" eb="2">
      <t>スミサキ</t>
    </rPh>
    <phoneticPr fontId="5"/>
  </si>
  <si>
    <t>砥崎</t>
    <rPh sb="0" eb="2">
      <t>トサキ</t>
    </rPh>
    <phoneticPr fontId="5"/>
  </si>
  <si>
    <t>高富湾奥</t>
    <rPh sb="0" eb="2">
      <t>タカトミ</t>
    </rPh>
    <rPh sb="2" eb="3">
      <t>ワン</t>
    </rPh>
    <rPh sb="3" eb="4">
      <t>オク</t>
    </rPh>
    <phoneticPr fontId="5"/>
  </si>
  <si>
    <t>1号地</t>
    <rPh sb="1" eb="3">
      <t>ゴウチ</t>
    </rPh>
    <phoneticPr fontId="5"/>
  </si>
  <si>
    <t>2号地</t>
    <rPh sb="1" eb="3">
      <t>ゴウチ</t>
    </rPh>
    <phoneticPr fontId="5"/>
  </si>
  <si>
    <t>3号地</t>
    <rPh sb="1" eb="3">
      <t>ゴウチ</t>
    </rPh>
    <phoneticPr fontId="5"/>
  </si>
  <si>
    <t>4号地</t>
    <rPh sb="1" eb="3">
      <t>ゴウチ</t>
    </rPh>
    <phoneticPr fontId="5"/>
  </si>
  <si>
    <t>展望塔前</t>
    <rPh sb="0" eb="3">
      <t>テンボウトウ</t>
    </rPh>
    <rPh sb="3" eb="4">
      <t>マエ</t>
    </rPh>
    <phoneticPr fontId="5"/>
  </si>
  <si>
    <t>有田湾奥</t>
    <rPh sb="0" eb="2">
      <t>アリタ</t>
    </rPh>
    <rPh sb="2" eb="3">
      <t>ワン</t>
    </rPh>
    <rPh sb="3" eb="4">
      <t>オク</t>
    </rPh>
    <phoneticPr fontId="5"/>
  </si>
  <si>
    <t>双島①</t>
    <rPh sb="0" eb="2">
      <t>ソウシマ</t>
    </rPh>
    <phoneticPr fontId="5"/>
  </si>
  <si>
    <t>双島②</t>
    <rPh sb="0" eb="2">
      <t>ソウシマ</t>
    </rPh>
    <phoneticPr fontId="5"/>
  </si>
  <si>
    <t>下浅地</t>
    <rPh sb="0" eb="1">
      <t>シモ</t>
    </rPh>
    <rPh sb="1" eb="3">
      <t>アサジ</t>
    </rPh>
    <phoneticPr fontId="5"/>
  </si>
  <si>
    <t>笹野島(二木島海中公園1号地区)</t>
  </si>
  <si>
    <t>望月島(二木島海中公園2号地区)</t>
  </si>
  <si>
    <t>紀伊大島
ゾウバナ</t>
    <rPh sb="0" eb="2">
      <t>キイ</t>
    </rPh>
    <rPh sb="2" eb="4">
      <t>オオシマ</t>
    </rPh>
    <phoneticPr fontId="4"/>
  </si>
  <si>
    <t>四国（黒潮影響域)</t>
    <rPh sb="0" eb="2">
      <t>シコク</t>
    </rPh>
    <rPh sb="3" eb="5">
      <t>クロシオ</t>
    </rPh>
    <rPh sb="5" eb="7">
      <t>エイキョウ</t>
    </rPh>
    <rPh sb="7" eb="8">
      <t>イキ</t>
    </rPh>
    <phoneticPr fontId="5"/>
  </si>
  <si>
    <t>四国南西岸(宇和海～足摺岬)</t>
    <rPh sb="0" eb="2">
      <t>シコク</t>
    </rPh>
    <rPh sb="2" eb="5">
      <t>ナンセイガン</t>
    </rPh>
    <rPh sb="6" eb="9">
      <t>ウワカイ</t>
    </rPh>
    <rPh sb="10" eb="13">
      <t>アシズリミサキ</t>
    </rPh>
    <phoneticPr fontId="5"/>
  </si>
  <si>
    <t>目﨑拓真</t>
    <rPh sb="0" eb="2">
      <t>メザキ</t>
    </rPh>
    <rPh sb="2" eb="4">
      <t>タクマ</t>
    </rPh>
    <phoneticPr fontId="4"/>
  </si>
  <si>
    <t>宇和海7号地・鹿島</t>
    <rPh sb="0" eb="3">
      <t>ウワカイ</t>
    </rPh>
    <rPh sb="4" eb="6">
      <t>ゴウチ</t>
    </rPh>
    <phoneticPr fontId="5"/>
  </si>
  <si>
    <t>網代</t>
    <rPh sb="0" eb="2">
      <t>アジロ</t>
    </rPh>
    <phoneticPr fontId="7"/>
  </si>
  <si>
    <t>枝状・卓状ミドリイシ混成型</t>
    <rPh sb="10" eb="12">
      <t>コンセイ</t>
    </rPh>
    <phoneticPr fontId="5"/>
  </si>
  <si>
    <t>沖ノ島・トリノクビ</t>
    <rPh sb="0" eb="1">
      <t>オキ</t>
    </rPh>
    <rPh sb="2" eb="3">
      <t>シマ</t>
    </rPh>
    <phoneticPr fontId="5"/>
  </si>
  <si>
    <t>沖ノ島・三ツ碆</t>
    <rPh sb="0" eb="1">
      <t>オキ</t>
    </rPh>
    <rPh sb="2" eb="3">
      <t>シマ</t>
    </rPh>
    <rPh sb="4" eb="5">
      <t>ミツ</t>
    </rPh>
    <rPh sb="6" eb="7">
      <t>ハエ</t>
    </rPh>
    <phoneticPr fontId="5"/>
  </si>
  <si>
    <t>尻貝海中公園</t>
    <rPh sb="2" eb="4">
      <t>カイチュウ</t>
    </rPh>
    <rPh sb="4" eb="6">
      <t>コウエン</t>
    </rPh>
    <phoneticPr fontId="5"/>
  </si>
  <si>
    <t>樫西1号地・西泊</t>
    <rPh sb="0" eb="2">
      <t>カシニシ</t>
    </rPh>
    <rPh sb="3" eb="5">
      <t>ゴウチ</t>
    </rPh>
    <phoneticPr fontId="5"/>
  </si>
  <si>
    <t>竜串1号地･爪白</t>
    <rPh sb="0" eb="2">
      <t>タツクシ</t>
    </rPh>
    <rPh sb="3" eb="5">
      <t>ゴウチ</t>
    </rPh>
    <phoneticPr fontId="5"/>
  </si>
  <si>
    <t>竜串2号地・竜串西</t>
    <rPh sb="0" eb="2">
      <t>タツクシ</t>
    </rPh>
    <rPh sb="3" eb="5">
      <t>ゴウチ</t>
    </rPh>
    <rPh sb="8" eb="9">
      <t>ニシ</t>
    </rPh>
    <phoneticPr fontId="5"/>
  </si>
  <si>
    <t>竜串2号地・竜串</t>
    <rPh sb="0" eb="2">
      <t>タツクシ</t>
    </rPh>
    <rPh sb="3" eb="5">
      <t>ゴウチ</t>
    </rPh>
    <phoneticPr fontId="5"/>
  </si>
  <si>
    <t>竜串3号地・大碆</t>
    <rPh sb="0" eb="2">
      <t>タツクシ</t>
    </rPh>
    <rPh sb="3" eb="5">
      <t>ゴウチ</t>
    </rPh>
    <phoneticPr fontId="5"/>
  </si>
  <si>
    <t>四国南東岸(協力地点）</t>
    <rPh sb="0" eb="2">
      <t>シコク</t>
    </rPh>
    <rPh sb="2" eb="4">
      <t>ナントウ</t>
    </rPh>
    <rPh sb="4" eb="5">
      <t>ガン</t>
    </rPh>
    <rPh sb="6" eb="8">
      <t>キョウリョク</t>
    </rPh>
    <rPh sb="8" eb="10">
      <t>チテン</t>
    </rPh>
    <phoneticPr fontId="5"/>
  </si>
  <si>
    <t>奈半利10号堤　内側</t>
    <rPh sb="0" eb="3">
      <t>ナハリ</t>
    </rPh>
    <rPh sb="5" eb="6">
      <t>ゴウ</t>
    </rPh>
    <rPh sb="6" eb="7">
      <t>ツツミ</t>
    </rPh>
    <rPh sb="8" eb="10">
      <t>ウチガワ</t>
    </rPh>
    <phoneticPr fontId="5"/>
  </si>
  <si>
    <t>奈半利7号堤　外側</t>
    <rPh sb="0" eb="3">
      <t>ナハリ</t>
    </rPh>
    <rPh sb="4" eb="5">
      <t>ゴウ</t>
    </rPh>
    <rPh sb="5" eb="6">
      <t>ツツミ</t>
    </rPh>
    <rPh sb="7" eb="9">
      <t>ソトガワ</t>
    </rPh>
    <phoneticPr fontId="5"/>
  </si>
  <si>
    <t>奈半利5号堤　内側</t>
    <rPh sb="0" eb="3">
      <t>ナハリ</t>
    </rPh>
    <rPh sb="4" eb="5">
      <t>ゴウ</t>
    </rPh>
    <rPh sb="5" eb="6">
      <t>ツツミ</t>
    </rPh>
    <rPh sb="7" eb="9">
      <t>ウチガワ</t>
    </rPh>
    <phoneticPr fontId="5"/>
  </si>
  <si>
    <t>田野2号堤　内側</t>
    <rPh sb="0" eb="2">
      <t>タノ</t>
    </rPh>
    <rPh sb="3" eb="5">
      <t>ゴウテイ</t>
    </rPh>
    <rPh sb="6" eb="8">
      <t>ウチガワ</t>
    </rPh>
    <phoneticPr fontId="5"/>
  </si>
  <si>
    <t>金目</t>
    <rPh sb="0" eb="2">
      <t>カナメ</t>
    </rPh>
    <phoneticPr fontId="5"/>
  </si>
  <si>
    <t>竹ヶ島1号地東側</t>
    <rPh sb="0" eb="3">
      <t>タケガシマ</t>
    </rPh>
    <rPh sb="4" eb="6">
      <t>ゴウチ</t>
    </rPh>
    <rPh sb="6" eb="8">
      <t>ヒガシガワ</t>
    </rPh>
    <phoneticPr fontId="5"/>
  </si>
  <si>
    <t>竹ヶ島1号地西側（ＷB）</t>
    <rPh sb="0" eb="3">
      <t>タケガシマ</t>
    </rPh>
    <rPh sb="4" eb="6">
      <t>ゴウチ</t>
    </rPh>
    <rPh sb="6" eb="8">
      <t>ニシガワ</t>
    </rPh>
    <phoneticPr fontId="5"/>
  </si>
  <si>
    <t>竹ヶ島2号地竹ヶ島</t>
    <rPh sb="0" eb="3">
      <t>タケガシマ</t>
    </rPh>
    <rPh sb="4" eb="6">
      <t>ゴウチ</t>
    </rPh>
    <rPh sb="6" eb="9">
      <t>タケガシマ</t>
    </rPh>
    <phoneticPr fontId="5"/>
  </si>
  <si>
    <t>竹ヶ島2号地二子島（ｂ）</t>
    <rPh sb="0" eb="3">
      <t>タケガシマ</t>
    </rPh>
    <rPh sb="4" eb="6">
      <t>ゴウチ</t>
    </rPh>
    <rPh sb="6" eb="9">
      <t>フタゴジマ</t>
    </rPh>
    <phoneticPr fontId="5"/>
  </si>
  <si>
    <t>四国東岸(協力地点）</t>
    <rPh sb="0" eb="2">
      <t>シコク</t>
    </rPh>
    <rPh sb="2" eb="3">
      <t>ヒガシ</t>
    </rPh>
    <rPh sb="3" eb="4">
      <t>ガン</t>
    </rPh>
    <rPh sb="5" eb="7">
      <t>キョウリョク</t>
    </rPh>
    <rPh sb="7" eb="9">
      <t>チテン</t>
    </rPh>
    <phoneticPr fontId="5"/>
  </si>
  <si>
    <t>牟岐大島・1号地</t>
    <rPh sb="0" eb="2">
      <t>ムギ</t>
    </rPh>
    <rPh sb="2" eb="4">
      <t>オオシマ</t>
    </rPh>
    <rPh sb="6" eb="8">
      <t>ゴウチ</t>
    </rPh>
    <phoneticPr fontId="5"/>
  </si>
  <si>
    <t>牟岐大島・2号地</t>
    <rPh sb="0" eb="2">
      <t>ムギ</t>
    </rPh>
    <rPh sb="2" eb="4">
      <t>オオシマ</t>
    </rPh>
    <rPh sb="6" eb="8">
      <t>ゴウチ</t>
    </rPh>
    <phoneticPr fontId="5"/>
  </si>
  <si>
    <t>牟岐大島・ビシャゴ</t>
    <rPh sb="0" eb="2">
      <t>ムギ</t>
    </rPh>
    <rPh sb="2" eb="4">
      <t>オオシマ</t>
    </rPh>
    <phoneticPr fontId="5"/>
  </si>
  <si>
    <t>牟岐大島・内湾</t>
    <rPh sb="0" eb="2">
      <t>ムギ</t>
    </rPh>
    <rPh sb="2" eb="4">
      <t>オオシマ</t>
    </rPh>
    <rPh sb="5" eb="6">
      <t>ナイ</t>
    </rPh>
    <rPh sb="6" eb="7">
      <t>ワン</t>
    </rPh>
    <phoneticPr fontId="5"/>
  </si>
  <si>
    <t>牟岐大島・チエバの下</t>
    <rPh sb="0" eb="2">
      <t>ムギ</t>
    </rPh>
    <rPh sb="2" eb="4">
      <t>オオシマ</t>
    </rPh>
    <rPh sb="9" eb="10">
      <t>シタ</t>
    </rPh>
    <phoneticPr fontId="5"/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</si>
  <si>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5"/>
  </si>
  <si>
    <t>塩屋海岸</t>
    <rPh sb="0" eb="2">
      <t>シオヤ</t>
    </rPh>
    <rPh sb="2" eb="4">
      <t>カイガン</t>
    </rPh>
    <phoneticPr fontId="4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</si>
  <si>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5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</si>
  <si>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5"/>
  </si>
  <si>
    <t>鹿児島県南部沿岸</t>
    <rPh sb="0" eb="4">
      <t>カゴシマケン</t>
    </rPh>
    <rPh sb="4" eb="6">
      <t>ナンブ</t>
    </rPh>
    <rPh sb="6" eb="8">
      <t>エンガン</t>
    </rPh>
    <phoneticPr fontId="5"/>
  </si>
  <si>
    <t>身代湾入口</t>
    <rPh sb="0" eb="2">
      <t>ミノシロ</t>
    </rPh>
    <rPh sb="2" eb="3">
      <t>ワン</t>
    </rPh>
    <rPh sb="3" eb="4">
      <t>イ</t>
    </rPh>
    <rPh sb="4" eb="5">
      <t>グチ</t>
    </rPh>
    <phoneticPr fontId="5"/>
  </si>
  <si>
    <t>出羽慎一</t>
    <rPh sb="0" eb="2">
      <t>デワ</t>
    </rPh>
    <rPh sb="2" eb="4">
      <t>シンイチ</t>
    </rPh>
    <phoneticPr fontId="4"/>
  </si>
  <si>
    <t>観音崎東</t>
    <rPh sb="0" eb="3">
      <t>カンノンザキ</t>
    </rPh>
    <rPh sb="3" eb="4">
      <t>ヒガシ</t>
    </rPh>
    <phoneticPr fontId="5"/>
  </si>
  <si>
    <t>沖小島（立神）</t>
    <rPh sb="0" eb="1">
      <t>オキ</t>
    </rPh>
    <rPh sb="1" eb="3">
      <t>コジマ</t>
    </rPh>
    <rPh sb="4" eb="5">
      <t>タ</t>
    </rPh>
    <rPh sb="5" eb="6">
      <t>カミ</t>
    </rPh>
    <phoneticPr fontId="5"/>
  </si>
  <si>
    <t>神瀬</t>
    <rPh sb="0" eb="1">
      <t>カミ</t>
    </rPh>
    <rPh sb="1" eb="2">
      <t>セ</t>
    </rPh>
    <phoneticPr fontId="5"/>
  </si>
  <si>
    <t>袴腰海中公園</t>
    <rPh sb="0" eb="1">
      <t>ハカマ</t>
    </rPh>
    <rPh sb="1" eb="2">
      <t>コシ</t>
    </rPh>
    <rPh sb="2" eb="4">
      <t>カイチュウ</t>
    </rPh>
    <rPh sb="4" eb="6">
      <t>コウエン</t>
    </rPh>
    <phoneticPr fontId="5"/>
  </si>
  <si>
    <t>佐多岬海中公園・岬側</t>
    <rPh sb="0" eb="3">
      <t>サタミサキ</t>
    </rPh>
    <rPh sb="3" eb="5">
      <t>カイチュウ</t>
    </rPh>
    <rPh sb="5" eb="7">
      <t>コウエン</t>
    </rPh>
    <rPh sb="8" eb="9">
      <t>ミサキ</t>
    </rPh>
    <rPh sb="9" eb="10">
      <t>ガワ</t>
    </rPh>
    <phoneticPr fontId="5"/>
  </si>
  <si>
    <t>佐多岬海中公園・ビロウ島</t>
    <rPh sb="0" eb="3">
      <t>サタミサキ</t>
    </rPh>
    <rPh sb="3" eb="5">
      <t>カイチュウ</t>
    </rPh>
    <rPh sb="5" eb="7">
      <t>コウエン</t>
    </rPh>
    <rPh sb="11" eb="12">
      <t>シマ</t>
    </rPh>
    <phoneticPr fontId="5"/>
  </si>
  <si>
    <t>白木</t>
    <rPh sb="0" eb="2">
      <t>シラキ</t>
    </rPh>
    <phoneticPr fontId="5"/>
  </si>
  <si>
    <t>赤水大龍 権現</t>
    <rPh sb="0" eb="1">
      <t>アカ</t>
    </rPh>
    <rPh sb="1" eb="2">
      <t>ミズ</t>
    </rPh>
    <rPh sb="2" eb="3">
      <t>ダイ</t>
    </rPh>
    <rPh sb="3" eb="4">
      <t>リュウ</t>
    </rPh>
    <rPh sb="5" eb="7">
      <t>ゴンゲン</t>
    </rPh>
    <phoneticPr fontId="5"/>
  </si>
  <si>
    <t>坊津・塩ケ浦</t>
    <rPh sb="0" eb="1">
      <t>ボウ</t>
    </rPh>
    <rPh sb="1" eb="2">
      <t>ツ</t>
    </rPh>
    <rPh sb="3" eb="4">
      <t>シオ</t>
    </rPh>
    <rPh sb="5" eb="6">
      <t>ウラ</t>
    </rPh>
    <phoneticPr fontId="5"/>
  </si>
  <si>
    <t>坊津・馬込浜その1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</si>
  <si>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坊津・馬込浜その2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</si>
  <si>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坊津・平崎集会場下</t>
    <rPh sb="0" eb="1">
      <t>ボウ</t>
    </rPh>
    <rPh sb="1" eb="2">
      <t>ツ</t>
    </rPh>
    <rPh sb="3" eb="5">
      <t>ヒラサキ</t>
    </rPh>
    <rPh sb="5" eb="8">
      <t>シュウカイジョウ</t>
    </rPh>
    <rPh sb="8" eb="9">
      <t>シタ</t>
    </rPh>
    <phoneticPr fontId="5"/>
  </si>
  <si>
    <t>坊津・田平</t>
    <rPh sb="0" eb="1">
      <t>ボウ</t>
    </rPh>
    <rPh sb="1" eb="2">
      <t>ツ</t>
    </rPh>
    <rPh sb="3" eb="5">
      <t>タヒラ</t>
    </rPh>
    <phoneticPr fontId="5"/>
  </si>
  <si>
    <t>笠沙町・大当</t>
    <rPh sb="0" eb="1">
      <t>カサ</t>
    </rPh>
    <rPh sb="1" eb="2">
      <t>サ</t>
    </rPh>
    <rPh sb="2" eb="3">
      <t>マチ</t>
    </rPh>
    <rPh sb="4" eb="5">
      <t>ダイ</t>
    </rPh>
    <rPh sb="5" eb="6">
      <t>ア</t>
    </rPh>
    <phoneticPr fontId="5"/>
  </si>
  <si>
    <t>阿久根・桑島</t>
    <rPh sb="0" eb="3">
      <t>アクネ</t>
    </rPh>
    <rPh sb="4" eb="6">
      <t>クワジマ</t>
    </rPh>
    <phoneticPr fontId="5"/>
  </si>
  <si>
    <t>長島・多々羅島</t>
    <rPh sb="0" eb="2">
      <t>ナガシマ</t>
    </rPh>
    <rPh sb="3" eb="5">
      <t>タタ</t>
    </rPh>
    <rPh sb="5" eb="6">
      <t>ラ</t>
    </rPh>
    <rPh sb="6" eb="7">
      <t>ジマ</t>
    </rPh>
    <phoneticPr fontId="5"/>
  </si>
  <si>
    <t>東町・加世堂湾</t>
    <rPh sb="0" eb="2">
      <t>ヒガシマチ</t>
    </rPh>
    <rPh sb="3" eb="4">
      <t>カ</t>
    </rPh>
    <rPh sb="4" eb="5">
      <t>セ</t>
    </rPh>
    <rPh sb="5" eb="6">
      <t>ドウ</t>
    </rPh>
    <rPh sb="6" eb="7">
      <t>ワン</t>
    </rPh>
    <phoneticPr fontId="5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</si>
  <si>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5"/>
  </si>
  <si>
    <t>天草周辺</t>
    <rPh sb="0" eb="2">
      <t>アマクサ</t>
    </rPh>
    <rPh sb="2" eb="4">
      <t>シュウヘン</t>
    </rPh>
    <phoneticPr fontId="4"/>
  </si>
  <si>
    <t>富岡海中公園１号、つつま瀬</t>
    <rPh sb="0" eb="6">
      <t>トミオカカイチュウコウエン</t>
    </rPh>
    <rPh sb="7" eb="8">
      <t>ゴウ</t>
    </rPh>
    <rPh sb="12" eb="13">
      <t>セ</t>
    </rPh>
    <phoneticPr fontId="5"/>
  </si>
  <si>
    <t>新垣</t>
    <rPh sb="0" eb="2">
      <t>アラカキ</t>
    </rPh>
    <phoneticPr fontId="4"/>
  </si>
  <si>
    <t>富岡海中公園２号、白岩崎</t>
    <rPh sb="0" eb="6">
      <t>トミオカカイチュウコウエン</t>
    </rPh>
    <rPh sb="7" eb="8">
      <t>ゴウ</t>
    </rPh>
    <rPh sb="9" eb="12">
      <t>シライワザキ</t>
    </rPh>
    <phoneticPr fontId="5"/>
  </si>
  <si>
    <t>天草海中公園、大ガ瀬</t>
    <rPh sb="0" eb="6">
      <t>アマクサカイチュウコウエン</t>
    </rPh>
    <rPh sb="7" eb="8">
      <t>オオ</t>
    </rPh>
    <rPh sb="9" eb="10">
      <t>セ</t>
    </rPh>
    <phoneticPr fontId="5"/>
  </si>
  <si>
    <t>天草海中公園、大ガ瀬対岸</t>
    <rPh sb="0" eb="6">
      <t>アマクサカイチュウコウエン</t>
    </rPh>
    <rPh sb="7" eb="8">
      <t>オオ</t>
    </rPh>
    <rPh sb="9" eb="10">
      <t>セ</t>
    </rPh>
    <rPh sb="10" eb="12">
      <t>タイガン</t>
    </rPh>
    <phoneticPr fontId="5"/>
  </si>
  <si>
    <t>天草海中公園、桑島</t>
    <rPh sb="0" eb="2">
      <t>アマクサ</t>
    </rPh>
    <rPh sb="2" eb="4">
      <t>カイチュウ</t>
    </rPh>
    <rPh sb="4" eb="6">
      <t>コウエン</t>
    </rPh>
    <rPh sb="7" eb="9">
      <t>クワシマ</t>
    </rPh>
    <phoneticPr fontId="5"/>
  </si>
  <si>
    <t>茂串（白浜）</t>
    <rPh sb="0" eb="1">
      <t>シゲル</t>
    </rPh>
    <rPh sb="1" eb="2">
      <t>クシ</t>
    </rPh>
    <rPh sb="3" eb="5">
      <t>シラハマ</t>
    </rPh>
    <phoneticPr fontId="5"/>
  </si>
  <si>
    <t>大島北</t>
    <rPh sb="0" eb="2">
      <t>オオシマ</t>
    </rPh>
    <rPh sb="2" eb="3">
      <t>キタ</t>
    </rPh>
    <phoneticPr fontId="5"/>
  </si>
  <si>
    <t>牛深海中公園１号、鶴崎</t>
    <rPh sb="0" eb="2">
      <t>ウシブカ</t>
    </rPh>
    <rPh sb="2" eb="6">
      <t>カイチュウコウエン</t>
    </rPh>
    <rPh sb="7" eb="8">
      <t>ゴウ</t>
    </rPh>
    <rPh sb="9" eb="11">
      <t>ツルサキ</t>
    </rPh>
    <phoneticPr fontId="5"/>
  </si>
  <si>
    <t>大島港西</t>
    <rPh sb="0" eb="3">
      <t>オオシマコウ</t>
    </rPh>
    <rPh sb="3" eb="4">
      <t>ニシ</t>
    </rPh>
    <phoneticPr fontId="5"/>
  </si>
  <si>
    <t>片島</t>
    <rPh sb="0" eb="2">
      <t>カタシマ</t>
    </rPh>
    <phoneticPr fontId="5"/>
  </si>
  <si>
    <t>春這</t>
    <rPh sb="0" eb="1">
      <t>ハル</t>
    </rPh>
    <rPh sb="1" eb="2">
      <t>ハ</t>
    </rPh>
    <phoneticPr fontId="5"/>
  </si>
  <si>
    <t>平瀬</t>
    <rPh sb="0" eb="2">
      <t>ヒラセ</t>
    </rPh>
    <phoneticPr fontId="5"/>
  </si>
  <si>
    <t>牛深海中公園３号、築ノ島</t>
    <rPh sb="0" eb="6">
      <t>ウシブカカイチュウコウエン</t>
    </rPh>
    <rPh sb="7" eb="8">
      <t>ゴウ</t>
    </rPh>
    <rPh sb="9" eb="10">
      <t>ケンチク</t>
    </rPh>
    <rPh sb="11" eb="12">
      <t>シマ</t>
    </rPh>
    <phoneticPr fontId="5"/>
  </si>
  <si>
    <t>牛深海中公園４号、法ヶ島南側</t>
    <rPh sb="0" eb="6">
      <t>ウシブカカイチュウコウエン</t>
    </rPh>
    <rPh sb="7" eb="8">
      <t>ゴウ</t>
    </rPh>
    <rPh sb="9" eb="10">
      <t>ホウ</t>
    </rPh>
    <rPh sb="11" eb="12">
      <t>シマ</t>
    </rPh>
    <rPh sb="12" eb="13">
      <t>ミナミ</t>
    </rPh>
    <rPh sb="13" eb="14">
      <t>ガワ</t>
    </rPh>
    <phoneticPr fontId="5"/>
  </si>
  <si>
    <t>片島南</t>
    <rPh sb="0" eb="2">
      <t>カタシマ</t>
    </rPh>
    <rPh sb="2" eb="3">
      <t>ミナミ</t>
    </rPh>
    <phoneticPr fontId="5"/>
  </si>
  <si>
    <t>砂月</t>
    <rPh sb="0" eb="1">
      <t>スナ</t>
    </rPh>
    <rPh sb="1" eb="2">
      <t>ツキ</t>
    </rPh>
    <phoneticPr fontId="5"/>
  </si>
  <si>
    <t>天神崎ビーチ</t>
    <rPh sb="0" eb="3">
      <t>テンジンザキ</t>
    </rPh>
    <phoneticPr fontId="7"/>
  </si>
  <si>
    <t>沖島サンマリンコーラルガーデン</t>
    <rPh sb="0" eb="1">
      <t>オキ</t>
    </rPh>
    <rPh sb="1" eb="2">
      <t>シマ</t>
    </rPh>
    <phoneticPr fontId="17"/>
  </si>
  <si>
    <t>沖島エトセトラコーラルガーデン</t>
    <rPh sb="0" eb="1">
      <t>オキ</t>
    </rPh>
    <rPh sb="1" eb="2">
      <t>シマ</t>
    </rPh>
    <phoneticPr fontId="7"/>
  </si>
  <si>
    <t>ニシザキサンゴ真ん中</t>
    <rPh sb="7" eb="8">
      <t>マ</t>
    </rPh>
    <rPh sb="9" eb="10">
      <t>ナカ</t>
    </rPh>
    <phoneticPr fontId="7"/>
  </si>
  <si>
    <t>四双島南</t>
    <rPh sb="0" eb="2">
      <t>シソウ</t>
    </rPh>
    <rPh sb="2" eb="3">
      <t>ジマ</t>
    </rPh>
    <rPh sb="3" eb="4">
      <t>ミナミ</t>
    </rPh>
    <phoneticPr fontId="7"/>
  </si>
  <si>
    <t>権現崎</t>
    <rPh sb="0" eb="2">
      <t>ゴンゲン</t>
    </rPh>
    <rPh sb="2" eb="3">
      <t>ザキ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</si>
</sst>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0_ "/>
    <numFmt numFmtId="177" formatCode="0_);[Red]\(0\)"/>
    <numFmt numFmtId="178" formatCode="0.0_);[Red]\(0.0\)"/>
    <numFmt numFmtId="179" formatCode="0.0_ "/>
    <numFmt numFmtId="180" formatCode="0.00_ "/>
    <numFmt numFmtId="181" formatCode="yyyy/m/d;@"/>
    <numFmt numFmtId="182" formatCode="0.0"/>
    <numFmt numFmtId="183" formatCode="0.000"/>
  </numFmts>
  <fonts count="28">
    <font>
      <sz val="12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sz val="8"/>
      <name val="ＭＳ 明朝"/>
      <family val="1"/>
      <charset val="128"/>
    </font>
    <font>
      <u/>
      <sz val="10"/>
      <color indexed="36"/>
      <name val="ＭＳ 明朝"/>
      <family val="1"/>
      <charset val="128"/>
    </font>
    <font>
      <sz val="6"/>
      <name val="Osaka"/>
      <family val="3"/>
      <charset val="128"/>
    </font>
    <font>
      <sz val="9"/>
      <color indexed="10"/>
      <name val="ＭＳ Ｐゴシック"/>
      <family val="3"/>
      <charset val="128"/>
    </font>
    <font>
      <sz val="6"/>
      <name val="AGENDA人名行書体L1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b/>
      <sz val="8"/>
      <name val="ＭＳ Ｐ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uble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20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6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7" fillId="0" borderId="0">
      <alignment horizontal="center" vertical="center" shrinkToFit="1"/>
    </xf>
    <xf numFmtId="0" fontId="7" fillId="0" borderId="0">
      <alignment horizontal="center" vertical="center"/>
    </xf>
    <xf numFmtId="0" fontId="20" fillId="0" borderId="0">
      <alignment vertical="center"/>
    </xf>
  </cellStyleXfs>
  <cellXfs count="86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76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left" vertical="center" wrapText="1"/>
    </xf>
    <xf numFmtId="176" fontId="5" fillId="0" borderId="7" xfId="0" applyNumberFormat="1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49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49" fontId="5" fillId="0" borderId="11" xfId="13" applyNumberFormat="1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176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176" fontId="5" fillId="0" borderId="9" xfId="0" applyNumberFormat="1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13" applyFont="1" applyBorder="1" applyAlignment="1">
      <alignment horizontal="left" vertical="center" wrapText="1"/>
    </xf>
    <xf numFmtId="0" fontId="5" fillId="0" borderId="10" xfId="13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0" fontId="10" fillId="2" borderId="0" xfId="0" applyFont="1" applyFill="1">
      <alignment vertical="center"/>
    </xf>
    <xf numFmtId="49" fontId="5" fillId="0" borderId="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49" fontId="5" fillId="0" borderId="15" xfId="13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176" fontId="5" fillId="0" borderId="13" xfId="0" applyNumberFormat="1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left" vertical="center" wrapText="1"/>
    </xf>
    <xf numFmtId="176" fontId="5" fillId="0" borderId="14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177" fontId="5" fillId="0" borderId="10" xfId="0" applyNumberFormat="1" applyFont="1" applyBorder="1" applyAlignment="1">
      <alignment horizontal="left" vertical="center"/>
    </xf>
    <xf numFmtId="178" fontId="5" fillId="0" borderId="11" xfId="0" applyNumberFormat="1" applyFont="1" applyBorder="1" applyAlignment="1">
      <alignment horizontal="left" vertical="center"/>
    </xf>
    <xf numFmtId="177" fontId="5" fillId="0" borderId="9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/>
    </xf>
    <xf numFmtId="177" fontId="5" fillId="0" borderId="20" xfId="0" applyNumberFormat="1" applyFont="1" applyBorder="1" applyAlignment="1">
      <alignment horizontal="left" vertical="center"/>
    </xf>
    <xf numFmtId="178" fontId="5" fillId="0" borderId="21" xfId="0" applyNumberFormat="1" applyFont="1" applyBorder="1" applyAlignment="1">
      <alignment horizontal="left" vertical="center"/>
    </xf>
    <xf numFmtId="177" fontId="5" fillId="0" borderId="19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176" fontId="5" fillId="0" borderId="23" xfId="0" applyNumberFormat="1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left" vertical="center"/>
    </xf>
    <xf numFmtId="176" fontId="5" fillId="0" borderId="22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 wrapText="1"/>
    </xf>
    <xf numFmtId="49" fontId="5" fillId="0" borderId="25" xfId="0" applyNumberFormat="1" applyFont="1" applyBorder="1" applyAlignment="1">
      <alignment horizontal="left" vertical="center" wrapText="1"/>
    </xf>
    <xf numFmtId="49" fontId="5" fillId="0" borderId="11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76" fontId="5" fillId="0" borderId="17" xfId="0" applyNumberFormat="1" applyFont="1" applyBorder="1" applyAlignment="1">
      <alignment horizontal="left" vertical="center"/>
    </xf>
    <xf numFmtId="176" fontId="5" fillId="0" borderId="16" xfId="0" applyNumberFormat="1" applyFont="1" applyBorder="1" applyAlignment="1">
      <alignment horizontal="left" vertical="center" wrapText="1"/>
    </xf>
    <xf numFmtId="176" fontId="5" fillId="0" borderId="17" xfId="0" applyNumberFormat="1" applyFont="1" applyBorder="1" applyAlignment="1">
      <alignment horizontal="left" vertical="center" wrapText="1"/>
    </xf>
    <xf numFmtId="179" fontId="5" fillId="0" borderId="11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49" fontId="5" fillId="0" borderId="14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vertical="center" wrapText="1"/>
    </xf>
    <xf numFmtId="176" fontId="5" fillId="0" borderId="14" xfId="0" applyNumberFormat="1" applyFont="1" applyBorder="1">
      <alignment vertical="center"/>
    </xf>
    <xf numFmtId="49" fontId="5" fillId="0" borderId="15" xfId="0" applyNumberFormat="1" applyFont="1" applyBorder="1">
      <alignment vertical="center"/>
    </xf>
    <xf numFmtId="176" fontId="5" fillId="0" borderId="23" xfId="0" applyNumberFormat="1" applyFont="1" applyBorder="1" applyAlignment="1">
      <alignment vertical="center" wrapText="1"/>
    </xf>
    <xf numFmtId="176" fontId="5" fillId="0" borderId="23" xfId="0" applyNumberFormat="1" applyFont="1" applyBorder="1">
      <alignment vertical="center"/>
    </xf>
    <xf numFmtId="49" fontId="5" fillId="0" borderId="24" xfId="0" applyNumberFormat="1" applyFont="1" applyBorder="1">
      <alignment vertical="center"/>
    </xf>
    <xf numFmtId="49" fontId="5" fillId="0" borderId="20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176" fontId="5" fillId="0" borderId="20" xfId="0" applyNumberFormat="1" applyFont="1" applyBorder="1" applyAlignment="1">
      <alignment horizontal="left" vertical="center"/>
    </xf>
    <xf numFmtId="176" fontId="5" fillId="0" borderId="19" xfId="0" applyNumberFormat="1" applyFont="1" applyBorder="1" applyAlignment="1">
      <alignment horizontal="left" vertical="center" wrapText="1"/>
    </xf>
    <xf numFmtId="176" fontId="5" fillId="0" borderId="20" xfId="0" applyNumberFormat="1" applyFont="1" applyBorder="1" applyAlignment="1">
      <alignment horizontal="left" vertical="center" wrapText="1"/>
    </xf>
    <xf numFmtId="0" fontId="14" fillId="0" borderId="23" xfId="0" applyFont="1" applyBorder="1">
      <alignment vertical="center"/>
    </xf>
    <xf numFmtId="0" fontId="14" fillId="0" borderId="24" xfId="0" applyFont="1" applyBorder="1">
      <alignment vertical="center"/>
    </xf>
    <xf numFmtId="0" fontId="26" fillId="0" borderId="9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center"/>
    </xf>
    <xf numFmtId="49" fontId="26" fillId="0" borderId="10" xfId="0" applyNumberFormat="1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179" fontId="26" fillId="0" borderId="11" xfId="0" applyNumberFormat="1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 wrapText="1"/>
    </xf>
    <xf numFmtId="49" fontId="26" fillId="0" borderId="11" xfId="0" applyNumberFormat="1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/>
    </xf>
    <xf numFmtId="49" fontId="26" fillId="0" borderId="23" xfId="0" applyNumberFormat="1" applyFont="1" applyBorder="1" applyAlignment="1">
      <alignment horizontal="left" vertical="center"/>
    </xf>
    <xf numFmtId="0" fontId="26" fillId="0" borderId="23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26" fillId="0" borderId="22" xfId="0" applyFont="1" applyBorder="1" applyAlignment="1">
      <alignment horizontal="left" vertical="center"/>
    </xf>
    <xf numFmtId="179" fontId="26" fillId="0" borderId="24" xfId="0" applyNumberFormat="1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 wrapText="1"/>
    </xf>
    <xf numFmtId="49" fontId="26" fillId="0" borderId="24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 wrapText="1"/>
    </xf>
    <xf numFmtId="0" fontId="5" fillId="0" borderId="23" xfId="11" applyFont="1" applyBorder="1" applyAlignment="1">
      <alignment horizontal="center" vertical="center"/>
    </xf>
    <xf numFmtId="0" fontId="5" fillId="0" borderId="23" xfId="11" applyFont="1" applyBorder="1" applyAlignment="1">
      <alignment horizontal="left" vertical="top" wrapText="1"/>
    </xf>
    <xf numFmtId="176" fontId="4" fillId="0" borderId="23" xfId="0" applyNumberFormat="1" applyFont="1" applyBorder="1" applyAlignment="1">
      <alignment horizontal="left" vertical="center" wrapText="1"/>
    </xf>
    <xf numFmtId="0" fontId="5" fillId="0" borderId="10" xfId="11" applyFont="1" applyBorder="1" applyAlignment="1">
      <alignment horizontal="center" vertical="center"/>
    </xf>
    <xf numFmtId="0" fontId="5" fillId="0" borderId="10" xfId="11" applyFont="1" applyBorder="1" applyAlignment="1">
      <alignment horizontal="left" vertical="top" wrapText="1"/>
    </xf>
    <xf numFmtId="176" fontId="4" fillId="0" borderId="10" xfId="0" applyNumberFormat="1" applyFont="1" applyBorder="1" applyAlignment="1">
      <alignment horizontal="left" vertical="center" wrapText="1"/>
    </xf>
    <xf numFmtId="0" fontId="5" fillId="0" borderId="14" xfId="11" applyFont="1" applyBorder="1" applyAlignment="1">
      <alignment horizontal="center" vertical="center"/>
    </xf>
    <xf numFmtId="0" fontId="5" fillId="0" borderId="14" xfId="11" applyFont="1" applyBorder="1" applyAlignment="1">
      <alignment horizontal="left" vertical="top" wrapText="1"/>
    </xf>
    <xf numFmtId="176" fontId="4" fillId="0" borderId="14" xfId="0" applyNumberFormat="1" applyFont="1" applyBorder="1" applyAlignment="1">
      <alignment horizontal="left" vertical="center" wrapText="1"/>
    </xf>
    <xf numFmtId="180" fontId="5" fillId="0" borderId="18" xfId="0" applyNumberFormat="1" applyFont="1" applyBorder="1" applyAlignment="1">
      <alignment horizontal="left" vertical="center"/>
    </xf>
    <xf numFmtId="180" fontId="5" fillId="0" borderId="11" xfId="0" applyNumberFormat="1" applyFont="1" applyBorder="1" applyAlignment="1">
      <alignment horizontal="left" vertical="center"/>
    </xf>
    <xf numFmtId="0" fontId="5" fillId="0" borderId="26" xfId="0" applyFont="1" applyBorder="1" applyAlignment="1">
      <alignment horizontal="center" vertical="center"/>
    </xf>
    <xf numFmtId="180" fontId="5" fillId="0" borderId="24" xfId="0" applyNumberFormat="1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 wrapText="1"/>
    </xf>
    <xf numFmtId="180" fontId="5" fillId="0" borderId="21" xfId="0" applyNumberFormat="1" applyFont="1" applyBorder="1" applyAlignment="1">
      <alignment horizontal="left" vertical="center"/>
    </xf>
    <xf numFmtId="49" fontId="5" fillId="0" borderId="24" xfId="9" applyNumberFormat="1" applyFont="1" applyBorder="1" applyAlignment="1">
      <alignment horizontal="left" vertical="center" wrapText="1"/>
    </xf>
    <xf numFmtId="0" fontId="5" fillId="0" borderId="22" xfId="9" applyFont="1" applyBorder="1" applyAlignment="1">
      <alignment horizontal="left" vertical="center"/>
    </xf>
    <xf numFmtId="0" fontId="5" fillId="0" borderId="23" xfId="9" applyFont="1" applyBorder="1" applyAlignment="1">
      <alignment horizontal="left" vertical="center"/>
    </xf>
    <xf numFmtId="0" fontId="5" fillId="0" borderId="24" xfId="9" applyFont="1" applyBorder="1" applyAlignment="1">
      <alignment horizontal="left" vertical="center"/>
    </xf>
    <xf numFmtId="49" fontId="5" fillId="0" borderId="11" xfId="9" applyNumberFormat="1" applyFont="1" applyBorder="1" applyAlignment="1">
      <alignment horizontal="left" vertical="center" wrapText="1"/>
    </xf>
    <xf numFmtId="0" fontId="5" fillId="0" borderId="9" xfId="9" applyFont="1" applyBorder="1" applyAlignment="1">
      <alignment horizontal="left" vertical="center"/>
    </xf>
    <xf numFmtId="0" fontId="5" fillId="0" borderId="10" xfId="9" applyFont="1" applyBorder="1" applyAlignment="1">
      <alignment horizontal="left" vertical="center"/>
    </xf>
    <xf numFmtId="0" fontId="5" fillId="0" borderId="11" xfId="9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 wrapText="1"/>
    </xf>
    <xf numFmtId="49" fontId="5" fillId="0" borderId="15" xfId="9" applyNumberFormat="1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0" fontId="27" fillId="0" borderId="0" xfId="0" applyFont="1">
      <alignment vertical="center"/>
    </xf>
    <xf numFmtId="49" fontId="5" fillId="0" borderId="19" xfId="0" applyNumberFormat="1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3" xfId="12" applyFont="1" applyBorder="1" applyAlignment="1">
      <alignment horizontal="center" vertical="center" wrapText="1"/>
    </xf>
    <xf numFmtId="0" fontId="5" fillId="0" borderId="23" xfId="13" applyFont="1" applyBorder="1" applyAlignment="1">
      <alignment horizontal="center" vertical="center" wrapText="1"/>
    </xf>
    <xf numFmtId="0" fontId="5" fillId="0" borderId="24" xfId="12" applyFont="1" applyBorder="1" applyAlignment="1">
      <alignment horizontal="left" vertical="center"/>
    </xf>
    <xf numFmtId="0" fontId="5" fillId="0" borderId="10" xfId="12" applyFont="1" applyBorder="1" applyAlignment="1">
      <alignment horizontal="center" vertical="center" wrapText="1"/>
    </xf>
    <xf numFmtId="0" fontId="5" fillId="0" borderId="10" xfId="13" applyFont="1" applyBorder="1" applyAlignment="1">
      <alignment horizontal="center" vertical="center" wrapText="1"/>
    </xf>
    <xf numFmtId="0" fontId="5" fillId="0" borderId="11" xfId="12" applyFont="1" applyBorder="1" applyAlignment="1">
      <alignment horizontal="left" vertical="center"/>
    </xf>
    <xf numFmtId="0" fontId="5" fillId="0" borderId="14" xfId="12" applyFont="1" applyBorder="1" applyAlignment="1">
      <alignment horizontal="center" vertical="center" wrapText="1"/>
    </xf>
    <xf numFmtId="0" fontId="5" fillId="0" borderId="14" xfId="13" applyFont="1" applyBorder="1" applyAlignment="1">
      <alignment horizontal="center" vertical="center" wrapText="1"/>
    </xf>
    <xf numFmtId="0" fontId="5" fillId="0" borderId="15" xfId="12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17" xfId="12" applyFont="1" applyBorder="1" applyAlignment="1">
      <alignment horizontal="center" vertical="center" wrapText="1"/>
    </xf>
    <xf numFmtId="0" fontId="5" fillId="0" borderId="17" xfId="13" applyFont="1" applyBorder="1" applyAlignment="1">
      <alignment horizontal="center" vertical="center" wrapText="1"/>
    </xf>
    <xf numFmtId="0" fontId="5" fillId="0" borderId="18" xfId="12" applyFont="1" applyBorder="1" applyAlignment="1">
      <alignment horizontal="left" vertical="center"/>
    </xf>
    <xf numFmtId="0" fontId="5" fillId="0" borderId="20" xfId="12" applyFont="1" applyBorder="1" applyAlignment="1">
      <alignment horizontal="center" vertical="center" wrapText="1"/>
    </xf>
    <xf numFmtId="0" fontId="5" fillId="0" borderId="20" xfId="13" applyFont="1" applyBorder="1" applyAlignment="1">
      <alignment horizontal="center" vertical="center" wrapText="1"/>
    </xf>
    <xf numFmtId="0" fontId="5" fillId="0" borderId="21" xfId="12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 shrinkToFit="1"/>
    </xf>
    <xf numFmtId="0" fontId="5" fillId="0" borderId="32" xfId="0" applyFont="1" applyBorder="1" applyAlignment="1">
      <alignment horizontal="left" vertical="center"/>
    </xf>
    <xf numFmtId="176" fontId="5" fillId="0" borderId="9" xfId="0" quotePrefix="1" applyNumberFormat="1" applyFont="1" applyBorder="1" applyAlignment="1">
      <alignment horizontal="left" vertical="center" wrapText="1"/>
    </xf>
    <xf numFmtId="176" fontId="5" fillId="0" borderId="10" xfId="0" quotePrefix="1" applyNumberFormat="1" applyFont="1" applyBorder="1" applyAlignment="1">
      <alignment horizontal="left" vertical="center" wrapText="1"/>
    </xf>
    <xf numFmtId="176" fontId="5" fillId="0" borderId="10" xfId="0" quotePrefix="1" applyNumberFormat="1" applyFont="1" applyBorder="1" applyAlignment="1">
      <alignment horizontal="left" vertical="center"/>
    </xf>
    <xf numFmtId="49" fontId="5" fillId="0" borderId="11" xfId="0" quotePrefix="1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179" fontId="5" fillId="0" borderId="21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 wrapText="1"/>
    </xf>
    <xf numFmtId="176" fontId="4" fillId="0" borderId="9" xfId="0" applyNumberFormat="1" applyFont="1" applyBorder="1" applyAlignment="1">
      <alignment horizontal="left" vertical="center" wrapText="1"/>
    </xf>
    <xf numFmtId="0" fontId="5" fillId="0" borderId="0" xfId="0" quotePrefix="1" applyFont="1">
      <alignment vertical="center"/>
    </xf>
    <xf numFmtId="176" fontId="12" fillId="0" borderId="17" xfId="0" applyNumberFormat="1" applyFont="1" applyBorder="1" applyAlignment="1">
      <alignment horizontal="left" vertical="center" wrapText="1"/>
    </xf>
    <xf numFmtId="0" fontId="5" fillId="0" borderId="18" xfId="0" quotePrefix="1" applyFont="1" applyBorder="1">
      <alignment vertical="center"/>
    </xf>
    <xf numFmtId="49" fontId="5" fillId="0" borderId="0" xfId="0" applyNumberFormat="1" applyFont="1">
      <alignment vertical="center"/>
    </xf>
    <xf numFmtId="176" fontId="12" fillId="0" borderId="10" xfId="0" applyNumberFormat="1" applyFont="1" applyBorder="1" applyAlignment="1">
      <alignment horizontal="left" vertical="center" wrapText="1"/>
    </xf>
    <xf numFmtId="0" fontId="5" fillId="0" borderId="11" xfId="0" quotePrefix="1" applyFont="1" applyBorder="1">
      <alignment vertical="center"/>
    </xf>
    <xf numFmtId="0" fontId="5" fillId="0" borderId="15" xfId="0" quotePrefix="1" applyFont="1" applyBorder="1">
      <alignment vertical="center"/>
    </xf>
    <xf numFmtId="179" fontId="5" fillId="0" borderId="24" xfId="0" applyNumberFormat="1" applyFont="1" applyBorder="1" applyAlignment="1">
      <alignment horizontal="left"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179" fontId="5" fillId="0" borderId="11" xfId="0" applyNumberFormat="1" applyFont="1" applyBorder="1">
      <alignment vertical="center"/>
    </xf>
    <xf numFmtId="0" fontId="5" fillId="0" borderId="15" xfId="0" applyFont="1" applyBorder="1" applyAlignment="1">
      <alignment horizontal="left" vertical="center" wrapText="1"/>
    </xf>
    <xf numFmtId="179" fontId="5" fillId="0" borderId="15" xfId="0" applyNumberFormat="1" applyFont="1" applyBorder="1" applyAlignment="1">
      <alignment horizontal="left"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33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/>
    </xf>
    <xf numFmtId="0" fontId="5" fillId="0" borderId="33" xfId="0" applyFont="1" applyBorder="1">
      <alignment vertical="center"/>
    </xf>
    <xf numFmtId="49" fontId="5" fillId="0" borderId="33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left" vertical="center"/>
    </xf>
    <xf numFmtId="49" fontId="5" fillId="0" borderId="33" xfId="0" applyNumberFormat="1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left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177" fontId="5" fillId="0" borderId="12" xfId="0" applyNumberFormat="1" applyFont="1" applyBorder="1" applyAlignment="1">
      <alignment horizontal="left" vertical="center"/>
    </xf>
    <xf numFmtId="49" fontId="5" fillId="0" borderId="28" xfId="0" applyNumberFormat="1" applyFont="1" applyBorder="1" applyAlignment="1">
      <alignment horizontal="center" vertical="center"/>
    </xf>
    <xf numFmtId="177" fontId="5" fillId="0" borderId="28" xfId="0" applyNumberFormat="1" applyFont="1" applyBorder="1" applyAlignment="1">
      <alignment horizontal="left" vertical="center"/>
    </xf>
    <xf numFmtId="49" fontId="5" fillId="0" borderId="25" xfId="0" applyNumberFormat="1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178" fontId="5" fillId="0" borderId="35" xfId="0" applyNumberFormat="1" applyFont="1" applyBorder="1" applyAlignment="1">
      <alignment horizontal="left" vertical="center"/>
    </xf>
    <xf numFmtId="178" fontId="5" fillId="0" borderId="12" xfId="0" applyNumberFormat="1" applyFont="1" applyBorder="1" applyAlignment="1">
      <alignment horizontal="left" vertical="center"/>
    </xf>
    <xf numFmtId="49" fontId="5" fillId="0" borderId="28" xfId="0" applyNumberFormat="1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9" fontId="5" fillId="0" borderId="25" xfId="9" applyNumberFormat="1" applyFont="1" applyBorder="1" applyAlignment="1">
      <alignment horizontal="left" vertical="center" wrapText="1"/>
    </xf>
    <xf numFmtId="0" fontId="5" fillId="0" borderId="25" xfId="9" applyFont="1" applyBorder="1" applyAlignment="1">
      <alignment horizontal="left" vertical="center" wrapText="1"/>
    </xf>
    <xf numFmtId="49" fontId="5" fillId="0" borderId="12" xfId="9" applyNumberFormat="1" applyFont="1" applyBorder="1" applyAlignment="1">
      <alignment horizontal="left" vertical="center" wrapText="1"/>
    </xf>
    <xf numFmtId="0" fontId="5" fillId="0" borderId="12" xfId="9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/>
    </xf>
    <xf numFmtId="49" fontId="5" fillId="0" borderId="25" xfId="13" applyNumberFormat="1" applyFont="1" applyBorder="1" applyAlignment="1">
      <alignment horizontal="left" vertical="center" wrapText="1"/>
    </xf>
    <xf numFmtId="0" fontId="5" fillId="0" borderId="25" xfId="13" applyFont="1" applyBorder="1" applyAlignment="1">
      <alignment horizontal="left" vertical="center"/>
    </xf>
    <xf numFmtId="49" fontId="5" fillId="0" borderId="12" xfId="13" applyNumberFormat="1" applyFont="1" applyBorder="1" applyAlignment="1">
      <alignment horizontal="left" vertical="center" wrapText="1"/>
    </xf>
    <xf numFmtId="0" fontId="5" fillId="0" borderId="12" xfId="13" applyFont="1" applyBorder="1" applyAlignment="1">
      <alignment horizontal="left" vertical="center"/>
    </xf>
    <xf numFmtId="49" fontId="5" fillId="0" borderId="29" xfId="13" applyNumberFormat="1" applyFont="1" applyBorder="1" applyAlignment="1">
      <alignment horizontal="left" vertical="center" wrapText="1"/>
    </xf>
    <xf numFmtId="0" fontId="5" fillId="0" borderId="29" xfId="13" applyFont="1" applyBorder="1" applyAlignment="1">
      <alignment horizontal="left" vertical="center"/>
    </xf>
    <xf numFmtId="49" fontId="5" fillId="0" borderId="35" xfId="13" applyNumberFormat="1" applyFont="1" applyBorder="1" applyAlignment="1">
      <alignment horizontal="left" vertical="center" wrapText="1"/>
    </xf>
    <xf numFmtId="0" fontId="5" fillId="0" borderId="35" xfId="13" applyFont="1" applyBorder="1" applyAlignment="1">
      <alignment horizontal="left" vertical="center"/>
    </xf>
    <xf numFmtId="49" fontId="5" fillId="0" borderId="28" xfId="13" applyNumberFormat="1" applyFont="1" applyBorder="1" applyAlignment="1">
      <alignment horizontal="left" vertical="center" wrapText="1"/>
    </xf>
    <xf numFmtId="0" fontId="5" fillId="0" borderId="28" xfId="13" applyFont="1" applyBorder="1" applyAlignment="1">
      <alignment horizontal="left" vertical="center"/>
    </xf>
    <xf numFmtId="0" fontId="5" fillId="0" borderId="35" xfId="13" applyFont="1" applyBorder="1" applyAlignment="1">
      <alignment horizontal="left" vertical="center" wrapText="1"/>
    </xf>
    <xf numFmtId="0" fontId="5" fillId="0" borderId="12" xfId="13" applyFont="1" applyBorder="1" applyAlignment="1">
      <alignment horizontal="left" vertical="center" wrapText="1"/>
    </xf>
    <xf numFmtId="0" fontId="5" fillId="0" borderId="28" xfId="13" applyFont="1" applyBorder="1" applyAlignment="1">
      <alignment horizontal="left" vertical="center" wrapText="1"/>
    </xf>
    <xf numFmtId="0" fontId="5" fillId="0" borderId="25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5" xfId="0" applyFont="1" applyBorder="1">
      <alignment vertical="center"/>
    </xf>
    <xf numFmtId="0" fontId="5" fillId="0" borderId="36" xfId="0" applyFont="1" applyBorder="1">
      <alignment vertical="center"/>
    </xf>
    <xf numFmtId="0" fontId="5" fillId="4" borderId="0" xfId="0" applyFont="1" applyFill="1" applyAlignment="1">
      <alignment horizontal="left" vertical="center"/>
    </xf>
    <xf numFmtId="0" fontId="5" fillId="0" borderId="0" xfId="4" applyFont="1" applyAlignment="1">
      <alignment horizontal="center" vertical="center"/>
    </xf>
    <xf numFmtId="0" fontId="23" fillId="0" borderId="0" xfId="7" applyFont="1" applyAlignment="1">
      <alignment horizontal="center" vertical="center"/>
    </xf>
    <xf numFmtId="0" fontId="5" fillId="0" borderId="0" xfId="4" applyFont="1" applyAlignment="1">
      <alignment horizontal="left" vertical="center" wrapText="1"/>
    </xf>
    <xf numFmtId="0" fontId="5" fillId="0" borderId="0" xfId="4" applyFont="1" applyAlignment="1">
      <alignment horizontal="center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/>
    </xf>
    <xf numFmtId="0" fontId="5" fillId="4" borderId="20" xfId="0" applyFont="1" applyFill="1" applyBorder="1" applyAlignment="1">
      <alignment horizontal="center" vertical="center"/>
    </xf>
    <xf numFmtId="49" fontId="5" fillId="0" borderId="39" xfId="0" applyNumberFormat="1" applyFont="1" applyBorder="1" applyAlignment="1">
      <alignment horizontal="left" vertical="center"/>
    </xf>
    <xf numFmtId="178" fontId="5" fillId="0" borderId="29" xfId="0" applyNumberFormat="1" applyFont="1" applyBorder="1" applyAlignment="1">
      <alignment horizontal="left" vertical="center"/>
    </xf>
    <xf numFmtId="49" fontId="5" fillId="4" borderId="21" xfId="0" applyNumberFormat="1" applyFont="1" applyFill="1" applyBorder="1" applyAlignment="1">
      <alignment horizontal="left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left" vertical="center"/>
    </xf>
    <xf numFmtId="49" fontId="5" fillId="0" borderId="40" xfId="0" applyNumberFormat="1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37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76" fontId="5" fillId="0" borderId="40" xfId="0" applyNumberFormat="1" applyFont="1" applyBorder="1" applyAlignment="1">
      <alignment horizontal="left" vertical="center"/>
    </xf>
    <xf numFmtId="176" fontId="5" fillId="0" borderId="37" xfId="0" applyNumberFormat="1" applyFont="1" applyBorder="1" applyAlignment="1">
      <alignment horizontal="left" vertical="center" wrapText="1"/>
    </xf>
    <xf numFmtId="176" fontId="5" fillId="0" borderId="40" xfId="0" applyNumberFormat="1" applyFont="1" applyBorder="1" applyAlignment="1">
      <alignment horizontal="left" vertical="center" wrapText="1"/>
    </xf>
    <xf numFmtId="49" fontId="5" fillId="0" borderId="41" xfId="0" applyNumberFormat="1" applyFont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left" vertical="center" wrapText="1"/>
    </xf>
    <xf numFmtId="0" fontId="5" fillId="0" borderId="0" xfId="7" applyFont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0" fontId="5" fillId="0" borderId="11" xfId="5" applyFont="1" applyBorder="1" applyAlignment="1">
      <alignment horizontal="center" vertical="center"/>
    </xf>
    <xf numFmtId="49" fontId="5" fillId="0" borderId="23" xfId="4" applyNumberFormat="1" applyFont="1" applyBorder="1" applyAlignment="1">
      <alignment horizontal="center" vertical="center"/>
    </xf>
    <xf numFmtId="49" fontId="5" fillId="0" borderId="24" xfId="4" applyNumberFormat="1" applyFont="1" applyBorder="1" applyAlignment="1">
      <alignment horizontal="center" vertical="center"/>
    </xf>
    <xf numFmtId="49" fontId="5" fillId="0" borderId="11" xfId="4" applyNumberFormat="1" applyFont="1" applyBorder="1" applyAlignment="1">
      <alignment horizontal="center" vertical="center"/>
    </xf>
    <xf numFmtId="49" fontId="5" fillId="0" borderId="10" xfId="4" applyNumberFormat="1" applyFont="1" applyBorder="1" applyAlignment="1">
      <alignment horizontal="center" vertical="center"/>
    </xf>
    <xf numFmtId="0" fontId="5" fillId="0" borderId="0" xfId="12" applyFont="1" applyAlignment="1">
      <alignment horizontal="center" vertical="center"/>
    </xf>
    <xf numFmtId="176" fontId="5" fillId="0" borderId="0" xfId="7" applyNumberFormat="1" applyFont="1" applyAlignment="1">
      <alignment horizontal="center" vertical="center"/>
    </xf>
    <xf numFmtId="177" fontId="5" fillId="0" borderId="0" xfId="7" applyNumberFormat="1" applyFont="1" applyAlignment="1">
      <alignment horizontal="center" vertical="center"/>
    </xf>
    <xf numFmtId="0" fontId="5" fillId="0" borderId="0" xfId="12" applyFont="1" applyAlignment="1">
      <alignment horizontal="right" vertical="center" shrinkToFit="1"/>
    </xf>
    <xf numFmtId="0" fontId="5" fillId="0" borderId="0" xfId="12" applyFont="1" applyAlignment="1">
      <alignment horizontal="left" vertical="center"/>
    </xf>
    <xf numFmtId="181" fontId="5" fillId="0" borderId="0" xfId="12" applyNumberFormat="1" applyFont="1" applyAlignment="1">
      <alignment horizontal="left" vertical="center"/>
    </xf>
    <xf numFmtId="181" fontId="5" fillId="0" borderId="0" xfId="12" applyNumberFormat="1" applyFont="1" applyAlignment="1">
      <alignment horizontal="center" vertical="center"/>
    </xf>
    <xf numFmtId="176" fontId="5" fillId="0" borderId="0" xfId="12" applyNumberFormat="1" applyFont="1" applyAlignment="1">
      <alignment horizontal="center" vertical="center"/>
    </xf>
    <xf numFmtId="49" fontId="5" fillId="0" borderId="0" xfId="12" applyNumberFormat="1" applyFont="1" applyAlignment="1">
      <alignment horizontal="center" vertical="center"/>
    </xf>
    <xf numFmtId="177" fontId="5" fillId="0" borderId="0" xfId="12" applyNumberFormat="1" applyFont="1" applyAlignment="1">
      <alignment horizontal="center" vertical="center"/>
    </xf>
    <xf numFmtId="0" fontId="24" fillId="0" borderId="0" xfId="4" applyFont="1">
      <alignment vertical="center"/>
    </xf>
    <xf numFmtId="49" fontId="5" fillId="0" borderId="0" xfId="12" applyNumberFormat="1" applyFont="1" applyAlignment="1">
      <alignment horizontal="left" vertical="center"/>
    </xf>
    <xf numFmtId="0" fontId="5" fillId="0" borderId="0" xfId="4" applyFont="1">
      <alignment vertical="center"/>
    </xf>
    <xf numFmtId="0" fontId="16" fillId="0" borderId="0" xfId="4" applyFont="1">
      <alignment vertical="center"/>
    </xf>
    <xf numFmtId="0" fontId="5" fillId="0" borderId="0" xfId="12" applyFont="1" applyAlignment="1">
      <alignment vertical="center" wrapText="1"/>
    </xf>
    <xf numFmtId="0" fontId="5" fillId="0" borderId="0" xfId="7" applyFont="1" applyAlignment="1">
      <alignment horizontal="left" vertical="center"/>
    </xf>
    <xf numFmtId="0" fontId="5" fillId="0" borderId="10" xfId="7" applyFont="1" applyBorder="1" applyAlignment="1">
      <alignment horizontal="left" vertical="center" wrapText="1"/>
    </xf>
    <xf numFmtId="0" fontId="5" fillId="0" borderId="10" xfId="7" applyFont="1" applyBorder="1" applyAlignment="1">
      <alignment horizontal="center" vertical="center" wrapText="1"/>
    </xf>
    <xf numFmtId="181" fontId="23" fillId="0" borderId="10" xfId="15" applyNumberFormat="1" applyFont="1" applyBorder="1" applyAlignment="1">
      <alignment horizontal="center" vertical="center"/>
    </xf>
    <xf numFmtId="182" fontId="23" fillId="0" borderId="10" xfId="15" applyNumberFormat="1" applyFont="1" applyBorder="1" applyAlignment="1">
      <alignment horizontal="center" vertical="center" wrapText="1"/>
    </xf>
    <xf numFmtId="182" fontId="5" fillId="0" borderId="10" xfId="13" applyNumberFormat="1" applyFont="1" applyBorder="1" applyAlignment="1">
      <alignment horizontal="center" vertical="center" wrapText="1"/>
    </xf>
    <xf numFmtId="0" fontId="26" fillId="0" borderId="10" xfId="0" applyFont="1" applyBorder="1">
      <alignment vertical="center"/>
    </xf>
    <xf numFmtId="182" fontId="5" fillId="0" borderId="10" xfId="14" applyNumberFormat="1" applyFont="1" applyBorder="1" applyAlignment="1">
      <alignment horizontal="center" vertical="center" wrapText="1"/>
    </xf>
    <xf numFmtId="182" fontId="5" fillId="0" borderId="10" xfId="0" applyNumberFormat="1" applyFont="1" applyBorder="1" applyAlignment="1">
      <alignment horizontal="center" vertical="center"/>
    </xf>
    <xf numFmtId="14" fontId="5" fillId="0" borderId="10" xfId="13" applyNumberFormat="1" applyFont="1" applyBorder="1">
      <alignment horizontal="center" vertical="center" shrinkToFit="1"/>
    </xf>
    <xf numFmtId="0" fontId="5" fillId="0" borderId="10" xfId="4" applyFont="1" applyBorder="1" applyAlignment="1">
      <alignment horizontal="center" vertical="center" wrapText="1"/>
    </xf>
    <xf numFmtId="49" fontId="5" fillId="0" borderId="10" xfId="4" applyNumberFormat="1" applyFont="1" applyBorder="1" applyAlignment="1">
      <alignment horizontal="center" vertical="center" wrapText="1"/>
    </xf>
    <xf numFmtId="0" fontId="5" fillId="0" borderId="10" xfId="12" applyFont="1" applyBorder="1" applyAlignment="1">
      <alignment horizontal="left" vertical="center" wrapText="1" shrinkToFit="1"/>
    </xf>
    <xf numFmtId="0" fontId="5" fillId="0" borderId="10" xfId="12" applyFont="1" applyBorder="1" applyAlignment="1">
      <alignment horizontal="left" vertical="center" wrapText="1"/>
    </xf>
    <xf numFmtId="14" fontId="5" fillId="0" borderId="10" xfId="4" applyNumberFormat="1" applyFont="1" applyBorder="1" applyAlignment="1">
      <alignment horizontal="center" vertical="center"/>
    </xf>
    <xf numFmtId="182" fontId="5" fillId="0" borderId="10" xfId="4" applyNumberFormat="1" applyFont="1" applyBorder="1" applyAlignment="1">
      <alignment horizontal="center" vertical="center"/>
    </xf>
    <xf numFmtId="0" fontId="5" fillId="0" borderId="10" xfId="4" applyFont="1" applyBorder="1" applyAlignment="1">
      <alignment horizontal="left" vertical="center" wrapText="1"/>
    </xf>
    <xf numFmtId="0" fontId="5" fillId="4" borderId="10" xfId="4" applyFont="1" applyFill="1" applyBorder="1" applyAlignment="1">
      <alignment horizontal="center" vertical="center" wrapText="1"/>
    </xf>
    <xf numFmtId="49" fontId="5" fillId="4" borderId="10" xfId="4" applyNumberFormat="1" applyFont="1" applyFill="1" applyBorder="1" applyAlignment="1">
      <alignment horizontal="center" vertical="center" wrapText="1"/>
    </xf>
    <xf numFmtId="0" fontId="5" fillId="4" borderId="10" xfId="12" applyFont="1" applyFill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23" fillId="0" borderId="10" xfId="7" applyFont="1" applyBorder="1" applyAlignment="1">
      <alignment horizontal="left" vertical="center" wrapText="1"/>
    </xf>
    <xf numFmtId="0" fontId="23" fillId="0" borderId="10" xfId="7" applyFont="1" applyBorder="1" applyAlignment="1">
      <alignment horizontal="center" vertical="center" wrapText="1"/>
    </xf>
    <xf numFmtId="0" fontId="5" fillId="0" borderId="10" xfId="5" applyFont="1" applyBorder="1" applyAlignment="1">
      <alignment horizontal="center" vertical="center" wrapText="1"/>
    </xf>
    <xf numFmtId="14" fontId="5" fillId="0" borderId="10" xfId="5" applyNumberFormat="1" applyFont="1" applyBorder="1" applyAlignment="1">
      <alignment horizontal="center" vertical="center"/>
    </xf>
    <xf numFmtId="49" fontId="5" fillId="0" borderId="10" xfId="5" applyNumberFormat="1" applyFont="1" applyBorder="1" applyAlignment="1">
      <alignment horizontal="center" vertical="center"/>
    </xf>
    <xf numFmtId="182" fontId="5" fillId="0" borderId="10" xfId="5" applyNumberFormat="1" applyFont="1" applyBorder="1" applyAlignment="1">
      <alignment horizontal="center" vertical="center"/>
    </xf>
    <xf numFmtId="182" fontId="26" fillId="0" borderId="10" xfId="4" applyNumberFormat="1" applyFont="1" applyBorder="1" applyAlignment="1">
      <alignment horizontal="center" vertical="center"/>
    </xf>
    <xf numFmtId="0" fontId="26" fillId="0" borderId="10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176" fontId="26" fillId="0" borderId="10" xfId="4" applyNumberFormat="1" applyFont="1" applyBorder="1" applyAlignment="1">
      <alignment horizontal="center" vertical="center"/>
    </xf>
    <xf numFmtId="176" fontId="5" fillId="0" borderId="10" xfId="4" applyNumberFormat="1" applyFont="1" applyBorder="1" applyAlignment="1">
      <alignment horizontal="center" vertical="center"/>
    </xf>
    <xf numFmtId="182" fontId="5" fillId="0" borderId="10" xfId="1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 wrapText="1"/>
    </xf>
    <xf numFmtId="49" fontId="26" fillId="0" borderId="10" xfId="4" applyNumberFormat="1" applyFont="1" applyBorder="1" applyAlignment="1">
      <alignment horizontal="center" vertical="center"/>
    </xf>
    <xf numFmtId="49" fontId="23" fillId="0" borderId="10" xfId="4" applyNumberFormat="1" applyFont="1" applyBorder="1" applyAlignment="1">
      <alignment horizontal="center" vertical="center" wrapText="1"/>
    </xf>
    <xf numFmtId="182" fontId="5" fillId="0" borderId="10" xfId="0" applyNumberFormat="1" applyFont="1" applyBorder="1" applyAlignment="1">
      <alignment horizontal="center" vertical="center" wrapText="1"/>
    </xf>
    <xf numFmtId="0" fontId="23" fillId="0" borderId="10" xfId="8" applyFont="1" applyBorder="1" applyAlignment="1">
      <alignment horizontal="left" vertical="center" wrapText="1"/>
    </xf>
    <xf numFmtId="0" fontId="23" fillId="0" borderId="10" xfId="8" applyFont="1" applyBorder="1" applyAlignment="1">
      <alignment horizontal="center" vertical="center" wrapText="1"/>
    </xf>
    <xf numFmtId="0" fontId="23" fillId="3" borderId="10" xfId="8" applyFont="1" applyFill="1" applyBorder="1" applyAlignment="1">
      <alignment horizontal="center" vertical="center" wrapText="1"/>
    </xf>
    <xf numFmtId="14" fontId="26" fillId="0" borderId="10" xfId="0" applyNumberFormat="1" applyFont="1" applyBorder="1" applyAlignment="1">
      <alignment horizontal="center" vertical="center"/>
    </xf>
    <xf numFmtId="182" fontId="26" fillId="0" borderId="10" xfId="0" applyNumberFormat="1" applyFont="1" applyBorder="1" applyAlignment="1">
      <alignment horizontal="center" vertical="center"/>
    </xf>
    <xf numFmtId="14" fontId="26" fillId="0" borderId="10" xfId="0" applyNumberFormat="1" applyFont="1" applyBorder="1" applyAlignment="1">
      <alignment horizontal="center" vertical="center" wrapText="1"/>
    </xf>
    <xf numFmtId="0" fontId="5" fillId="0" borderId="10" xfId="8" applyFont="1" applyBorder="1" applyAlignment="1">
      <alignment horizontal="left" vertical="center" wrapText="1"/>
    </xf>
    <xf numFmtId="0" fontId="5" fillId="0" borderId="10" xfId="8" applyFont="1" applyBorder="1" applyAlignment="1">
      <alignment horizontal="center" vertical="center" wrapText="1"/>
    </xf>
    <xf numFmtId="0" fontId="5" fillId="3" borderId="10" xfId="8" applyFont="1" applyFill="1" applyBorder="1" applyAlignment="1">
      <alignment horizontal="center" vertical="center" wrapText="1"/>
    </xf>
    <xf numFmtId="182" fontId="26" fillId="0" borderId="10" xfId="0" applyNumberFormat="1" applyFont="1" applyBorder="1" applyAlignment="1">
      <alignment horizontal="center" vertical="center" wrapText="1"/>
    </xf>
    <xf numFmtId="0" fontId="26" fillId="0" borderId="10" xfId="7" applyFont="1" applyBorder="1" applyAlignment="1">
      <alignment horizontal="center" vertical="center" wrapText="1"/>
    </xf>
    <xf numFmtId="182" fontId="26" fillId="0" borderId="10" xfId="0" applyNumberFormat="1" applyFont="1" applyBorder="1" applyAlignment="1">
      <alignment horizontal="center" vertical="center" shrinkToFit="1"/>
    </xf>
    <xf numFmtId="49" fontId="5" fillId="0" borderId="10" xfId="8" applyNumberFormat="1" applyFont="1" applyBorder="1" applyAlignment="1">
      <alignment horizontal="center" vertical="center" wrapText="1"/>
    </xf>
    <xf numFmtId="0" fontId="5" fillId="0" borderId="10" xfId="7" applyFont="1" applyBorder="1" applyAlignment="1">
      <alignment horizontal="center" vertical="center"/>
    </xf>
    <xf numFmtId="0" fontId="5" fillId="0" borderId="23" xfId="7" applyFont="1" applyBorder="1" applyAlignment="1">
      <alignment horizontal="left" vertical="center" wrapText="1"/>
    </xf>
    <xf numFmtId="0" fontId="5" fillId="0" borderId="23" xfId="7" applyFont="1" applyBorder="1" applyAlignment="1">
      <alignment horizontal="center" vertical="center" wrapText="1"/>
    </xf>
    <xf numFmtId="181" fontId="23" fillId="0" borderId="23" xfId="15" applyNumberFormat="1" applyFont="1" applyBorder="1" applyAlignment="1">
      <alignment horizontal="center" vertical="center"/>
    </xf>
    <xf numFmtId="182" fontId="23" fillId="0" borderId="23" xfId="15" applyNumberFormat="1" applyFont="1" applyBorder="1" applyAlignment="1">
      <alignment horizontal="center" vertical="center" wrapText="1"/>
    </xf>
    <xf numFmtId="182" fontId="5" fillId="0" borderId="23" xfId="13" applyNumberFormat="1" applyFont="1" applyBorder="1" applyAlignment="1">
      <alignment horizontal="center" vertical="center" wrapText="1"/>
    </xf>
    <xf numFmtId="49" fontId="2" fillId="0" borderId="43" xfId="4" applyNumberFormat="1" applyFont="1" applyBorder="1" applyAlignment="1">
      <alignment horizontal="center" vertical="center" wrapText="1"/>
    </xf>
    <xf numFmtId="177" fontId="2" fillId="0" borderId="43" xfId="4" applyNumberFormat="1" applyFont="1" applyBorder="1" applyAlignment="1">
      <alignment horizontal="center" vertical="center" wrapText="1"/>
    </xf>
    <xf numFmtId="182" fontId="23" fillId="0" borderId="44" xfId="15" applyNumberFormat="1" applyFont="1" applyBorder="1" applyAlignment="1">
      <alignment horizontal="center" vertical="center" wrapText="1"/>
    </xf>
    <xf numFmtId="182" fontId="23" fillId="0" borderId="45" xfId="15" applyNumberFormat="1" applyFont="1" applyBorder="1" applyAlignment="1">
      <alignment horizontal="center" vertical="center" wrapText="1"/>
    </xf>
    <xf numFmtId="182" fontId="5" fillId="0" borderId="45" xfId="0" applyNumberFormat="1" applyFont="1" applyBorder="1" applyAlignment="1">
      <alignment horizontal="center" vertical="center"/>
    </xf>
    <xf numFmtId="182" fontId="5" fillId="0" borderId="45" xfId="4" applyNumberFormat="1" applyFont="1" applyBorder="1" applyAlignment="1">
      <alignment horizontal="center" vertical="center"/>
    </xf>
    <xf numFmtId="182" fontId="26" fillId="0" borderId="45" xfId="0" applyNumberFormat="1" applyFont="1" applyBorder="1" applyAlignment="1">
      <alignment horizontal="center" vertical="center" wrapText="1"/>
    </xf>
    <xf numFmtId="0" fontId="5" fillId="0" borderId="24" xfId="4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78" fontId="2" fillId="0" borderId="46" xfId="4" applyNumberFormat="1" applyFont="1" applyBorder="1" applyAlignment="1">
      <alignment horizontal="center" vertical="center"/>
    </xf>
    <xf numFmtId="182" fontId="5" fillId="5" borderId="44" xfId="13" applyNumberFormat="1" applyFont="1" applyFill="1" applyBorder="1" applyAlignment="1">
      <alignment horizontal="center" vertical="center" wrapText="1"/>
    </xf>
    <xf numFmtId="182" fontId="23" fillId="5" borderId="45" xfId="15" applyNumberFormat="1" applyFont="1" applyFill="1" applyBorder="1" applyAlignment="1">
      <alignment horizontal="center" vertical="center" wrapText="1"/>
    </xf>
    <xf numFmtId="182" fontId="5" fillId="5" borderId="45" xfId="13" applyNumberFormat="1" applyFont="1" applyFill="1" applyBorder="1" applyAlignment="1">
      <alignment horizontal="center" vertical="center" wrapText="1"/>
    </xf>
    <xf numFmtId="182" fontId="5" fillId="5" borderId="45" xfId="15" applyNumberFormat="1" applyFont="1" applyFill="1" applyBorder="1" applyAlignment="1">
      <alignment horizontal="center" vertical="center" wrapText="1"/>
    </xf>
    <xf numFmtId="49" fontId="5" fillId="0" borderId="45" xfId="0" applyNumberFormat="1" applyFont="1" applyBorder="1" applyAlignment="1">
      <alignment horizontal="center" vertical="center"/>
    </xf>
    <xf numFmtId="182" fontId="26" fillId="0" borderId="45" xfId="4" applyNumberFormat="1" applyFont="1" applyBorder="1" applyAlignment="1">
      <alignment horizontal="center" vertical="center"/>
    </xf>
    <xf numFmtId="182" fontId="5" fillId="0" borderId="45" xfId="0" applyNumberFormat="1" applyFont="1" applyBorder="1" applyAlignment="1">
      <alignment horizontal="center" vertical="center" wrapText="1"/>
    </xf>
    <xf numFmtId="182" fontId="26" fillId="0" borderId="45" xfId="10" applyNumberFormat="1" applyFont="1" applyBorder="1" applyAlignment="1">
      <alignment horizontal="center" vertical="center"/>
    </xf>
    <xf numFmtId="182" fontId="26" fillId="0" borderId="45" xfId="0" applyNumberFormat="1" applyFont="1" applyBorder="1" applyAlignment="1">
      <alignment horizontal="center" vertical="center"/>
    </xf>
    <xf numFmtId="0" fontId="23" fillId="0" borderId="44" xfId="15" applyFont="1" applyBorder="1" applyAlignment="1">
      <alignment horizontal="center" vertical="center" wrapText="1"/>
    </xf>
    <xf numFmtId="0" fontId="23" fillId="0" borderId="45" xfId="15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49" fontId="5" fillId="0" borderId="45" xfId="4" applyNumberFormat="1" applyFont="1" applyBorder="1" applyAlignment="1">
      <alignment horizontal="center" vertical="center"/>
    </xf>
    <xf numFmtId="0" fontId="5" fillId="0" borderId="45" xfId="4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/>
    </xf>
    <xf numFmtId="177" fontId="2" fillId="0" borderId="47" xfId="4" applyNumberFormat="1" applyFont="1" applyBorder="1" applyAlignment="1">
      <alignment horizontal="center" vertical="center" wrapText="1"/>
    </xf>
    <xf numFmtId="0" fontId="5" fillId="0" borderId="11" xfId="15" applyFont="1" applyBorder="1" applyAlignment="1">
      <alignment horizontal="center" vertical="center" wrapText="1"/>
    </xf>
    <xf numFmtId="178" fontId="5" fillId="0" borderId="11" xfId="4" applyNumberFormat="1" applyFont="1" applyBorder="1" applyAlignment="1">
      <alignment horizontal="center" vertical="center"/>
    </xf>
    <xf numFmtId="178" fontId="5" fillId="0" borderId="11" xfId="0" applyNumberFormat="1" applyFont="1" applyBorder="1" applyAlignment="1">
      <alignment horizontal="center" vertical="center" wrapText="1"/>
    </xf>
    <xf numFmtId="178" fontId="5" fillId="0" borderId="11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7" fontId="26" fillId="0" borderId="11" xfId="4" applyNumberFormat="1" applyFont="1" applyBorder="1" applyAlignment="1">
      <alignment horizontal="center" vertical="center"/>
    </xf>
    <xf numFmtId="178" fontId="26" fillId="0" borderId="11" xfId="4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78" fontId="26" fillId="0" borderId="11" xfId="0" applyNumberFormat="1" applyFont="1" applyBorder="1" applyAlignment="1">
      <alignment horizontal="center" vertical="center"/>
    </xf>
    <xf numFmtId="182" fontId="5" fillId="0" borderId="24" xfId="13" applyNumberFormat="1" applyFont="1" applyBorder="1" applyAlignment="1">
      <alignment horizontal="center" vertical="center" wrapText="1"/>
    </xf>
    <xf numFmtId="182" fontId="5" fillId="0" borderId="11" xfId="13" applyNumberFormat="1" applyFont="1" applyBorder="1" applyAlignment="1">
      <alignment horizontal="center" vertical="center" wrapText="1"/>
    </xf>
    <xf numFmtId="182" fontId="5" fillId="0" borderId="11" xfId="0" applyNumberFormat="1" applyFont="1" applyBorder="1" applyAlignment="1">
      <alignment horizontal="center" vertical="center"/>
    </xf>
    <xf numFmtId="182" fontId="5" fillId="0" borderId="11" xfId="4" applyNumberFormat="1" applyFont="1" applyBorder="1" applyAlignment="1">
      <alignment horizontal="center" vertical="center"/>
    </xf>
    <xf numFmtId="49" fontId="26" fillId="0" borderId="11" xfId="4" applyNumberFormat="1" applyFont="1" applyBorder="1" applyAlignment="1">
      <alignment horizontal="center" vertical="center"/>
    </xf>
    <xf numFmtId="182" fontId="26" fillId="0" borderId="11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82" fontId="26" fillId="0" borderId="11" xfId="10" applyNumberFormat="1" applyFont="1" applyBorder="1" applyAlignment="1">
      <alignment horizontal="center" vertical="center"/>
    </xf>
    <xf numFmtId="182" fontId="26" fillId="0" borderId="11" xfId="0" applyNumberFormat="1" applyFont="1" applyBorder="1" applyAlignment="1">
      <alignment horizontal="center" vertical="center" wrapText="1"/>
    </xf>
    <xf numFmtId="0" fontId="23" fillId="0" borderId="24" xfId="15" applyFont="1" applyBorder="1" applyAlignment="1">
      <alignment horizontal="center" vertical="center" wrapText="1"/>
    </xf>
    <xf numFmtId="0" fontId="23" fillId="0" borderId="11" xfId="15" applyFont="1" applyBorder="1" applyAlignment="1">
      <alignment horizontal="center" vertical="center" wrapText="1"/>
    </xf>
    <xf numFmtId="176" fontId="5" fillId="0" borderId="11" xfId="5" applyNumberFormat="1" applyFont="1" applyBorder="1" applyAlignment="1">
      <alignment horizontal="center" vertical="center"/>
    </xf>
    <xf numFmtId="0" fontId="26" fillId="0" borderId="11" xfId="4" applyFont="1" applyBorder="1" applyAlignment="1">
      <alignment horizontal="center" vertical="center"/>
    </xf>
    <xf numFmtId="177" fontId="5" fillId="0" borderId="11" xfId="4" applyNumberFormat="1" applyFont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5" fillId="0" borderId="42" xfId="4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4" applyFont="1" applyBorder="1" applyAlignment="1">
      <alignment horizontal="left" vertical="center" wrapText="1"/>
    </xf>
    <xf numFmtId="0" fontId="5" fillId="0" borderId="43" xfId="4" applyFont="1" applyBorder="1" applyAlignment="1">
      <alignment horizontal="center" vertical="center" wrapText="1"/>
    </xf>
    <xf numFmtId="0" fontId="5" fillId="0" borderId="43" xfId="7" applyFont="1" applyBorder="1" applyAlignment="1">
      <alignment horizontal="center" vertical="center"/>
    </xf>
    <xf numFmtId="14" fontId="5" fillId="0" borderId="43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182" fontId="23" fillId="0" borderId="46" xfId="15" applyNumberFormat="1" applyFont="1" applyBorder="1" applyAlignment="1">
      <alignment horizontal="center" vertical="center" wrapText="1"/>
    </xf>
    <xf numFmtId="182" fontId="5" fillId="0" borderId="43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5" fillId="0" borderId="48" xfId="4" applyFont="1" applyBorder="1" applyAlignment="1">
      <alignment horizontal="center" vertical="center"/>
    </xf>
    <xf numFmtId="0" fontId="5" fillId="0" borderId="23" xfId="4" applyFont="1" applyBorder="1" applyAlignment="1">
      <alignment horizontal="left" vertical="center" wrapText="1"/>
    </xf>
    <xf numFmtId="0" fontId="5" fillId="0" borderId="23" xfId="4" applyFont="1" applyBorder="1" applyAlignment="1">
      <alignment horizontal="center" vertical="center" wrapText="1"/>
    </xf>
    <xf numFmtId="0" fontId="5" fillId="0" borderId="23" xfId="7" applyFont="1" applyBorder="1" applyAlignment="1">
      <alignment horizontal="center" vertical="center"/>
    </xf>
    <xf numFmtId="14" fontId="5" fillId="0" borderId="2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2" fontId="5" fillId="0" borderId="23" xfId="0" applyNumberFormat="1" applyFont="1" applyBorder="1" applyAlignment="1">
      <alignment horizontal="center" vertical="center"/>
    </xf>
    <xf numFmtId="182" fontId="5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20" xfId="4" applyFont="1" applyBorder="1" applyAlignment="1">
      <alignment horizontal="left" vertical="center" wrapText="1"/>
    </xf>
    <xf numFmtId="0" fontId="5" fillId="0" borderId="20" xfId="4" applyFont="1" applyBorder="1" applyAlignment="1">
      <alignment horizontal="center" vertical="center" wrapText="1"/>
    </xf>
    <xf numFmtId="0" fontId="5" fillId="0" borderId="20" xfId="7" applyFont="1" applyBorder="1" applyAlignment="1">
      <alignment horizontal="center" vertical="center"/>
    </xf>
    <xf numFmtId="0" fontId="26" fillId="0" borderId="20" xfId="0" applyFont="1" applyBorder="1">
      <alignment vertical="center"/>
    </xf>
    <xf numFmtId="49" fontId="5" fillId="0" borderId="23" xfId="4" applyNumberFormat="1" applyFont="1" applyBorder="1" applyAlignment="1">
      <alignment horizontal="center" vertical="center" wrapText="1"/>
    </xf>
    <xf numFmtId="178" fontId="5" fillId="0" borderId="24" xfId="0" applyNumberFormat="1" applyFont="1" applyBorder="1" applyAlignment="1">
      <alignment horizontal="center" vertical="center"/>
    </xf>
    <xf numFmtId="182" fontId="5" fillId="0" borderId="24" xfId="0" applyNumberFormat="1" applyFont="1" applyBorder="1" applyAlignment="1">
      <alignment horizontal="center" vertical="center"/>
    </xf>
    <xf numFmtId="49" fontId="26" fillId="0" borderId="24" xfId="4" applyNumberFormat="1" applyFont="1" applyBorder="1" applyAlignment="1">
      <alignment horizontal="center" vertical="center"/>
    </xf>
    <xf numFmtId="0" fontId="5" fillId="0" borderId="20" xfId="7" applyFont="1" applyBorder="1" applyAlignment="1">
      <alignment horizontal="left" vertical="center" wrapText="1"/>
    </xf>
    <xf numFmtId="0" fontId="5" fillId="0" borderId="20" xfId="7" applyFont="1" applyBorder="1" applyAlignment="1">
      <alignment horizontal="center" vertical="center" wrapText="1"/>
    </xf>
    <xf numFmtId="0" fontId="5" fillId="0" borderId="20" xfId="8" applyFont="1" applyBorder="1" applyAlignment="1">
      <alignment horizontal="center" vertical="center" wrapText="1"/>
    </xf>
    <xf numFmtId="49" fontId="5" fillId="0" borderId="20" xfId="8" applyNumberFormat="1" applyFont="1" applyBorder="1" applyAlignment="1">
      <alignment horizontal="center" vertical="center" wrapText="1"/>
    </xf>
    <xf numFmtId="14" fontId="5" fillId="0" borderId="20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82" fontId="5" fillId="0" borderId="36" xfId="4" applyNumberFormat="1" applyFont="1" applyBorder="1" applyAlignment="1">
      <alignment horizontal="center" vertical="center"/>
    </xf>
    <xf numFmtId="182" fontId="5" fillId="0" borderId="20" xfId="0" applyNumberFormat="1" applyFont="1" applyBorder="1" applyAlignment="1">
      <alignment horizontal="center" vertical="center"/>
    </xf>
    <xf numFmtId="178" fontId="5" fillId="0" borderId="21" xfId="0" applyNumberFormat="1" applyFont="1" applyBorder="1" applyAlignment="1">
      <alignment horizontal="center" vertical="center"/>
    </xf>
    <xf numFmtId="182" fontId="5" fillId="0" borderId="36" xfId="0" applyNumberFormat="1" applyFont="1" applyBorder="1" applyAlignment="1">
      <alignment horizontal="center" vertical="center"/>
    </xf>
    <xf numFmtId="182" fontId="5" fillId="0" borderId="21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5" fillId="0" borderId="23" xfId="8" applyFont="1" applyBorder="1" applyAlignment="1">
      <alignment horizontal="center" vertical="center" wrapText="1"/>
    </xf>
    <xf numFmtId="49" fontId="5" fillId="0" borderId="23" xfId="8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82" fontId="5" fillId="0" borderId="44" xfId="0" applyNumberFormat="1" applyFont="1" applyBorder="1" applyAlignment="1">
      <alignment horizontal="center" vertical="center" wrapText="1"/>
    </xf>
    <xf numFmtId="49" fontId="5" fillId="0" borderId="44" xfId="0" applyNumberFormat="1" applyFont="1" applyBorder="1" applyAlignment="1">
      <alignment horizontal="center" vertical="center"/>
    </xf>
    <xf numFmtId="0" fontId="5" fillId="0" borderId="20" xfId="8" applyFont="1" applyBorder="1" applyAlignment="1">
      <alignment horizontal="left" vertical="center" wrapText="1"/>
    </xf>
    <xf numFmtId="14" fontId="26" fillId="0" borderId="20" xfId="0" applyNumberFormat="1" applyFont="1" applyBorder="1" applyAlignment="1">
      <alignment horizontal="center" vertical="center"/>
    </xf>
    <xf numFmtId="182" fontId="23" fillId="0" borderId="36" xfId="15" applyNumberFormat="1" applyFont="1" applyBorder="1" applyAlignment="1">
      <alignment horizontal="center" vertical="center" wrapText="1"/>
    </xf>
    <xf numFmtId="182" fontId="26" fillId="0" borderId="20" xfId="0" applyNumberFormat="1" applyFont="1" applyBorder="1" applyAlignment="1">
      <alignment horizontal="center" vertical="center" wrapText="1"/>
    </xf>
    <xf numFmtId="182" fontId="26" fillId="0" borderId="20" xfId="0" applyNumberFormat="1" applyFont="1" applyBorder="1" applyAlignment="1">
      <alignment horizontal="center" vertical="center"/>
    </xf>
    <xf numFmtId="178" fontId="26" fillId="0" borderId="21" xfId="0" applyNumberFormat="1" applyFont="1" applyBorder="1" applyAlignment="1">
      <alignment horizontal="center" vertical="center"/>
    </xf>
    <xf numFmtId="182" fontId="26" fillId="0" borderId="36" xfId="0" applyNumberFormat="1" applyFont="1" applyBorder="1" applyAlignment="1">
      <alignment horizontal="center" vertical="center"/>
    </xf>
    <xf numFmtId="182" fontId="26" fillId="0" borderId="21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23" fillId="0" borderId="23" xfId="8" applyFont="1" applyBorder="1" applyAlignment="1">
      <alignment horizontal="left" vertical="center" wrapText="1"/>
    </xf>
    <xf numFmtId="0" fontId="23" fillId="0" borderId="23" xfId="8" applyFont="1" applyBorder="1" applyAlignment="1">
      <alignment horizontal="center" vertical="center" wrapText="1"/>
    </xf>
    <xf numFmtId="0" fontId="23" fillId="3" borderId="23" xfId="8" applyFont="1" applyFill="1" applyBorder="1" applyAlignment="1">
      <alignment horizontal="center" vertical="center" wrapText="1"/>
    </xf>
    <xf numFmtId="14" fontId="26" fillId="0" borderId="23" xfId="0" applyNumberFormat="1" applyFont="1" applyBorder="1" applyAlignment="1">
      <alignment horizontal="center" vertical="center"/>
    </xf>
    <xf numFmtId="182" fontId="26" fillId="0" borderId="23" xfId="0" applyNumberFormat="1" applyFont="1" applyBorder="1" applyAlignment="1">
      <alignment horizontal="center" vertical="center"/>
    </xf>
    <xf numFmtId="178" fontId="26" fillId="0" borderId="24" xfId="0" applyNumberFormat="1" applyFont="1" applyBorder="1" applyAlignment="1">
      <alignment horizontal="center" vertical="center"/>
    </xf>
    <xf numFmtId="182" fontId="26" fillId="0" borderId="44" xfId="10" applyNumberFormat="1" applyFont="1" applyBorder="1" applyAlignment="1">
      <alignment horizontal="center" vertical="center"/>
    </xf>
    <xf numFmtId="182" fontId="26" fillId="0" borderId="24" xfId="0" applyNumberFormat="1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23" fillId="0" borderId="20" xfId="7" applyFont="1" applyBorder="1" applyAlignment="1">
      <alignment horizontal="left" vertical="center" wrapText="1"/>
    </xf>
    <xf numFmtId="0" fontId="23" fillId="0" borderId="20" xfId="7" applyFont="1" applyBorder="1" applyAlignment="1">
      <alignment horizontal="center" vertical="center" wrapText="1"/>
    </xf>
    <xf numFmtId="49" fontId="23" fillId="0" borderId="20" xfId="4" applyNumberFormat="1" applyFont="1" applyBorder="1" applyAlignment="1">
      <alignment horizontal="center" vertical="center" wrapText="1"/>
    </xf>
    <xf numFmtId="182" fontId="5" fillId="0" borderId="20" xfId="0" applyNumberFormat="1" applyFont="1" applyBorder="1" applyAlignment="1">
      <alignment horizontal="center" vertical="center" wrapText="1"/>
    </xf>
    <xf numFmtId="182" fontId="5" fillId="0" borderId="36" xfId="0" applyNumberFormat="1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/>
    </xf>
    <xf numFmtId="0" fontId="23" fillId="0" borderId="23" xfId="7" applyFont="1" applyBorder="1" applyAlignment="1">
      <alignment horizontal="left" vertical="center" wrapText="1"/>
    </xf>
    <xf numFmtId="0" fontId="23" fillId="0" borderId="23" xfId="7" applyFont="1" applyBorder="1" applyAlignment="1">
      <alignment horizontal="center" vertical="center" wrapText="1"/>
    </xf>
    <xf numFmtId="49" fontId="23" fillId="0" borderId="23" xfId="4" applyNumberFormat="1" applyFont="1" applyBorder="1" applyAlignment="1">
      <alignment horizontal="center" vertical="center" wrapText="1"/>
    </xf>
    <xf numFmtId="182" fontId="5" fillId="0" borderId="44" xfId="4" applyNumberFormat="1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49" fontId="5" fillId="0" borderId="20" xfId="4" applyNumberFormat="1" applyFont="1" applyBorder="1" applyAlignment="1">
      <alignment horizontal="center" vertical="center" wrapText="1"/>
    </xf>
    <xf numFmtId="0" fontId="5" fillId="0" borderId="21" xfId="4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4" fontId="5" fillId="0" borderId="20" xfId="4" applyNumberFormat="1" applyFont="1" applyBorder="1" applyAlignment="1">
      <alignment horizontal="center" vertical="center"/>
    </xf>
    <xf numFmtId="49" fontId="26" fillId="0" borderId="20" xfId="4" applyNumberFormat="1" applyFont="1" applyBorder="1" applyAlignment="1">
      <alignment horizontal="center" vertical="center"/>
    </xf>
    <xf numFmtId="49" fontId="5" fillId="0" borderId="20" xfId="4" applyNumberFormat="1" applyFont="1" applyBorder="1" applyAlignment="1">
      <alignment horizontal="center" vertical="center"/>
    </xf>
    <xf numFmtId="182" fontId="26" fillId="0" borderId="20" xfId="4" applyNumberFormat="1" applyFont="1" applyBorder="1" applyAlignment="1">
      <alignment horizontal="center" vertical="center"/>
    </xf>
    <xf numFmtId="177" fontId="26" fillId="0" borderId="21" xfId="4" applyNumberFormat="1" applyFont="1" applyBorder="1" applyAlignment="1">
      <alignment horizontal="center" vertical="center"/>
    </xf>
    <xf numFmtId="182" fontId="26" fillId="0" borderId="36" xfId="4" applyNumberFormat="1" applyFont="1" applyBorder="1" applyAlignment="1">
      <alignment horizontal="center" vertical="center"/>
    </xf>
    <xf numFmtId="49" fontId="26" fillId="0" borderId="21" xfId="4" applyNumberFormat="1" applyFont="1" applyBorder="1" applyAlignment="1">
      <alignment horizontal="center" vertical="center"/>
    </xf>
    <xf numFmtId="0" fontId="23" fillId="0" borderId="36" xfId="15" applyFont="1" applyBorder="1" applyAlignment="1">
      <alignment horizontal="center" vertical="center" wrapText="1"/>
    </xf>
    <xf numFmtId="0" fontId="26" fillId="0" borderId="21" xfId="4" applyFont="1" applyBorder="1" applyAlignment="1">
      <alignment horizontal="center" vertical="center"/>
    </xf>
    <xf numFmtId="14" fontId="5" fillId="0" borderId="23" xfId="4" applyNumberFormat="1" applyFont="1" applyBorder="1" applyAlignment="1">
      <alignment horizontal="center" vertical="center"/>
    </xf>
    <xf numFmtId="49" fontId="26" fillId="0" borderId="23" xfId="4" applyNumberFormat="1" applyFont="1" applyBorder="1" applyAlignment="1">
      <alignment horizontal="center" vertical="center"/>
    </xf>
    <xf numFmtId="182" fontId="26" fillId="0" borderId="23" xfId="4" applyNumberFormat="1" applyFont="1" applyBorder="1" applyAlignment="1">
      <alignment horizontal="center" vertical="center"/>
    </xf>
    <xf numFmtId="177" fontId="26" fillId="0" borderId="24" xfId="4" applyNumberFormat="1" applyFont="1" applyBorder="1" applyAlignment="1">
      <alignment horizontal="center" vertical="center"/>
    </xf>
    <xf numFmtId="182" fontId="26" fillId="0" borderId="44" xfId="4" applyNumberFormat="1" applyFont="1" applyBorder="1" applyAlignment="1">
      <alignment horizontal="center" vertical="center"/>
    </xf>
    <xf numFmtId="0" fontId="26" fillId="0" borderId="24" xfId="4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 wrapText="1"/>
    </xf>
    <xf numFmtId="182" fontId="5" fillId="0" borderId="20" xfId="4" applyNumberFormat="1" applyFont="1" applyBorder="1" applyAlignment="1">
      <alignment horizontal="center" vertical="center"/>
    </xf>
    <xf numFmtId="178" fontId="5" fillId="0" borderId="21" xfId="4" applyNumberFormat="1" applyFont="1" applyBorder="1" applyAlignment="1">
      <alignment horizontal="center" vertical="center"/>
    </xf>
    <xf numFmtId="182" fontId="5" fillId="0" borderId="21" xfId="4" applyNumberFormat="1" applyFont="1" applyBorder="1" applyAlignment="1">
      <alignment horizontal="center" vertical="center"/>
    </xf>
    <xf numFmtId="49" fontId="5" fillId="0" borderId="36" xfId="4" applyNumberFormat="1" applyFont="1" applyBorder="1" applyAlignment="1">
      <alignment horizontal="center" vertical="center"/>
    </xf>
    <xf numFmtId="49" fontId="5" fillId="0" borderId="21" xfId="4" applyNumberFormat="1" applyFont="1" applyBorder="1" applyAlignment="1">
      <alignment horizontal="center" vertical="center"/>
    </xf>
    <xf numFmtId="177" fontId="5" fillId="0" borderId="21" xfId="4" applyNumberFormat="1" applyFont="1" applyBorder="1" applyAlignment="1">
      <alignment horizontal="center" vertical="center"/>
    </xf>
    <xf numFmtId="182" fontId="5" fillId="0" borderId="23" xfId="4" applyNumberFormat="1" applyFont="1" applyBorder="1" applyAlignment="1">
      <alignment horizontal="center" vertical="center"/>
    </xf>
    <xf numFmtId="178" fontId="5" fillId="0" borderId="24" xfId="4" applyNumberFormat="1" applyFont="1" applyBorder="1" applyAlignment="1">
      <alignment horizontal="center" vertical="center"/>
    </xf>
    <xf numFmtId="182" fontId="5" fillId="0" borderId="24" xfId="4" applyNumberFormat="1" applyFont="1" applyBorder="1" applyAlignment="1">
      <alignment horizontal="center" vertical="center"/>
    </xf>
    <xf numFmtId="49" fontId="5" fillId="0" borderId="44" xfId="4" applyNumberFormat="1" applyFont="1" applyBorder="1" applyAlignment="1">
      <alignment horizontal="center" vertical="center"/>
    </xf>
    <xf numFmtId="177" fontId="5" fillId="0" borderId="24" xfId="4" applyNumberFormat="1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14" fontId="5" fillId="0" borderId="20" xfId="5" applyNumberFormat="1" applyFont="1" applyBorder="1" applyAlignment="1">
      <alignment horizontal="center" vertical="center"/>
    </xf>
    <xf numFmtId="49" fontId="5" fillId="0" borderId="20" xfId="5" applyNumberFormat="1" applyFont="1" applyBorder="1" applyAlignment="1">
      <alignment horizontal="center" vertical="center"/>
    </xf>
    <xf numFmtId="182" fontId="5" fillId="0" borderId="20" xfId="5" applyNumberFormat="1" applyFont="1" applyBorder="1" applyAlignment="1">
      <alignment horizontal="center" vertical="center"/>
    </xf>
    <xf numFmtId="176" fontId="5" fillId="0" borderId="21" xfId="5" applyNumberFormat="1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 wrapText="1"/>
    </xf>
    <xf numFmtId="14" fontId="5" fillId="0" borderId="23" xfId="5" applyNumberFormat="1" applyFont="1" applyBorder="1" applyAlignment="1">
      <alignment horizontal="center" vertical="center"/>
    </xf>
    <xf numFmtId="49" fontId="5" fillId="0" borderId="23" xfId="5" applyNumberFormat="1" applyFont="1" applyBorder="1" applyAlignment="1">
      <alignment horizontal="center" vertical="center"/>
    </xf>
    <xf numFmtId="182" fontId="5" fillId="0" borderId="23" xfId="5" applyNumberFormat="1" applyFont="1" applyBorder="1" applyAlignment="1">
      <alignment horizontal="center" vertical="center"/>
    </xf>
    <xf numFmtId="176" fontId="5" fillId="0" borderId="24" xfId="5" applyNumberFormat="1" applyFont="1" applyBorder="1" applyAlignment="1">
      <alignment horizontal="center" vertical="center"/>
    </xf>
    <xf numFmtId="0" fontId="5" fillId="0" borderId="24" xfId="5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0" xfId="12" applyFont="1" applyBorder="1" applyAlignment="1">
      <alignment horizontal="left" vertical="center" wrapText="1" shrinkToFit="1"/>
    </xf>
    <xf numFmtId="0" fontId="5" fillId="0" borderId="20" xfId="12" applyFont="1" applyBorder="1" applyAlignment="1">
      <alignment horizontal="left" vertical="center" wrapText="1"/>
    </xf>
    <xf numFmtId="0" fontId="5" fillId="4" borderId="20" xfId="12" applyFont="1" applyFill="1" applyBorder="1" applyAlignment="1">
      <alignment horizontal="center" vertical="center" wrapText="1"/>
    </xf>
    <xf numFmtId="49" fontId="5" fillId="4" borderId="20" xfId="4" applyNumberFormat="1" applyFont="1" applyFill="1" applyBorder="1" applyAlignment="1">
      <alignment horizontal="center" vertical="center" wrapText="1"/>
    </xf>
    <xf numFmtId="0" fontId="5" fillId="0" borderId="23" xfId="12" applyFont="1" applyBorder="1" applyAlignment="1">
      <alignment horizontal="left" vertical="center" wrapText="1" shrinkToFit="1"/>
    </xf>
    <xf numFmtId="0" fontId="5" fillId="0" borderId="23" xfId="12" applyFont="1" applyBorder="1" applyAlignment="1">
      <alignment horizontal="left" vertical="center" wrapText="1"/>
    </xf>
    <xf numFmtId="0" fontId="5" fillId="4" borderId="20" xfId="4" applyFont="1" applyFill="1" applyBorder="1" applyAlignment="1">
      <alignment horizontal="center" vertical="center" wrapText="1"/>
    </xf>
    <xf numFmtId="182" fontId="5" fillId="0" borderId="21" xfId="13" applyNumberFormat="1" applyFont="1" applyBorder="1" applyAlignment="1">
      <alignment horizontal="center" vertical="center" wrapText="1"/>
    </xf>
    <xf numFmtId="49" fontId="5" fillId="0" borderId="20" xfId="13" applyNumberFormat="1" applyFont="1" applyBorder="1" applyAlignment="1">
      <alignment horizontal="center" vertical="center" wrapText="1"/>
    </xf>
    <xf numFmtId="181" fontId="23" fillId="0" borderId="20" xfId="15" applyNumberFormat="1" applyFont="1" applyBorder="1" applyAlignment="1">
      <alignment horizontal="center" vertical="center"/>
    </xf>
    <xf numFmtId="182" fontId="5" fillId="0" borderId="20" xfId="13" applyNumberFormat="1" applyFont="1" applyBorder="1" applyAlignment="1">
      <alignment horizontal="center" vertical="center" wrapText="1"/>
    </xf>
    <xf numFmtId="49" fontId="5" fillId="0" borderId="21" xfId="13" applyNumberFormat="1" applyFont="1" applyBorder="1" applyAlignment="1">
      <alignment horizontal="center" vertical="center" wrapText="1"/>
    </xf>
    <xf numFmtId="182" fontId="5" fillId="5" borderId="36" xfId="13" applyNumberFormat="1" applyFont="1" applyFill="1" applyBorder="1" applyAlignment="1">
      <alignment horizontal="center" vertical="center" wrapText="1"/>
    </xf>
    <xf numFmtId="0" fontId="23" fillId="0" borderId="21" xfId="15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5" fillId="0" borderId="0" xfId="12" applyFont="1" applyAlignment="1">
      <alignment horizontal="center" vertical="center" shrinkToFit="1"/>
    </xf>
    <xf numFmtId="0" fontId="26" fillId="0" borderId="31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182" fontId="26" fillId="0" borderId="44" xfId="0" applyNumberFormat="1" applyFont="1" applyBorder="1" applyAlignment="1">
      <alignment horizontal="center" vertical="center"/>
    </xf>
    <xf numFmtId="0" fontId="5" fillId="0" borderId="43" xfId="13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5" fillId="0" borderId="0" xfId="12" applyFont="1" applyAlignment="1">
      <alignment vertical="top" wrapText="1"/>
    </xf>
    <xf numFmtId="0" fontId="26" fillId="0" borderId="20" xfId="0" applyFont="1" applyBorder="1" applyAlignment="1">
      <alignment horizontal="center" vertical="center" wrapText="1"/>
    </xf>
    <xf numFmtId="0" fontId="26" fillId="0" borderId="10" xfId="1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49" fontId="5" fillId="4" borderId="0" xfId="12" applyNumberFormat="1" applyFont="1" applyFill="1" applyAlignment="1">
      <alignment horizontal="center" vertical="center" wrapText="1"/>
    </xf>
    <xf numFmtId="0" fontId="24" fillId="0" borderId="0" xfId="4" applyFont="1" applyAlignment="1">
      <alignment horizontal="center" vertical="center" wrapText="1"/>
    </xf>
    <xf numFmtId="0" fontId="5" fillId="0" borderId="0" xfId="12" applyFont="1" applyAlignment="1">
      <alignment horizontal="center" vertical="top" wrapText="1"/>
    </xf>
    <xf numFmtId="182" fontId="5" fillId="0" borderId="11" xfId="0" applyNumberFormat="1" applyFont="1" applyBorder="1" applyAlignment="1">
      <alignment horizontal="left" vertical="center"/>
    </xf>
    <xf numFmtId="0" fontId="5" fillId="0" borderId="21" xfId="0" quotePrefix="1" applyFont="1" applyBorder="1">
      <alignment vertical="center"/>
    </xf>
    <xf numFmtId="0" fontId="26" fillId="4" borderId="23" xfId="0" applyFont="1" applyFill="1" applyBorder="1" applyAlignment="1">
      <alignment horizontal="center" vertical="center"/>
    </xf>
    <xf numFmtId="182" fontId="5" fillId="0" borderId="15" xfId="0" applyNumberFormat="1" applyFont="1" applyBorder="1" applyAlignment="1">
      <alignment horizontal="left" vertical="center"/>
    </xf>
    <xf numFmtId="0" fontId="5" fillId="4" borderId="25" xfId="0" applyFont="1" applyFill="1" applyBorder="1">
      <alignment vertical="center"/>
    </xf>
    <xf numFmtId="49" fontId="5" fillId="4" borderId="27" xfId="0" applyNumberFormat="1" applyFont="1" applyFill="1" applyBorder="1" applyAlignment="1">
      <alignment horizontal="left" vertical="center"/>
    </xf>
    <xf numFmtId="176" fontId="5" fillId="0" borderId="11" xfId="0" applyNumberFormat="1" applyFont="1" applyBorder="1" applyAlignment="1">
      <alignment horizontal="left" vertical="center"/>
    </xf>
    <xf numFmtId="176" fontId="5" fillId="0" borderId="15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176" fontId="5" fillId="0" borderId="23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left" vertical="center" wrapText="1"/>
    </xf>
    <xf numFmtId="176" fontId="5" fillId="0" borderId="24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1" xfId="13" applyFont="1" applyBorder="1" applyAlignment="1">
      <alignment horizontal="center" vertical="center" wrapText="1"/>
    </xf>
    <xf numFmtId="0" fontId="5" fillId="0" borderId="11" xfId="14" applyFont="1" applyBorder="1" applyAlignment="1">
      <alignment horizontal="center" vertical="center" wrapText="1"/>
    </xf>
    <xf numFmtId="0" fontId="5" fillId="0" borderId="17" xfId="12" applyFont="1" applyBorder="1" applyAlignment="1">
      <alignment horizontal="left" vertical="center" wrapText="1" shrinkToFit="1"/>
    </xf>
    <xf numFmtId="0" fontId="5" fillId="0" borderId="17" xfId="12" applyFont="1" applyBorder="1" applyAlignment="1">
      <alignment horizontal="left" vertical="center" wrapText="1"/>
    </xf>
    <xf numFmtId="49" fontId="5" fillId="0" borderId="17" xfId="13" applyNumberFormat="1" applyFont="1" applyBorder="1" applyAlignment="1">
      <alignment horizontal="center" vertical="center" wrapText="1"/>
    </xf>
    <xf numFmtId="181" fontId="23" fillId="0" borderId="17" xfId="15" applyNumberFormat="1" applyFont="1" applyBorder="1" applyAlignment="1">
      <alignment horizontal="center" vertical="center"/>
    </xf>
    <xf numFmtId="49" fontId="5" fillId="0" borderId="17" xfId="4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182" fontId="23" fillId="0" borderId="50" xfId="15" applyNumberFormat="1" applyFont="1" applyBorder="1" applyAlignment="1">
      <alignment horizontal="center" vertical="center" wrapText="1"/>
    </xf>
    <xf numFmtId="182" fontId="5" fillId="0" borderId="17" xfId="13" applyNumberFormat="1" applyFont="1" applyBorder="1" applyAlignment="1">
      <alignment horizontal="center" vertical="center" wrapText="1"/>
    </xf>
    <xf numFmtId="182" fontId="5" fillId="5" borderId="50" xfId="13" applyNumberFormat="1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182" fontId="5" fillId="0" borderId="18" xfId="13" applyNumberFormat="1" applyFont="1" applyBorder="1" applyAlignment="1">
      <alignment horizontal="center" vertical="center" wrapText="1"/>
    </xf>
    <xf numFmtId="0" fontId="23" fillId="0" borderId="50" xfId="15" applyFont="1" applyBorder="1" applyAlignment="1">
      <alignment horizontal="center" vertical="center" wrapText="1"/>
    </xf>
    <xf numFmtId="0" fontId="23" fillId="0" borderId="18" xfId="15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49" fontId="5" fillId="0" borderId="10" xfId="13" applyNumberFormat="1" applyFont="1" applyBorder="1" applyAlignment="1">
      <alignment horizontal="center" vertical="center" wrapText="1"/>
    </xf>
    <xf numFmtId="0" fontId="5" fillId="0" borderId="52" xfId="12" applyFont="1" applyBorder="1" applyAlignment="1">
      <alignment horizontal="left" vertical="center" wrapText="1" shrinkToFit="1"/>
    </xf>
    <xf numFmtId="0" fontId="5" fillId="0" borderId="52" xfId="12" applyFont="1" applyBorder="1" applyAlignment="1">
      <alignment horizontal="center" vertical="center" wrapText="1"/>
    </xf>
    <xf numFmtId="0" fontId="5" fillId="0" borderId="52" xfId="12" applyFont="1" applyBorder="1" applyAlignment="1">
      <alignment horizontal="left" vertical="center" wrapText="1"/>
    </xf>
    <xf numFmtId="181" fontId="23" fillId="0" borderId="52" xfId="15" applyNumberFormat="1" applyFont="1" applyBorder="1" applyAlignment="1">
      <alignment horizontal="center" vertical="center"/>
    </xf>
    <xf numFmtId="49" fontId="5" fillId="0" borderId="52" xfId="4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182" fontId="23" fillId="0" borderId="54" xfId="15" applyNumberFormat="1" applyFont="1" applyBorder="1" applyAlignment="1">
      <alignment horizontal="center" vertical="center" wrapText="1"/>
    </xf>
    <xf numFmtId="182" fontId="5" fillId="0" borderId="52" xfId="13" applyNumberFormat="1" applyFont="1" applyBorder="1" applyAlignment="1">
      <alignment horizontal="center" vertical="center" wrapText="1"/>
    </xf>
    <xf numFmtId="0" fontId="5" fillId="0" borderId="52" xfId="13" applyFont="1" applyBorder="1" applyAlignment="1">
      <alignment horizontal="center" vertical="center" wrapText="1"/>
    </xf>
    <xf numFmtId="182" fontId="5" fillId="5" borderId="54" xfId="13" applyNumberFormat="1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/>
    </xf>
    <xf numFmtId="182" fontId="5" fillId="0" borderId="53" xfId="13" applyNumberFormat="1" applyFont="1" applyBorder="1" applyAlignment="1">
      <alignment horizontal="center" vertical="center" wrapText="1"/>
    </xf>
    <xf numFmtId="0" fontId="23" fillId="0" borderId="54" xfId="15" applyFont="1" applyBorder="1" applyAlignment="1">
      <alignment horizontal="center" vertical="center" wrapText="1"/>
    </xf>
    <xf numFmtId="0" fontId="23" fillId="0" borderId="53" xfId="15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49" fontId="5" fillId="0" borderId="23" xfId="13" applyNumberFormat="1" applyFont="1" applyBorder="1" applyAlignment="1">
      <alignment horizontal="center" vertical="center" wrapText="1"/>
    </xf>
    <xf numFmtId="0" fontId="23" fillId="0" borderId="25" xfId="7" applyFont="1" applyBorder="1" applyAlignment="1">
      <alignment horizontal="center" vertical="center"/>
    </xf>
    <xf numFmtId="0" fontId="23" fillId="0" borderId="12" xfId="7" applyFont="1" applyBorder="1" applyAlignment="1">
      <alignment horizontal="center" vertical="center"/>
    </xf>
    <xf numFmtId="0" fontId="5" fillId="4" borderId="10" xfId="13" applyFont="1" applyFill="1" applyBorder="1" applyAlignment="1">
      <alignment horizontal="center" vertical="center" wrapText="1"/>
    </xf>
    <xf numFmtId="0" fontId="5" fillId="4" borderId="52" xfId="13" applyFont="1" applyFill="1" applyBorder="1" applyAlignment="1">
      <alignment horizontal="center" vertical="center" wrapText="1"/>
    </xf>
    <xf numFmtId="178" fontId="5" fillId="0" borderId="18" xfId="13" applyNumberFormat="1" applyFont="1" applyBorder="1" applyAlignment="1">
      <alignment horizontal="center" vertical="center" wrapText="1"/>
    </xf>
    <xf numFmtId="178" fontId="5" fillId="0" borderId="24" xfId="13" applyNumberFormat="1" applyFont="1" applyBorder="1" applyAlignment="1">
      <alignment horizontal="center" vertical="center" wrapText="1"/>
    </xf>
    <xf numFmtId="178" fontId="5" fillId="0" borderId="11" xfId="13" applyNumberFormat="1" applyFont="1" applyBorder="1" applyAlignment="1">
      <alignment horizontal="center" vertical="center" wrapText="1"/>
    </xf>
    <xf numFmtId="178" fontId="5" fillId="0" borderId="53" xfId="13" applyNumberFormat="1" applyFont="1" applyBorder="1" applyAlignment="1">
      <alignment horizontal="center" vertical="center" wrapText="1"/>
    </xf>
    <xf numFmtId="49" fontId="5" fillId="4" borderId="10" xfId="13" applyNumberFormat="1" applyFont="1" applyFill="1" applyBorder="1" applyAlignment="1">
      <alignment horizontal="center" vertical="center" wrapText="1"/>
    </xf>
    <xf numFmtId="49" fontId="5" fillId="4" borderId="52" xfId="13" applyNumberFormat="1" applyFont="1" applyFill="1" applyBorder="1" applyAlignment="1">
      <alignment horizontal="center" vertical="center" wrapText="1"/>
    </xf>
    <xf numFmtId="0" fontId="5" fillId="0" borderId="17" xfId="7" applyFont="1" applyBorder="1" applyAlignment="1">
      <alignment horizontal="left" vertical="center" wrapText="1"/>
    </xf>
    <xf numFmtId="0" fontId="5" fillId="0" borderId="17" xfId="7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49" fontId="5" fillId="0" borderId="17" xfId="4" applyNumberFormat="1" applyFont="1" applyBorder="1" applyAlignment="1">
      <alignment horizontal="center" vertical="center" wrapText="1"/>
    </xf>
    <xf numFmtId="14" fontId="5" fillId="0" borderId="17" xfId="5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182" fontId="5" fillId="0" borderId="50" xfId="0" applyNumberFormat="1" applyFont="1" applyBorder="1" applyAlignment="1">
      <alignment horizontal="center" vertical="center"/>
    </xf>
    <xf numFmtId="182" fontId="5" fillId="0" borderId="17" xfId="0" applyNumberFormat="1" applyFont="1" applyBorder="1" applyAlignment="1">
      <alignment horizontal="center" vertical="center"/>
    </xf>
    <xf numFmtId="49" fontId="5" fillId="0" borderId="50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/>
    </xf>
    <xf numFmtId="49" fontId="26" fillId="0" borderId="20" xfId="4" applyNumberFormat="1" applyFont="1" applyBorder="1" applyAlignment="1" applyProtection="1">
      <alignment horizontal="center" vertical="center" wrapText="1"/>
      <protection locked="0"/>
    </xf>
    <xf numFmtId="177" fontId="26" fillId="0" borderId="44" xfId="4" applyNumberFormat="1" applyFont="1" applyBorder="1" applyAlignment="1">
      <alignment horizontal="center" vertical="center"/>
    </xf>
    <xf numFmtId="177" fontId="5" fillId="0" borderId="23" xfId="4" applyNumberFormat="1" applyFont="1" applyBorder="1" applyAlignment="1">
      <alignment horizontal="center" vertical="center"/>
    </xf>
    <xf numFmtId="177" fontId="26" fillId="0" borderId="45" xfId="4" applyNumberFormat="1" applyFont="1" applyBorder="1" applyAlignment="1">
      <alignment horizontal="center" vertical="center"/>
    </xf>
    <xf numFmtId="177" fontId="5" fillId="0" borderId="10" xfId="4" applyNumberFormat="1" applyFont="1" applyBorder="1" applyAlignment="1">
      <alignment horizontal="center" vertical="center"/>
    </xf>
    <xf numFmtId="177" fontId="26" fillId="0" borderId="36" xfId="4" applyNumberFormat="1" applyFont="1" applyBorder="1" applyAlignment="1">
      <alignment horizontal="center" vertical="center"/>
    </xf>
    <xf numFmtId="177" fontId="5" fillId="0" borderId="20" xfId="4" applyNumberFormat="1" applyFont="1" applyBorder="1" applyAlignment="1">
      <alignment horizontal="center" vertical="center"/>
    </xf>
    <xf numFmtId="182" fontId="5" fillId="0" borderId="23" xfId="0" applyNumberFormat="1" applyFont="1" applyBorder="1" applyAlignment="1">
      <alignment horizontal="center" vertical="center" wrapText="1"/>
    </xf>
    <xf numFmtId="14" fontId="26" fillId="0" borderId="17" xfId="0" applyNumberFormat="1" applyFont="1" applyBorder="1" applyAlignment="1">
      <alignment horizontal="center" vertical="center"/>
    </xf>
    <xf numFmtId="182" fontId="5" fillId="0" borderId="18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2" fontId="23" fillId="0" borderId="9" xfId="15" applyNumberFormat="1" applyFont="1" applyBorder="1" applyAlignment="1">
      <alignment horizontal="center" vertical="center" wrapText="1"/>
    </xf>
    <xf numFmtId="182" fontId="5" fillId="0" borderId="46" xfId="0" applyNumberFormat="1" applyFont="1" applyBorder="1" applyAlignment="1">
      <alignment horizontal="center" vertical="center" wrapText="1"/>
    </xf>
    <xf numFmtId="182" fontId="5" fillId="0" borderId="43" xfId="0" applyNumberFormat="1" applyFont="1" applyBorder="1" applyAlignment="1">
      <alignment horizontal="center" vertical="center" wrapText="1"/>
    </xf>
    <xf numFmtId="178" fontId="5" fillId="0" borderId="47" xfId="0" applyNumberFormat="1" applyFont="1" applyBorder="1" applyAlignment="1">
      <alignment horizontal="center" vertical="center" wrapText="1"/>
    </xf>
    <xf numFmtId="182" fontId="26" fillId="0" borderId="50" xfId="0" applyNumberFormat="1" applyFont="1" applyBorder="1" applyAlignment="1">
      <alignment horizontal="center" vertical="center"/>
    </xf>
    <xf numFmtId="182" fontId="26" fillId="0" borderId="54" xfId="0" applyNumberFormat="1" applyFont="1" applyBorder="1" applyAlignment="1">
      <alignment horizontal="center" vertical="center"/>
    </xf>
    <xf numFmtId="0" fontId="5" fillId="0" borderId="14" xfId="4" applyFont="1" applyBorder="1" applyAlignment="1">
      <alignment horizontal="left" vertical="center" wrapText="1"/>
    </xf>
    <xf numFmtId="0" fontId="5" fillId="0" borderId="14" xfId="4" applyFont="1" applyBorder="1" applyAlignment="1">
      <alignment horizontal="center" vertical="center" wrapText="1"/>
    </xf>
    <xf numFmtId="49" fontId="5" fillId="4" borderId="14" xfId="4" applyNumberFormat="1" applyFont="1" applyFill="1" applyBorder="1" applyAlignment="1">
      <alignment horizontal="center" vertical="center" wrapText="1"/>
    </xf>
    <xf numFmtId="14" fontId="26" fillId="0" borderId="14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49" fontId="5" fillId="0" borderId="14" xfId="4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182" fontId="26" fillId="0" borderId="56" xfId="0" applyNumberFormat="1" applyFont="1" applyBorder="1" applyAlignment="1">
      <alignment horizontal="center" vertical="center"/>
    </xf>
    <xf numFmtId="182" fontId="26" fillId="0" borderId="14" xfId="0" applyNumberFormat="1" applyFont="1" applyBorder="1" applyAlignment="1">
      <alignment horizontal="center" vertical="center"/>
    </xf>
    <xf numFmtId="178" fontId="26" fillId="0" borderId="15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3" fillId="0" borderId="56" xfId="15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/>
    </xf>
    <xf numFmtId="0" fontId="5" fillId="0" borderId="57" xfId="4" applyFont="1" applyBorder="1" applyAlignment="1">
      <alignment horizontal="center" vertical="center"/>
    </xf>
    <xf numFmtId="49" fontId="5" fillId="0" borderId="14" xfId="4" applyNumberFormat="1" applyFont="1" applyBorder="1" applyAlignment="1">
      <alignment horizontal="center" vertical="center" wrapText="1"/>
    </xf>
    <xf numFmtId="0" fontId="5" fillId="0" borderId="14" xfId="12" applyFont="1" applyBorder="1" applyAlignment="1">
      <alignment horizontal="left" vertical="center" wrapText="1" shrinkToFit="1"/>
    </xf>
    <xf numFmtId="0" fontId="5" fillId="0" borderId="14" xfId="12" applyFont="1" applyBorder="1" applyAlignment="1">
      <alignment horizontal="left" vertical="center" wrapText="1"/>
    </xf>
    <xf numFmtId="0" fontId="5" fillId="0" borderId="56" xfId="0" applyFont="1" applyBorder="1" applyAlignment="1">
      <alignment horizontal="center" vertical="center"/>
    </xf>
    <xf numFmtId="0" fontId="5" fillId="4" borderId="14" xfId="12" applyFont="1" applyFill="1" applyBorder="1" applyAlignment="1">
      <alignment horizontal="center" vertical="center" wrapText="1"/>
    </xf>
    <xf numFmtId="182" fontId="26" fillId="0" borderId="44" xfId="0" applyNumberFormat="1" applyFont="1" applyBorder="1" applyAlignment="1">
      <alignment horizontal="center" vertical="center" wrapText="1"/>
    </xf>
    <xf numFmtId="182" fontId="26" fillId="0" borderId="24" xfId="0" applyNumberFormat="1" applyFont="1" applyBorder="1" applyAlignment="1">
      <alignment horizontal="center" vertical="center" wrapText="1"/>
    </xf>
    <xf numFmtId="49" fontId="5" fillId="0" borderId="45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82" fontId="26" fillId="0" borderId="56" xfId="0" applyNumberFormat="1" applyFont="1" applyBorder="1" applyAlignment="1">
      <alignment horizontal="center" vertical="center" wrapText="1"/>
    </xf>
    <xf numFmtId="182" fontId="26" fillId="0" borderId="15" xfId="0" applyNumberFormat="1" applyFont="1" applyBorder="1" applyAlignment="1">
      <alignment horizontal="center" vertical="center" wrapText="1"/>
    </xf>
    <xf numFmtId="182" fontId="26" fillId="0" borderId="36" xfId="0" applyNumberFormat="1" applyFont="1" applyBorder="1" applyAlignment="1">
      <alignment horizontal="center" vertical="center" wrapText="1"/>
    </xf>
    <xf numFmtId="182" fontId="26" fillId="0" borderId="21" xfId="0" applyNumberFormat="1" applyFont="1" applyBorder="1" applyAlignment="1">
      <alignment horizontal="center" vertical="center" wrapText="1"/>
    </xf>
    <xf numFmtId="178" fontId="5" fillId="0" borderId="15" xfId="0" applyNumberFormat="1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 shrinkToFit="1"/>
    </xf>
    <xf numFmtId="0" fontId="5" fillId="0" borderId="36" xfId="0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left" vertical="center" wrapText="1"/>
    </xf>
    <xf numFmtId="2" fontId="5" fillId="0" borderId="11" xfId="0" applyNumberFormat="1" applyFont="1" applyBorder="1" applyAlignment="1">
      <alignment horizontal="left" vertical="center" wrapText="1"/>
    </xf>
    <xf numFmtId="2" fontId="5" fillId="0" borderId="24" xfId="0" applyNumberFormat="1" applyFont="1" applyBorder="1" applyAlignment="1">
      <alignment horizontal="left" vertical="center" wrapText="1"/>
    </xf>
    <xf numFmtId="2" fontId="5" fillId="0" borderId="21" xfId="0" applyNumberFormat="1" applyFont="1" applyBorder="1" applyAlignment="1">
      <alignment horizontal="left" vertical="center" wrapText="1"/>
    </xf>
    <xf numFmtId="177" fontId="5" fillId="0" borderId="23" xfId="0" applyNumberFormat="1" applyFont="1" applyBorder="1" applyAlignment="1">
      <alignment horizontal="left" vertical="center"/>
    </xf>
    <xf numFmtId="178" fontId="5" fillId="0" borderId="24" xfId="0" applyNumberFormat="1" applyFont="1" applyBorder="1" applyAlignment="1">
      <alignment horizontal="left" vertical="center"/>
    </xf>
    <xf numFmtId="177" fontId="5" fillId="0" borderId="25" xfId="0" applyNumberFormat="1" applyFont="1" applyBorder="1" applyAlignment="1">
      <alignment horizontal="left" vertical="center"/>
    </xf>
    <xf numFmtId="177" fontId="5" fillId="0" borderId="22" xfId="0" applyNumberFormat="1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182" fontId="5" fillId="0" borderId="26" xfId="0" applyNumberFormat="1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182" fontId="5" fillId="0" borderId="21" xfId="0" applyNumberFormat="1" applyFont="1" applyBorder="1" applyAlignment="1">
      <alignment horizontal="left" vertical="center"/>
    </xf>
    <xf numFmtId="182" fontId="5" fillId="0" borderId="27" xfId="0" applyNumberFormat="1" applyFont="1" applyBorder="1" applyAlignment="1">
      <alignment horizontal="left" vertical="center"/>
    </xf>
    <xf numFmtId="49" fontId="5" fillId="0" borderId="26" xfId="0" applyNumberFormat="1" applyFont="1" applyBorder="1" applyAlignment="1">
      <alignment horizontal="left" vertical="center"/>
    </xf>
    <xf numFmtId="178" fontId="5" fillId="0" borderId="45" xfId="0" applyNumberFormat="1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182" fontId="5" fillId="0" borderId="59" xfId="0" applyNumberFormat="1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49" fontId="5" fillId="0" borderId="59" xfId="0" applyNumberFormat="1" applyFont="1" applyBorder="1" applyAlignment="1">
      <alignment horizontal="left" vertical="center"/>
    </xf>
    <xf numFmtId="178" fontId="5" fillId="0" borderId="56" xfId="0" applyNumberFormat="1" applyFont="1" applyBorder="1" applyAlignment="1">
      <alignment horizontal="left" vertical="center"/>
    </xf>
    <xf numFmtId="178" fontId="5" fillId="0" borderId="28" xfId="0" applyNumberFormat="1" applyFont="1" applyBorder="1" applyAlignment="1">
      <alignment horizontal="left" vertical="center"/>
    </xf>
    <xf numFmtId="49" fontId="5" fillId="4" borderId="27" xfId="0" applyNumberFormat="1" applyFont="1" applyFill="1" applyBorder="1" applyAlignment="1">
      <alignment horizontal="left" vertical="center" wrapText="1"/>
    </xf>
    <xf numFmtId="176" fontId="2" fillId="0" borderId="60" xfId="4" applyNumberFormat="1" applyFont="1" applyBorder="1" applyAlignment="1">
      <alignment horizontal="center" vertical="center" wrapText="1"/>
    </xf>
    <xf numFmtId="0" fontId="2" fillId="0" borderId="26" xfId="4" applyFont="1" applyBorder="1" applyAlignment="1">
      <alignment horizontal="center" vertical="center" wrapText="1"/>
    </xf>
    <xf numFmtId="0" fontId="2" fillId="0" borderId="61" xfId="4" applyFont="1" applyBorder="1" applyAlignment="1">
      <alignment horizontal="center" vertical="center" wrapText="1"/>
    </xf>
    <xf numFmtId="182" fontId="23" fillId="0" borderId="62" xfId="15" applyNumberFormat="1" applyFont="1" applyBorder="1" applyAlignment="1">
      <alignment horizontal="center" vertical="center" wrapText="1"/>
    </xf>
    <xf numFmtId="182" fontId="23" fillId="0" borderId="26" xfId="15" applyNumberFormat="1" applyFont="1" applyBorder="1" applyAlignment="1">
      <alignment horizontal="center" vertical="center" wrapText="1"/>
    </xf>
    <xf numFmtId="182" fontId="5" fillId="0" borderId="26" xfId="14" applyNumberFormat="1" applyFont="1" applyBorder="1" applyAlignment="1">
      <alignment horizontal="center" vertical="center" wrapText="1"/>
    </xf>
    <xf numFmtId="182" fontId="5" fillId="0" borderId="26" xfId="13" applyNumberFormat="1" applyFont="1" applyBorder="1" applyAlignment="1">
      <alignment horizontal="center" vertical="center" wrapText="1"/>
    </xf>
    <xf numFmtId="182" fontId="5" fillId="0" borderId="26" xfId="0" applyNumberFormat="1" applyFont="1" applyBorder="1" applyAlignment="1">
      <alignment horizontal="center" vertical="center"/>
    </xf>
    <xf numFmtId="182" fontId="5" fillId="0" borderId="27" xfId="13" applyNumberFormat="1" applyFont="1" applyBorder="1" applyAlignment="1">
      <alignment horizontal="center" vertical="center" wrapText="1"/>
    </xf>
    <xf numFmtId="182" fontId="5" fillId="0" borderId="63" xfId="13" applyNumberFormat="1" applyFont="1" applyBorder="1" applyAlignment="1">
      <alignment horizontal="center" vertical="center" wrapText="1"/>
    </xf>
    <xf numFmtId="182" fontId="5" fillId="0" borderId="62" xfId="13" applyNumberFormat="1" applyFont="1" applyBorder="1" applyAlignment="1">
      <alignment horizontal="center" vertical="center" wrapText="1"/>
    </xf>
    <xf numFmtId="182" fontId="5" fillId="0" borderId="64" xfId="13" applyNumberFormat="1" applyFont="1" applyBorder="1" applyAlignment="1">
      <alignment horizontal="center" vertical="center" wrapText="1"/>
    </xf>
    <xf numFmtId="182" fontId="5" fillId="0" borderId="62" xfId="4" applyNumberFormat="1" applyFont="1" applyBorder="1" applyAlignment="1">
      <alignment horizontal="center" vertical="center"/>
    </xf>
    <xf numFmtId="182" fontId="5" fillId="0" borderId="26" xfId="4" applyNumberFormat="1" applyFont="1" applyBorder="1" applyAlignment="1">
      <alignment horizontal="center" vertical="center"/>
    </xf>
    <xf numFmtId="182" fontId="5" fillId="0" borderId="27" xfId="4" applyNumberFormat="1" applyFont="1" applyBorder="1" applyAlignment="1">
      <alignment horizontal="center" vertical="center"/>
    </xf>
    <xf numFmtId="182" fontId="26" fillId="0" borderId="62" xfId="0" applyNumberFormat="1" applyFont="1" applyBorder="1" applyAlignment="1">
      <alignment horizontal="center" vertical="center"/>
    </xf>
    <xf numFmtId="182" fontId="26" fillId="0" borderId="26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182" fontId="26" fillId="0" borderId="59" xfId="0" applyNumberFormat="1" applyFont="1" applyBorder="1" applyAlignment="1">
      <alignment horizontal="center" vertical="center"/>
    </xf>
    <xf numFmtId="182" fontId="26" fillId="0" borderId="27" xfId="0" applyNumberFormat="1" applyFont="1" applyBorder="1" applyAlignment="1">
      <alignment horizontal="center" vertical="center"/>
    </xf>
    <xf numFmtId="176" fontId="5" fillId="0" borderId="62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49" fontId="5" fillId="0" borderId="63" xfId="0" applyNumberFormat="1" applyFont="1" applyBorder="1" applyAlignment="1">
      <alignment horizontal="center" vertical="center"/>
    </xf>
    <xf numFmtId="49" fontId="5" fillId="0" borderId="62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182" fontId="26" fillId="0" borderId="62" xfId="4" applyNumberFormat="1" applyFont="1" applyBorder="1" applyAlignment="1">
      <alignment horizontal="center" vertical="center"/>
    </xf>
    <xf numFmtId="182" fontId="26" fillId="0" borderId="26" xfId="4" applyNumberFormat="1" applyFont="1" applyBorder="1" applyAlignment="1">
      <alignment horizontal="center" vertical="center"/>
    </xf>
    <xf numFmtId="0" fontId="26" fillId="0" borderId="26" xfId="4" applyFont="1" applyBorder="1" applyAlignment="1">
      <alignment horizontal="center" vertical="center"/>
    </xf>
    <xf numFmtId="176" fontId="26" fillId="0" borderId="26" xfId="4" applyNumberFormat="1" applyFont="1" applyBorder="1" applyAlignment="1">
      <alignment horizontal="center" vertical="center"/>
    </xf>
    <xf numFmtId="176" fontId="5" fillId="0" borderId="26" xfId="4" applyNumberFormat="1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182" fontId="5" fillId="0" borderId="26" xfId="1" applyNumberFormat="1" applyFont="1" applyFill="1" applyBorder="1" applyAlignment="1">
      <alignment horizontal="center" vertical="center"/>
    </xf>
    <xf numFmtId="182" fontId="5" fillId="0" borderId="62" xfId="0" applyNumberFormat="1" applyFont="1" applyBorder="1" applyAlignment="1">
      <alignment horizontal="center" vertical="center"/>
    </xf>
    <xf numFmtId="182" fontId="5" fillId="0" borderId="27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182" fontId="26" fillId="0" borderId="27" xfId="4" applyNumberFormat="1" applyFont="1" applyBorder="1" applyAlignment="1">
      <alignment horizontal="center" vertical="center"/>
    </xf>
    <xf numFmtId="182" fontId="5" fillId="0" borderId="63" xfId="0" applyNumberFormat="1" applyFont="1" applyBorder="1" applyAlignment="1">
      <alignment horizontal="center" vertical="center"/>
    </xf>
    <xf numFmtId="182" fontId="5" fillId="0" borderId="62" xfId="0" applyNumberFormat="1" applyFont="1" applyBorder="1" applyAlignment="1">
      <alignment horizontal="center" vertical="center" wrapText="1"/>
    </xf>
    <xf numFmtId="182" fontId="5" fillId="0" borderId="26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182" fontId="26" fillId="0" borderId="26" xfId="0" applyNumberFormat="1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182" fontId="5" fillId="0" borderId="61" xfId="0" applyNumberFormat="1" applyFont="1" applyBorder="1" applyAlignment="1">
      <alignment horizontal="center" vertical="center" wrapText="1"/>
    </xf>
    <xf numFmtId="176" fontId="5" fillId="0" borderId="65" xfId="13" applyNumberFormat="1" applyFont="1" applyBorder="1" applyAlignment="1">
      <alignment horizontal="center" vertical="center"/>
    </xf>
    <xf numFmtId="176" fontId="5" fillId="0" borderId="66" xfId="13" applyNumberFormat="1" applyFont="1" applyBorder="1" applyAlignment="1">
      <alignment horizontal="center" vertical="center"/>
    </xf>
    <xf numFmtId="182" fontId="23" fillId="0" borderId="43" xfId="15" applyNumberFormat="1" applyFont="1" applyBorder="1" applyAlignment="1">
      <alignment horizontal="center" vertical="center" wrapText="1"/>
    </xf>
    <xf numFmtId="2" fontId="5" fillId="0" borderId="44" xfId="5" applyNumberFormat="1" applyFont="1" applyBorder="1" applyAlignment="1">
      <alignment horizontal="center" vertical="center"/>
    </xf>
    <xf numFmtId="2" fontId="5" fillId="0" borderId="45" xfId="5" applyNumberFormat="1" applyFont="1" applyBorder="1" applyAlignment="1">
      <alignment horizontal="center" vertical="center"/>
    </xf>
    <xf numFmtId="2" fontId="5" fillId="0" borderId="45" xfId="0" applyNumberFormat="1" applyFont="1" applyBorder="1" applyAlignment="1">
      <alignment horizontal="center" vertical="center"/>
    </xf>
    <xf numFmtId="2" fontId="5" fillId="0" borderId="36" xfId="0" applyNumberFormat="1" applyFont="1" applyBorder="1" applyAlignment="1">
      <alignment horizontal="center" vertical="center"/>
    </xf>
    <xf numFmtId="2" fontId="5" fillId="0" borderId="36" xfId="5" applyNumberFormat="1" applyFont="1" applyBorder="1" applyAlignment="1">
      <alignment horizontal="center" vertical="center"/>
    </xf>
    <xf numFmtId="2" fontId="5" fillId="0" borderId="44" xfId="4" applyNumberFormat="1" applyFont="1" applyBorder="1" applyAlignment="1">
      <alignment horizontal="center" vertical="center"/>
    </xf>
    <xf numFmtId="2" fontId="5" fillId="0" borderId="45" xfId="4" applyNumberFormat="1" applyFont="1" applyBorder="1" applyAlignment="1">
      <alignment horizontal="center" vertical="center"/>
    </xf>
    <xf numFmtId="2" fontId="5" fillId="0" borderId="36" xfId="4" applyNumberFormat="1" applyFont="1" applyBorder="1" applyAlignment="1">
      <alignment horizontal="center" vertical="center"/>
    </xf>
    <xf numFmtId="2" fontId="5" fillId="0" borderId="44" xfId="0" applyNumberFormat="1" applyFont="1" applyBorder="1" applyAlignment="1">
      <alignment horizontal="center" vertical="center"/>
    </xf>
    <xf numFmtId="2" fontId="26" fillId="0" borderId="44" xfId="0" applyNumberFormat="1" applyFont="1" applyBorder="1" applyAlignment="1">
      <alignment horizontal="center" vertical="center"/>
    </xf>
    <xf numFmtId="2" fontId="26" fillId="0" borderId="45" xfId="0" applyNumberFormat="1" applyFont="1" applyBorder="1" applyAlignment="1">
      <alignment horizontal="center" vertical="center"/>
    </xf>
    <xf numFmtId="2" fontId="26" fillId="0" borderId="36" xfId="0" applyNumberFormat="1" applyFont="1" applyBorder="1" applyAlignment="1">
      <alignment horizontal="center" vertical="center"/>
    </xf>
    <xf numFmtId="2" fontId="26" fillId="5" borderId="45" xfId="0" applyNumberFormat="1" applyFont="1" applyFill="1" applyBorder="1" applyAlignment="1">
      <alignment horizontal="center" vertical="center"/>
    </xf>
    <xf numFmtId="2" fontId="5" fillId="0" borderId="46" xfId="0" applyNumberFormat="1" applyFont="1" applyBorder="1" applyAlignment="1">
      <alignment horizontal="center" vertical="center"/>
    </xf>
    <xf numFmtId="176" fontId="2" fillId="0" borderId="46" xfId="4" applyNumberFormat="1" applyFont="1" applyBorder="1" applyAlignment="1">
      <alignment horizontal="center" vertical="center" wrapText="1"/>
    </xf>
    <xf numFmtId="183" fontId="5" fillId="0" borderId="44" xfId="4" applyNumberFormat="1" applyFont="1" applyBorder="1" applyAlignment="1">
      <alignment horizontal="center" vertical="center"/>
    </xf>
    <xf numFmtId="176" fontId="2" fillId="0" borderId="12" xfId="4" applyNumberFormat="1" applyFont="1" applyBorder="1" applyAlignment="1">
      <alignment horizontal="centerContinuous" vertical="center" wrapText="1"/>
    </xf>
    <xf numFmtId="176" fontId="2" fillId="0" borderId="45" xfId="4" applyNumberFormat="1" applyFont="1" applyBorder="1" applyAlignment="1">
      <alignment horizontal="centerContinuous" vertical="center" wrapText="1"/>
    </xf>
    <xf numFmtId="0" fontId="5" fillId="0" borderId="28" xfId="0" applyFont="1" applyBorder="1">
      <alignment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0" xfId="12" applyFont="1" applyAlignment="1">
      <alignment horizontal="left" vertical="top" wrapText="1"/>
    </xf>
    <xf numFmtId="49" fontId="2" fillId="0" borderId="45" xfId="4" applyNumberFormat="1" applyFont="1" applyBorder="1" applyAlignment="1">
      <alignment horizontal="center" vertical="center" wrapText="1"/>
    </xf>
    <xf numFmtId="49" fontId="2" fillId="0" borderId="46" xfId="4" applyNumberFormat="1" applyFont="1" applyBorder="1" applyAlignment="1">
      <alignment horizontal="center" vertical="center" wrapText="1"/>
    </xf>
    <xf numFmtId="49" fontId="2" fillId="0" borderId="11" xfId="4" applyNumberFormat="1" applyFont="1" applyBorder="1" applyAlignment="1">
      <alignment horizontal="center" vertical="center" wrapText="1"/>
    </xf>
    <xf numFmtId="49" fontId="2" fillId="0" borderId="47" xfId="4" applyNumberFormat="1" applyFont="1" applyBorder="1" applyAlignment="1">
      <alignment horizontal="center" vertical="center" wrapText="1"/>
    </xf>
    <xf numFmtId="0" fontId="2" fillId="0" borderId="45" xfId="4" applyFont="1" applyBorder="1" applyAlignment="1">
      <alignment horizontal="center" vertical="center" wrapText="1"/>
    </xf>
    <xf numFmtId="0" fontId="2" fillId="0" borderId="46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 shrinkToFit="1"/>
    </xf>
    <xf numFmtId="0" fontId="2" fillId="0" borderId="43" xfId="4" applyFont="1" applyBorder="1" applyAlignment="1">
      <alignment horizontal="center" vertical="center" shrinkToFit="1"/>
    </xf>
    <xf numFmtId="0" fontId="2" fillId="0" borderId="11" xfId="4" applyFont="1" applyBorder="1" applyAlignment="1">
      <alignment horizontal="center" vertical="center" wrapText="1" shrinkToFit="1"/>
    </xf>
    <xf numFmtId="0" fontId="2" fillId="0" borderId="47" xfId="4" applyFont="1" applyBorder="1" applyAlignment="1">
      <alignment horizontal="center" vertical="center" shrinkToFit="1"/>
    </xf>
    <xf numFmtId="0" fontId="2" fillId="0" borderId="10" xfId="7" applyFont="1" applyBorder="1" applyAlignment="1">
      <alignment horizontal="center" vertical="center"/>
    </xf>
    <xf numFmtId="0" fontId="2" fillId="0" borderId="42" xfId="7" applyFont="1" applyBorder="1" applyAlignment="1">
      <alignment horizontal="center" vertical="center" wrapText="1"/>
    </xf>
    <xf numFmtId="0" fontId="2" fillId="0" borderId="42" xfId="7" applyFont="1" applyBorder="1" applyAlignment="1">
      <alignment horizontal="center" vertical="center"/>
    </xf>
    <xf numFmtId="0" fontId="2" fillId="0" borderId="48" xfId="7" applyFont="1" applyBorder="1" applyAlignment="1">
      <alignment horizontal="center" vertical="center"/>
    </xf>
    <xf numFmtId="176" fontId="2" fillId="0" borderId="67" xfId="4" applyNumberFormat="1" applyFont="1" applyBorder="1" applyAlignment="1">
      <alignment horizontal="center" vertical="center" wrapText="1"/>
    </xf>
    <xf numFmtId="176" fontId="2" fillId="0" borderId="68" xfId="4" applyNumberFormat="1" applyFont="1" applyBorder="1" applyAlignment="1">
      <alignment horizontal="center" vertical="center" wrapText="1"/>
    </xf>
    <xf numFmtId="0" fontId="2" fillId="0" borderId="45" xfId="7" applyFont="1" applyBorder="1" applyAlignment="1">
      <alignment horizontal="center" vertical="center"/>
    </xf>
    <xf numFmtId="49" fontId="2" fillId="0" borderId="10" xfId="4" applyNumberFormat="1" applyFont="1" applyBorder="1" applyAlignment="1">
      <alignment horizontal="center" vertical="center"/>
    </xf>
    <xf numFmtId="49" fontId="2" fillId="0" borderId="43" xfId="4" applyNumberFormat="1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 wrapText="1"/>
    </xf>
    <xf numFmtId="0" fontId="2" fillId="0" borderId="43" xfId="4" applyFont="1" applyBorder="1" applyAlignment="1">
      <alignment horizontal="center" vertical="center" wrapText="1"/>
    </xf>
    <xf numFmtId="49" fontId="2" fillId="0" borderId="10" xfId="4" applyNumberFormat="1" applyFont="1" applyBorder="1" applyAlignment="1">
      <alignment horizontal="center" vertical="center" wrapText="1"/>
    </xf>
    <xf numFmtId="49" fontId="2" fillId="0" borderId="43" xfId="4" applyNumberFormat="1" applyFont="1" applyBorder="1" applyAlignment="1">
      <alignment horizontal="center" vertical="center" wrapText="1"/>
    </xf>
    <xf numFmtId="0" fontId="2" fillId="0" borderId="11" xfId="4" applyFont="1" applyBorder="1" applyAlignment="1">
      <alignment horizontal="center" vertical="center" wrapText="1"/>
    </xf>
    <xf numFmtId="0" fontId="2" fillId="0" borderId="47" xfId="4" applyFont="1" applyBorder="1" applyAlignment="1">
      <alignment horizontal="center" vertical="center" wrapText="1"/>
    </xf>
    <xf numFmtId="0" fontId="2" fillId="0" borderId="43" xfId="4" applyFont="1" applyBorder="1" applyAlignment="1">
      <alignment horizontal="center" vertical="center" wrapText="1" shrinkToFit="1"/>
    </xf>
    <xf numFmtId="0" fontId="2" fillId="0" borderId="10" xfId="4" applyFont="1" applyBorder="1" applyAlignment="1">
      <alignment horizontal="left" vertical="center" wrapText="1" shrinkToFit="1"/>
    </xf>
    <xf numFmtId="0" fontId="2" fillId="0" borderId="43" xfId="4" applyFont="1" applyBorder="1" applyAlignment="1">
      <alignment horizontal="left" vertical="center" wrapText="1" shrinkToFit="1"/>
    </xf>
    <xf numFmtId="181" fontId="2" fillId="0" borderId="10" xfId="4" applyNumberFormat="1" applyFont="1" applyBorder="1" applyAlignment="1">
      <alignment horizontal="center" vertical="center"/>
    </xf>
    <xf numFmtId="181" fontId="2" fillId="0" borderId="43" xfId="4" applyNumberFormat="1" applyFont="1" applyBorder="1" applyAlignment="1">
      <alignment horizontal="center" vertical="center"/>
    </xf>
  </cellXfs>
  <cellStyles count="16">
    <cellStyle name="パーセント 2" xfId="1" xr:uid="{418C47C0-25C1-4B15-A1F1-62D46ABD2289}"/>
    <cellStyle name="桁区切り 2" xfId="2" xr:uid="{0BE72E75-F1D3-499A-8056-49B10E4588E4}"/>
    <cellStyle name="通貨 2" xfId="3" xr:uid="{C3514D1E-7A09-4E8B-AD44-5D7770F94B55}"/>
    <cellStyle name="標準" xfId="0" builtinId="0"/>
    <cellStyle name="標準 2" xfId="4" xr:uid="{781F7A65-FD99-43EF-922F-5B34FB1B9A1C}"/>
    <cellStyle name="標準 2 2" xfId="5" xr:uid="{A1094B33-5946-4226-9A88-0841CAA43F45}"/>
    <cellStyle name="標準 2 3" xfId="6" xr:uid="{976778D8-9DBE-4CAB-BDAA-837363B5A083}"/>
    <cellStyle name="標準 3" xfId="7" xr:uid="{56806010-7759-4257-9166-AE2D3778CFD5}"/>
    <cellStyle name="標準 3 2" xfId="8" xr:uid="{B4BD3141-9068-43A7-A126-8D795F0D5CF4}"/>
    <cellStyle name="標準_Sheet1" xfId="9" xr:uid="{6ED63140-4CEC-475D-B993-AF4D866B7583}"/>
    <cellStyle name="標準_Sheet1 2" xfId="10" xr:uid="{5304638E-FFB4-430B-B8B4-841D89CE9A1F}"/>
    <cellStyle name="標準_サンゴモニタ進捗表_041015" xfId="11" xr:uid="{61FC5962-0965-4CEC-A60A-C1D6056653A8}"/>
    <cellStyle name="標準_調査結果票H17" xfId="12" xr:uid="{485A78BB-42B2-4F6E-8AF4-F48FB27CE25C}"/>
    <cellStyle name="標準_表6野帳フォーム" xfId="13" xr:uid="{971BF204-8AFE-4DC8-85A6-C3BB6114DD65}"/>
    <cellStyle name="標準_表6野帳フォーム_別紙３（集計シート） 2009年　大隅諸島　集計" xfId="14" xr:uid="{22D68249-3099-4E4D-A776-3FA1E00A1900}"/>
    <cellStyle name="標準_別紙３（集計シート） 2009年　大隅諸島　集計 2" xfId="15" xr:uid="{BC24E95F-4A73-458A-B9FE-5D94118D31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43AE-7A28-4AA5-AF14-A6842962EA83}">
  <dimension ref="A1:T582"/>
  <sheetViews>
    <sheetView showGridLines="0" tabSelected="1" view="pageBreakPreview" topLeftCell="A425" zoomScale="90" zoomScaleNormal="100" zoomScaleSheetLayoutView="90" workbookViewId="0">
      <selection activeCell="A569" sqref="A569:A575"/>
    </sheetView>
  </sheetViews>
  <sheetFormatPr defaultRowHeight="11.25"/>
  <cols>
    <col min="1" max="1" width="12.875" style="231" customWidth="1"/>
    <col min="2" max="2" width="5.125" style="232" customWidth="1"/>
    <col min="3" max="3" width="15.625" style="231" customWidth="1"/>
    <col min="4" max="4" width="7.625" style="236" customWidth="1"/>
    <col min="5" max="5" width="7.375" style="24" customWidth="1"/>
    <col min="6" max="6" width="18.875" style="234" bestFit="1" customWidth="1"/>
    <col min="7" max="7" width="3.625" style="235" hidden="1" customWidth="1"/>
    <col min="8" max="10" width="5.875" style="233" customWidth="1"/>
    <col min="11" max="11" width="4" style="233" hidden="1" customWidth="1"/>
    <col min="12" max="12" width="5.875" style="233" customWidth="1"/>
    <col min="13" max="13" width="5.875" style="237" customWidth="1"/>
    <col min="14" max="14" width="5.875" style="235" customWidth="1"/>
    <col min="15" max="16" width="5.875" style="231" customWidth="1"/>
    <col min="17" max="17" width="7.5" style="24" bestFit="1" customWidth="1"/>
    <col min="18" max="18" width="7.5" style="210" bestFit="1" customWidth="1"/>
    <col min="19" max="19" width="9" style="24" customWidth="1"/>
    <col min="20" max="16384" width="9" style="24"/>
  </cols>
  <sheetData>
    <row r="1" spans="1:20" s="10" customFormat="1" ht="40.5" customHeight="1">
      <c r="A1" s="1" t="s">
        <v>0</v>
      </c>
      <c r="B1" s="2" t="s">
        <v>1244</v>
      </c>
      <c r="C1" s="2" t="s">
        <v>1</v>
      </c>
      <c r="D1" s="3" t="s">
        <v>2</v>
      </c>
      <c r="E1" s="4" t="s">
        <v>3</v>
      </c>
      <c r="F1" s="5" t="s">
        <v>4</v>
      </c>
      <c r="G1" s="238" t="s">
        <v>861</v>
      </c>
      <c r="H1" s="6" t="s">
        <v>1245</v>
      </c>
      <c r="I1" s="4" t="s">
        <v>1246</v>
      </c>
      <c r="J1" s="609" t="s">
        <v>1247</v>
      </c>
      <c r="K1" s="239" t="s">
        <v>862</v>
      </c>
      <c r="L1" s="6" t="s">
        <v>5</v>
      </c>
      <c r="M1" s="7" t="s">
        <v>1248</v>
      </c>
      <c r="N1" s="5" t="s">
        <v>6</v>
      </c>
      <c r="O1" s="8" t="s">
        <v>7</v>
      </c>
      <c r="P1" s="9" t="s">
        <v>8</v>
      </c>
      <c r="Q1" s="9" t="s">
        <v>1249</v>
      </c>
      <c r="R1" s="5" t="s">
        <v>1250</v>
      </c>
    </row>
    <row r="2" spans="1:20" ht="27.6" customHeight="1">
      <c r="A2" s="11" t="s">
        <v>9</v>
      </c>
      <c r="B2" s="12">
        <v>1</v>
      </c>
      <c r="C2" s="13" t="s">
        <v>10</v>
      </c>
      <c r="D2" s="14" t="s">
        <v>11</v>
      </c>
      <c r="E2" s="15">
        <v>1</v>
      </c>
      <c r="F2" s="16" t="s">
        <v>1251</v>
      </c>
      <c r="G2" s="240" t="s">
        <v>1252</v>
      </c>
      <c r="H2" s="17">
        <v>30</v>
      </c>
      <c r="I2" s="18">
        <v>26</v>
      </c>
      <c r="J2" s="19">
        <v>55.23</v>
      </c>
      <c r="K2" s="241" t="s">
        <v>1253</v>
      </c>
      <c r="L2" s="17">
        <v>130</v>
      </c>
      <c r="M2" s="20">
        <v>31</v>
      </c>
      <c r="N2" s="21">
        <v>18.670000000000002</v>
      </c>
      <c r="O2" s="22" t="s">
        <v>12</v>
      </c>
      <c r="P2" s="23" t="s">
        <v>13</v>
      </c>
      <c r="Q2" s="20" t="s">
        <v>14</v>
      </c>
      <c r="R2" s="21" t="s">
        <v>15</v>
      </c>
    </row>
    <row r="3" spans="1:20" ht="27.6" customHeight="1">
      <c r="A3" s="25" t="s">
        <v>9</v>
      </c>
      <c r="B3" s="26">
        <v>1</v>
      </c>
      <c r="C3" s="27" t="s">
        <v>10</v>
      </c>
      <c r="D3" s="28" t="s">
        <v>11</v>
      </c>
      <c r="E3" s="29">
        <v>2</v>
      </c>
      <c r="F3" s="30" t="s">
        <v>16</v>
      </c>
      <c r="G3" s="242" t="s">
        <v>1254</v>
      </c>
      <c r="H3" s="31">
        <v>30</v>
      </c>
      <c r="I3" s="32">
        <v>27</v>
      </c>
      <c r="J3" s="33">
        <v>18.84</v>
      </c>
      <c r="K3" s="34" t="s">
        <v>1255</v>
      </c>
      <c r="L3" s="31">
        <v>130</v>
      </c>
      <c r="M3" s="35">
        <v>30</v>
      </c>
      <c r="N3" s="36">
        <v>55.82</v>
      </c>
      <c r="O3" s="37" t="s">
        <v>17</v>
      </c>
      <c r="P3" s="38" t="s">
        <v>13</v>
      </c>
      <c r="Q3" s="35" t="s">
        <v>18</v>
      </c>
      <c r="R3" s="36" t="s">
        <v>19</v>
      </c>
    </row>
    <row r="4" spans="1:20" ht="27.6" customHeight="1">
      <c r="A4" s="25" t="s">
        <v>9</v>
      </c>
      <c r="B4" s="26">
        <v>1</v>
      </c>
      <c r="C4" s="27" t="s">
        <v>10</v>
      </c>
      <c r="D4" s="28" t="s">
        <v>11</v>
      </c>
      <c r="E4" s="29">
        <v>3</v>
      </c>
      <c r="F4" s="30" t="s">
        <v>20</v>
      </c>
      <c r="G4" s="242" t="s">
        <v>1256</v>
      </c>
      <c r="H4" s="31">
        <v>30</v>
      </c>
      <c r="I4" s="32">
        <v>27</v>
      </c>
      <c r="J4" s="33">
        <v>41.51</v>
      </c>
      <c r="K4" s="34" t="s">
        <v>1257</v>
      </c>
      <c r="L4" s="31">
        <v>130</v>
      </c>
      <c r="M4" s="35">
        <v>30</v>
      </c>
      <c r="N4" s="36">
        <v>59.84</v>
      </c>
      <c r="O4" s="37" t="s">
        <v>12</v>
      </c>
      <c r="P4" s="38" t="s">
        <v>13</v>
      </c>
      <c r="Q4" s="35" t="s">
        <v>18</v>
      </c>
      <c r="R4" s="36" t="s">
        <v>21</v>
      </c>
    </row>
    <row r="5" spans="1:20" ht="27.6" customHeight="1">
      <c r="A5" s="25" t="s">
        <v>9</v>
      </c>
      <c r="B5" s="26">
        <v>1</v>
      </c>
      <c r="C5" s="27" t="s">
        <v>10</v>
      </c>
      <c r="D5" s="28" t="s">
        <v>11</v>
      </c>
      <c r="E5" s="29">
        <v>4</v>
      </c>
      <c r="F5" s="30" t="s">
        <v>22</v>
      </c>
      <c r="G5" s="242" t="s">
        <v>1258</v>
      </c>
      <c r="H5" s="31">
        <v>30</v>
      </c>
      <c r="I5" s="32">
        <v>27</v>
      </c>
      <c r="J5" s="33">
        <v>46.12</v>
      </c>
      <c r="K5" s="34"/>
      <c r="L5" s="31">
        <v>130</v>
      </c>
      <c r="M5" s="35">
        <v>29</v>
      </c>
      <c r="N5" s="36">
        <v>36.340000000000003</v>
      </c>
      <c r="O5" s="37" t="s">
        <v>12</v>
      </c>
      <c r="P5" s="38" t="s">
        <v>13</v>
      </c>
      <c r="Q5" s="35" t="s">
        <v>18</v>
      </c>
      <c r="R5" s="36" t="s">
        <v>23</v>
      </c>
    </row>
    <row r="6" spans="1:20" ht="27.6" customHeight="1">
      <c r="A6" s="25" t="s">
        <v>9</v>
      </c>
      <c r="B6" s="26">
        <v>1</v>
      </c>
      <c r="C6" s="27" t="s">
        <v>10</v>
      </c>
      <c r="D6" s="28" t="s">
        <v>11</v>
      </c>
      <c r="E6" s="29">
        <v>5</v>
      </c>
      <c r="F6" s="30" t="s">
        <v>24</v>
      </c>
      <c r="G6" s="242" t="s">
        <v>1259</v>
      </c>
      <c r="H6" s="31">
        <v>30</v>
      </c>
      <c r="I6" s="32">
        <v>27</v>
      </c>
      <c r="J6" s="33">
        <v>27.57</v>
      </c>
      <c r="K6" s="34" t="s">
        <v>1260</v>
      </c>
      <c r="L6" s="31">
        <v>130</v>
      </c>
      <c r="M6" s="35">
        <v>29</v>
      </c>
      <c r="N6" s="36">
        <v>19.86</v>
      </c>
      <c r="O6" s="37" t="s">
        <v>17</v>
      </c>
      <c r="P6" s="38" t="s">
        <v>13</v>
      </c>
      <c r="Q6" s="35" t="s">
        <v>18</v>
      </c>
      <c r="R6" s="36" t="s">
        <v>25</v>
      </c>
    </row>
    <row r="7" spans="1:20" ht="27.6" customHeight="1">
      <c r="A7" s="25" t="s">
        <v>9</v>
      </c>
      <c r="B7" s="26">
        <v>1</v>
      </c>
      <c r="C7" s="27" t="s">
        <v>10</v>
      </c>
      <c r="D7" s="28" t="s">
        <v>11</v>
      </c>
      <c r="E7" s="29">
        <v>6</v>
      </c>
      <c r="F7" s="30" t="s">
        <v>26</v>
      </c>
      <c r="G7" s="242" t="s">
        <v>1261</v>
      </c>
      <c r="H7" s="31">
        <v>30</v>
      </c>
      <c r="I7" s="32">
        <v>26</v>
      </c>
      <c r="J7" s="33">
        <v>53.83</v>
      </c>
      <c r="K7" s="34"/>
      <c r="L7" s="31">
        <v>130</v>
      </c>
      <c r="M7" s="35">
        <v>27</v>
      </c>
      <c r="N7" s="36">
        <v>48.21</v>
      </c>
      <c r="O7" s="37" t="s">
        <v>12</v>
      </c>
      <c r="P7" s="38" t="s">
        <v>13</v>
      </c>
      <c r="Q7" s="35" t="s">
        <v>18</v>
      </c>
      <c r="R7" s="36" t="s">
        <v>27</v>
      </c>
    </row>
    <row r="8" spans="1:20" ht="27.6" customHeight="1">
      <c r="A8" s="25" t="s">
        <v>9</v>
      </c>
      <c r="B8" s="26">
        <v>1</v>
      </c>
      <c r="C8" s="27" t="s">
        <v>10</v>
      </c>
      <c r="D8" s="28" t="s">
        <v>11</v>
      </c>
      <c r="E8" s="29">
        <v>7</v>
      </c>
      <c r="F8" s="30" t="s">
        <v>28</v>
      </c>
      <c r="G8" s="242" t="s">
        <v>1262</v>
      </c>
      <c r="H8" s="31">
        <v>30</v>
      </c>
      <c r="I8" s="32">
        <v>16</v>
      </c>
      <c r="J8" s="33">
        <v>20.7</v>
      </c>
      <c r="K8" s="34"/>
      <c r="L8" s="31">
        <v>130</v>
      </c>
      <c r="M8" s="35">
        <v>24</v>
      </c>
      <c r="N8" s="36">
        <v>44.7</v>
      </c>
      <c r="O8" s="37" t="s">
        <v>12</v>
      </c>
      <c r="P8" s="38" t="s">
        <v>13</v>
      </c>
      <c r="Q8" s="35" t="s">
        <v>18</v>
      </c>
      <c r="R8" s="36" t="s">
        <v>29</v>
      </c>
    </row>
    <row r="9" spans="1:20" ht="27.6" customHeight="1">
      <c r="A9" s="25" t="s">
        <v>9</v>
      </c>
      <c r="B9" s="26">
        <v>1</v>
      </c>
      <c r="C9" s="27" t="s">
        <v>10</v>
      </c>
      <c r="D9" s="28" t="s">
        <v>11</v>
      </c>
      <c r="E9" s="29">
        <v>8</v>
      </c>
      <c r="F9" s="30" t="s">
        <v>1263</v>
      </c>
      <c r="G9" s="242" t="s">
        <v>1264</v>
      </c>
      <c r="H9" s="31">
        <v>30</v>
      </c>
      <c r="I9" s="32">
        <v>14</v>
      </c>
      <c r="J9" s="33">
        <v>59.1</v>
      </c>
      <c r="K9" s="34"/>
      <c r="L9" s="31">
        <v>130</v>
      </c>
      <c r="M9" s="35">
        <v>25</v>
      </c>
      <c r="N9" s="36">
        <v>4.7300000000000004</v>
      </c>
      <c r="O9" s="37" t="s">
        <v>12</v>
      </c>
      <c r="P9" s="38" t="s">
        <v>13</v>
      </c>
      <c r="Q9" s="35" t="s">
        <v>18</v>
      </c>
      <c r="R9" s="36" t="s">
        <v>19</v>
      </c>
    </row>
    <row r="10" spans="1:20" ht="27.6" customHeight="1">
      <c r="A10" s="25" t="s">
        <v>9</v>
      </c>
      <c r="B10" s="26">
        <v>1</v>
      </c>
      <c r="C10" s="27" t="s">
        <v>10</v>
      </c>
      <c r="D10" s="28" t="s">
        <v>11</v>
      </c>
      <c r="E10" s="29">
        <v>9</v>
      </c>
      <c r="F10" s="30" t="s">
        <v>30</v>
      </c>
      <c r="G10" s="242" t="s">
        <v>1265</v>
      </c>
      <c r="H10" s="31">
        <v>30</v>
      </c>
      <c r="I10" s="32">
        <v>14</v>
      </c>
      <c r="J10" s="33">
        <v>55.86</v>
      </c>
      <c r="K10" s="34"/>
      <c r="L10" s="31">
        <v>130</v>
      </c>
      <c r="M10" s="35">
        <v>25</v>
      </c>
      <c r="N10" s="36">
        <v>44.98</v>
      </c>
      <c r="O10" s="37" t="s">
        <v>12</v>
      </c>
      <c r="P10" s="38" t="s">
        <v>13</v>
      </c>
      <c r="Q10" s="35" t="s">
        <v>18</v>
      </c>
      <c r="R10" s="36" t="s">
        <v>31</v>
      </c>
    </row>
    <row r="11" spans="1:20" ht="27.6" customHeight="1">
      <c r="A11" s="25" t="s">
        <v>9</v>
      </c>
      <c r="B11" s="26">
        <v>1</v>
      </c>
      <c r="C11" s="27" t="s">
        <v>10</v>
      </c>
      <c r="D11" s="28" t="s">
        <v>11</v>
      </c>
      <c r="E11" s="29">
        <v>10</v>
      </c>
      <c r="F11" s="30" t="s">
        <v>32</v>
      </c>
      <c r="G11" s="242" t="s">
        <v>1266</v>
      </c>
      <c r="H11" s="31">
        <v>30</v>
      </c>
      <c r="I11" s="32">
        <v>14</v>
      </c>
      <c r="J11" s="33">
        <v>0.46</v>
      </c>
      <c r="K11" s="34" t="s">
        <v>1267</v>
      </c>
      <c r="L11" s="31">
        <v>130</v>
      </c>
      <c r="M11" s="35">
        <v>28</v>
      </c>
      <c r="N11" s="36">
        <v>37.47</v>
      </c>
      <c r="O11" s="37" t="s">
        <v>33</v>
      </c>
      <c r="P11" s="38" t="s">
        <v>13</v>
      </c>
      <c r="Q11" s="35" t="s">
        <v>18</v>
      </c>
      <c r="R11" s="36" t="s">
        <v>15</v>
      </c>
    </row>
    <row r="12" spans="1:20" ht="27.6" customHeight="1">
      <c r="A12" s="25" t="s">
        <v>9</v>
      </c>
      <c r="B12" s="26">
        <v>1</v>
      </c>
      <c r="C12" s="27" t="s">
        <v>10</v>
      </c>
      <c r="D12" s="28" t="s">
        <v>11</v>
      </c>
      <c r="E12" s="29">
        <v>11</v>
      </c>
      <c r="F12" s="30" t="s">
        <v>34</v>
      </c>
      <c r="G12" s="243"/>
      <c r="H12" s="31">
        <v>30</v>
      </c>
      <c r="I12" s="32">
        <v>15</v>
      </c>
      <c r="J12" s="33">
        <v>38.15</v>
      </c>
      <c r="K12" s="39"/>
      <c r="L12" s="25">
        <v>130</v>
      </c>
      <c r="M12" s="27">
        <v>36</v>
      </c>
      <c r="N12" s="40">
        <v>24.85</v>
      </c>
      <c r="O12" s="41" t="s">
        <v>12</v>
      </c>
      <c r="P12" s="42" t="s">
        <v>13</v>
      </c>
      <c r="Q12" s="35" t="s">
        <v>18</v>
      </c>
      <c r="R12" s="30" t="s">
        <v>35</v>
      </c>
      <c r="T12" s="44" t="s">
        <v>36</v>
      </c>
    </row>
    <row r="13" spans="1:20" ht="27.6" customHeight="1">
      <c r="A13" s="25" t="s">
        <v>9</v>
      </c>
      <c r="B13" s="26">
        <v>1</v>
      </c>
      <c r="C13" s="27" t="s">
        <v>10</v>
      </c>
      <c r="D13" s="28" t="s">
        <v>11</v>
      </c>
      <c r="E13" s="29">
        <v>12</v>
      </c>
      <c r="F13" s="30" t="s">
        <v>37</v>
      </c>
      <c r="G13" s="242" t="s">
        <v>1268</v>
      </c>
      <c r="H13" s="31">
        <v>30</v>
      </c>
      <c r="I13" s="32">
        <v>28</v>
      </c>
      <c r="J13" s="33">
        <v>10.83</v>
      </c>
      <c r="K13" s="34" t="s">
        <v>1269</v>
      </c>
      <c r="L13" s="31">
        <v>130</v>
      </c>
      <c r="M13" s="35">
        <v>13</v>
      </c>
      <c r="N13" s="36">
        <v>47.45</v>
      </c>
      <c r="O13" s="37" t="s">
        <v>38</v>
      </c>
      <c r="P13" s="38" t="s">
        <v>39</v>
      </c>
      <c r="Q13" s="35" t="s">
        <v>18</v>
      </c>
      <c r="R13" s="36" t="s">
        <v>40</v>
      </c>
    </row>
    <row r="14" spans="1:20" ht="27.6" customHeight="1">
      <c r="A14" s="25" t="s">
        <v>9</v>
      </c>
      <c r="B14" s="26">
        <v>1</v>
      </c>
      <c r="C14" s="27" t="s">
        <v>10</v>
      </c>
      <c r="D14" s="28" t="s">
        <v>11</v>
      </c>
      <c r="E14" s="29">
        <v>13</v>
      </c>
      <c r="F14" s="30" t="s">
        <v>41</v>
      </c>
      <c r="G14" s="242" t="s">
        <v>1270</v>
      </c>
      <c r="H14" s="31">
        <v>30</v>
      </c>
      <c r="I14" s="32">
        <v>29</v>
      </c>
      <c r="J14" s="33">
        <v>11.85</v>
      </c>
      <c r="K14" s="34" t="s">
        <v>1271</v>
      </c>
      <c r="L14" s="31">
        <v>130</v>
      </c>
      <c r="M14" s="35">
        <v>10</v>
      </c>
      <c r="N14" s="36">
        <v>8.3800000000000008</v>
      </c>
      <c r="O14" s="37" t="s">
        <v>17</v>
      </c>
      <c r="P14" s="38" t="s">
        <v>39</v>
      </c>
      <c r="Q14" s="35" t="s">
        <v>18</v>
      </c>
      <c r="R14" s="36" t="s">
        <v>42</v>
      </c>
    </row>
    <row r="15" spans="1:20" ht="27.6" customHeight="1">
      <c r="A15" s="25" t="s">
        <v>9</v>
      </c>
      <c r="B15" s="26">
        <v>1</v>
      </c>
      <c r="C15" s="27" t="s">
        <v>10</v>
      </c>
      <c r="D15" s="28" t="s">
        <v>11</v>
      </c>
      <c r="E15" s="29">
        <v>14</v>
      </c>
      <c r="F15" s="30" t="s">
        <v>43</v>
      </c>
      <c r="G15" s="242" t="s">
        <v>1272</v>
      </c>
      <c r="H15" s="31">
        <v>30</v>
      </c>
      <c r="I15" s="32">
        <v>45</v>
      </c>
      <c r="J15" s="33">
        <v>29.13</v>
      </c>
      <c r="K15" s="34"/>
      <c r="L15" s="31">
        <v>130</v>
      </c>
      <c r="M15" s="35">
        <v>51</v>
      </c>
      <c r="N15" s="36">
        <v>48.27</v>
      </c>
      <c r="O15" s="37" t="s">
        <v>12</v>
      </c>
      <c r="P15" s="38" t="s">
        <v>13</v>
      </c>
      <c r="Q15" s="35" t="s">
        <v>18</v>
      </c>
      <c r="R15" s="36" t="s">
        <v>19</v>
      </c>
    </row>
    <row r="16" spans="1:20" ht="27.6" customHeight="1">
      <c r="A16" s="25" t="s">
        <v>9</v>
      </c>
      <c r="B16" s="26">
        <v>1</v>
      </c>
      <c r="C16" s="27" t="s">
        <v>10</v>
      </c>
      <c r="D16" s="28" t="s">
        <v>11</v>
      </c>
      <c r="E16" s="29">
        <v>15</v>
      </c>
      <c r="F16" s="30" t="s">
        <v>44</v>
      </c>
      <c r="G16" s="242" t="s">
        <v>1273</v>
      </c>
      <c r="H16" s="31">
        <v>30</v>
      </c>
      <c r="I16" s="32">
        <v>23</v>
      </c>
      <c r="J16" s="33">
        <v>56.94</v>
      </c>
      <c r="K16" s="34" t="s">
        <v>1274</v>
      </c>
      <c r="L16" s="31">
        <v>130</v>
      </c>
      <c r="M16" s="35">
        <v>59</v>
      </c>
      <c r="N16" s="33">
        <v>7.8</v>
      </c>
      <c r="O16" s="37" t="s">
        <v>45</v>
      </c>
      <c r="P16" s="38" t="s">
        <v>46</v>
      </c>
      <c r="Q16" s="35" t="s">
        <v>18</v>
      </c>
      <c r="R16" s="36" t="s">
        <v>47</v>
      </c>
    </row>
    <row r="17" spans="1:20" ht="27.6" customHeight="1">
      <c r="A17" s="25" t="s">
        <v>9</v>
      </c>
      <c r="B17" s="26">
        <v>1</v>
      </c>
      <c r="C17" s="27" t="s">
        <v>10</v>
      </c>
      <c r="D17" s="28" t="s">
        <v>11</v>
      </c>
      <c r="E17" s="29">
        <v>16</v>
      </c>
      <c r="F17" s="30" t="s">
        <v>48</v>
      </c>
      <c r="G17" s="242" t="s">
        <v>1275</v>
      </c>
      <c r="H17" s="31">
        <v>30</v>
      </c>
      <c r="I17" s="32">
        <v>39</v>
      </c>
      <c r="J17" s="33">
        <v>54.6</v>
      </c>
      <c r="K17" s="34"/>
      <c r="L17" s="31">
        <v>130</v>
      </c>
      <c r="M17" s="35">
        <v>56</v>
      </c>
      <c r="N17" s="36">
        <v>34.97</v>
      </c>
      <c r="O17" s="37" t="s">
        <v>45</v>
      </c>
      <c r="P17" s="38" t="s">
        <v>49</v>
      </c>
      <c r="Q17" s="35" t="s">
        <v>18</v>
      </c>
      <c r="R17" s="36" t="s">
        <v>35</v>
      </c>
    </row>
    <row r="18" spans="1:20" ht="27.6" customHeight="1">
      <c r="A18" s="25" t="s">
        <v>9</v>
      </c>
      <c r="B18" s="26">
        <v>1</v>
      </c>
      <c r="C18" s="27" t="s">
        <v>10</v>
      </c>
      <c r="D18" s="28" t="s">
        <v>11</v>
      </c>
      <c r="E18" s="29">
        <v>17</v>
      </c>
      <c r="F18" s="30" t="s">
        <v>50</v>
      </c>
      <c r="G18" s="242" t="s">
        <v>1276</v>
      </c>
      <c r="H18" s="31">
        <v>30</v>
      </c>
      <c r="I18" s="32">
        <v>48</v>
      </c>
      <c r="J18" s="33">
        <v>30.27</v>
      </c>
      <c r="K18" s="34"/>
      <c r="L18" s="31">
        <v>130</v>
      </c>
      <c r="M18" s="35">
        <v>24</v>
      </c>
      <c r="N18" s="36">
        <v>49.19</v>
      </c>
      <c r="O18" s="37" t="s">
        <v>45</v>
      </c>
      <c r="P18" s="38" t="s">
        <v>51</v>
      </c>
      <c r="Q18" s="35" t="s">
        <v>18</v>
      </c>
      <c r="R18" s="36" t="s">
        <v>52</v>
      </c>
      <c r="T18" s="44" t="s">
        <v>53</v>
      </c>
    </row>
    <row r="19" spans="1:20" ht="27.6" customHeight="1">
      <c r="A19" s="25" t="s">
        <v>9</v>
      </c>
      <c r="B19" s="26">
        <v>1</v>
      </c>
      <c r="C19" s="27" t="s">
        <v>10</v>
      </c>
      <c r="D19" s="28" t="s">
        <v>11</v>
      </c>
      <c r="E19" s="29">
        <v>18</v>
      </c>
      <c r="F19" s="30" t="s">
        <v>54</v>
      </c>
      <c r="G19" s="242" t="s">
        <v>1277</v>
      </c>
      <c r="H19" s="31">
        <v>30</v>
      </c>
      <c r="I19" s="32">
        <v>46</v>
      </c>
      <c r="J19" s="33">
        <v>32.24</v>
      </c>
      <c r="K19" s="34"/>
      <c r="L19" s="31">
        <v>130</v>
      </c>
      <c r="M19" s="35">
        <v>16</v>
      </c>
      <c r="N19" s="36">
        <v>31.12</v>
      </c>
      <c r="O19" s="37" t="s">
        <v>45</v>
      </c>
      <c r="P19" s="38" t="s">
        <v>51</v>
      </c>
      <c r="Q19" s="35" t="s">
        <v>18</v>
      </c>
      <c r="R19" s="36" t="s">
        <v>55</v>
      </c>
    </row>
    <row r="20" spans="1:20" ht="27.6" customHeight="1">
      <c r="A20" s="25" t="s">
        <v>9</v>
      </c>
      <c r="B20" s="26">
        <v>1</v>
      </c>
      <c r="C20" s="27" t="s">
        <v>10</v>
      </c>
      <c r="D20" s="28" t="s">
        <v>11</v>
      </c>
      <c r="E20" s="29">
        <v>19</v>
      </c>
      <c r="F20" s="30" t="s">
        <v>56</v>
      </c>
      <c r="G20" s="244" t="s">
        <v>863</v>
      </c>
      <c r="H20" s="45">
        <v>30</v>
      </c>
      <c r="I20" s="28">
        <v>48</v>
      </c>
      <c r="J20" s="36">
        <v>55.27</v>
      </c>
      <c r="K20" s="242"/>
      <c r="L20" s="45">
        <v>129</v>
      </c>
      <c r="M20" s="28">
        <v>55</v>
      </c>
      <c r="N20" s="36">
        <v>4.8499999999999996</v>
      </c>
      <c r="O20" s="37" t="s">
        <v>45</v>
      </c>
      <c r="P20" s="38" t="s">
        <v>51</v>
      </c>
      <c r="Q20" s="35" t="s">
        <v>18</v>
      </c>
      <c r="R20" s="33" t="s">
        <v>57</v>
      </c>
      <c r="T20" s="44" t="s">
        <v>58</v>
      </c>
    </row>
    <row r="21" spans="1:20" ht="27.6" customHeight="1" thickBot="1">
      <c r="A21" s="46" t="s">
        <v>9</v>
      </c>
      <c r="B21" s="47">
        <v>1</v>
      </c>
      <c r="C21" s="48" t="s">
        <v>10</v>
      </c>
      <c r="D21" s="49" t="s">
        <v>11</v>
      </c>
      <c r="E21" s="50">
        <v>20</v>
      </c>
      <c r="F21" s="51" t="s">
        <v>59</v>
      </c>
      <c r="G21" s="245"/>
      <c r="H21" s="52">
        <v>30</v>
      </c>
      <c r="I21" s="49">
        <v>49</v>
      </c>
      <c r="J21" s="53">
        <v>28.48</v>
      </c>
      <c r="K21" s="246"/>
      <c r="L21" s="52">
        <v>131</v>
      </c>
      <c r="M21" s="49">
        <v>2</v>
      </c>
      <c r="N21" s="53">
        <v>16.95</v>
      </c>
      <c r="O21" s="54" t="s">
        <v>60</v>
      </c>
      <c r="P21" s="55" t="s">
        <v>1278</v>
      </c>
      <c r="Q21" s="56" t="s">
        <v>61</v>
      </c>
      <c r="R21" s="53" t="s">
        <v>62</v>
      </c>
      <c r="T21" s="44"/>
    </row>
    <row r="22" spans="1:20" ht="27.6" customHeight="1" thickTop="1">
      <c r="A22" s="57" t="s">
        <v>63</v>
      </c>
      <c r="B22" s="58">
        <v>2</v>
      </c>
      <c r="C22" s="59" t="s">
        <v>64</v>
      </c>
      <c r="D22" s="60" t="s">
        <v>11</v>
      </c>
      <c r="E22" s="61">
        <v>1</v>
      </c>
      <c r="F22" s="62" t="s">
        <v>65</v>
      </c>
      <c r="G22" s="247" t="s">
        <v>863</v>
      </c>
      <c r="H22" s="63">
        <v>29</v>
      </c>
      <c r="I22" s="64">
        <v>9</v>
      </c>
      <c r="J22" s="65">
        <v>36.200000000000003</v>
      </c>
      <c r="K22" s="248"/>
      <c r="L22" s="63">
        <v>129</v>
      </c>
      <c r="M22" s="64">
        <v>12</v>
      </c>
      <c r="N22" s="65">
        <v>35.200000000000003</v>
      </c>
      <c r="O22" s="66" t="s">
        <v>66</v>
      </c>
      <c r="P22" s="59" t="s">
        <v>67</v>
      </c>
      <c r="Q22" s="60" t="s">
        <v>68</v>
      </c>
      <c r="R22" s="65" t="s">
        <v>35</v>
      </c>
    </row>
    <row r="23" spans="1:20" ht="27.6" customHeight="1">
      <c r="A23" s="25" t="s">
        <v>63</v>
      </c>
      <c r="B23" s="26">
        <v>2</v>
      </c>
      <c r="C23" s="27" t="s">
        <v>64</v>
      </c>
      <c r="D23" s="32" t="s">
        <v>11</v>
      </c>
      <c r="E23" s="29">
        <v>2</v>
      </c>
      <c r="F23" s="40" t="s">
        <v>69</v>
      </c>
      <c r="G23" s="244"/>
      <c r="H23" s="45">
        <v>29</v>
      </c>
      <c r="I23" s="28">
        <v>9</v>
      </c>
      <c r="J23" s="36">
        <v>33.1</v>
      </c>
      <c r="K23" s="242"/>
      <c r="L23" s="45">
        <v>129</v>
      </c>
      <c r="M23" s="28">
        <v>12</v>
      </c>
      <c r="N23" s="36">
        <v>57.8</v>
      </c>
      <c r="O23" s="67" t="s">
        <v>70</v>
      </c>
      <c r="P23" s="27" t="s">
        <v>67</v>
      </c>
      <c r="Q23" s="32" t="s">
        <v>68</v>
      </c>
      <c r="R23" s="36" t="s">
        <v>35</v>
      </c>
    </row>
    <row r="24" spans="1:20" ht="27.6" customHeight="1">
      <c r="A24" s="25" t="s">
        <v>63</v>
      </c>
      <c r="B24" s="26">
        <v>2</v>
      </c>
      <c r="C24" s="27" t="s">
        <v>64</v>
      </c>
      <c r="D24" s="32" t="s">
        <v>11</v>
      </c>
      <c r="E24" s="29">
        <v>3</v>
      </c>
      <c r="F24" s="40" t="s">
        <v>71</v>
      </c>
      <c r="G24" s="244"/>
      <c r="H24" s="45">
        <v>29</v>
      </c>
      <c r="I24" s="28">
        <v>9</v>
      </c>
      <c r="J24" s="36">
        <v>14.2</v>
      </c>
      <c r="K24" s="242"/>
      <c r="L24" s="45">
        <v>129</v>
      </c>
      <c r="M24" s="28">
        <v>13</v>
      </c>
      <c r="N24" s="36">
        <v>26.9</v>
      </c>
      <c r="O24" s="67" t="s">
        <v>72</v>
      </c>
      <c r="P24" s="27" t="s">
        <v>67</v>
      </c>
      <c r="Q24" s="32" t="s">
        <v>18</v>
      </c>
      <c r="R24" s="36" t="s">
        <v>73</v>
      </c>
    </row>
    <row r="25" spans="1:20" ht="27.6" customHeight="1">
      <c r="A25" s="25" t="s">
        <v>63</v>
      </c>
      <c r="B25" s="26">
        <v>2</v>
      </c>
      <c r="C25" s="27" t="s">
        <v>64</v>
      </c>
      <c r="D25" s="32" t="s">
        <v>11</v>
      </c>
      <c r="E25" s="29">
        <v>4</v>
      </c>
      <c r="F25" s="40" t="s">
        <v>74</v>
      </c>
      <c r="G25" s="244"/>
      <c r="H25" s="45">
        <v>29</v>
      </c>
      <c r="I25" s="28">
        <v>9</v>
      </c>
      <c r="J25" s="36">
        <v>12.4</v>
      </c>
      <c r="K25" s="242"/>
      <c r="L25" s="45">
        <v>129</v>
      </c>
      <c r="M25" s="28">
        <v>13</v>
      </c>
      <c r="N25" s="36">
        <v>25.4</v>
      </c>
      <c r="O25" s="67" t="s">
        <v>70</v>
      </c>
      <c r="P25" s="27" t="s">
        <v>67</v>
      </c>
      <c r="Q25" s="32" t="s">
        <v>68</v>
      </c>
      <c r="R25" s="36" t="s">
        <v>75</v>
      </c>
    </row>
    <row r="26" spans="1:20" ht="27.6" customHeight="1">
      <c r="A26" s="25" t="s">
        <v>63</v>
      </c>
      <c r="B26" s="26">
        <v>2</v>
      </c>
      <c r="C26" s="27" t="s">
        <v>64</v>
      </c>
      <c r="D26" s="32" t="s">
        <v>11</v>
      </c>
      <c r="E26" s="29">
        <v>5</v>
      </c>
      <c r="F26" s="40" t="s">
        <v>76</v>
      </c>
      <c r="G26" s="244"/>
      <c r="H26" s="45">
        <v>29</v>
      </c>
      <c r="I26" s="28">
        <v>8</v>
      </c>
      <c r="J26" s="36">
        <v>38.4</v>
      </c>
      <c r="K26" s="242"/>
      <c r="L26" s="45">
        <v>129</v>
      </c>
      <c r="M26" s="28">
        <v>13</v>
      </c>
      <c r="N26" s="36">
        <v>11.7</v>
      </c>
      <c r="O26" s="67" t="s">
        <v>66</v>
      </c>
      <c r="P26" s="27" t="s">
        <v>67</v>
      </c>
      <c r="Q26" s="32" t="s">
        <v>68</v>
      </c>
      <c r="R26" s="36" t="s">
        <v>77</v>
      </c>
    </row>
    <row r="27" spans="1:20" ht="27.6" customHeight="1">
      <c r="A27" s="25" t="s">
        <v>63</v>
      </c>
      <c r="B27" s="26">
        <v>2</v>
      </c>
      <c r="C27" s="27" t="s">
        <v>64</v>
      </c>
      <c r="D27" s="32" t="s">
        <v>11</v>
      </c>
      <c r="E27" s="29">
        <v>6</v>
      </c>
      <c r="F27" s="40" t="s">
        <v>78</v>
      </c>
      <c r="G27" s="244"/>
      <c r="H27" s="45">
        <v>29</v>
      </c>
      <c r="I27" s="28">
        <v>9</v>
      </c>
      <c r="J27" s="36">
        <v>5</v>
      </c>
      <c r="K27" s="242"/>
      <c r="L27" s="45">
        <v>129</v>
      </c>
      <c r="M27" s="28">
        <v>13</v>
      </c>
      <c r="N27" s="36">
        <v>28.5</v>
      </c>
      <c r="O27" s="67" t="s">
        <v>66</v>
      </c>
      <c r="P27" s="27" t="s">
        <v>67</v>
      </c>
      <c r="Q27" s="32" t="s">
        <v>18</v>
      </c>
      <c r="R27" s="36" t="s">
        <v>79</v>
      </c>
    </row>
    <row r="28" spans="1:20" ht="27.6" customHeight="1">
      <c r="A28" s="25" t="s">
        <v>63</v>
      </c>
      <c r="B28" s="26">
        <v>2</v>
      </c>
      <c r="C28" s="27" t="s">
        <v>64</v>
      </c>
      <c r="D28" s="32" t="s">
        <v>11</v>
      </c>
      <c r="E28" s="29">
        <v>7</v>
      </c>
      <c r="F28" s="40" t="s">
        <v>80</v>
      </c>
      <c r="G28" s="244"/>
      <c r="H28" s="45">
        <v>29</v>
      </c>
      <c r="I28" s="28">
        <v>9</v>
      </c>
      <c r="J28" s="36">
        <v>4.5999999999999996</v>
      </c>
      <c r="K28" s="242"/>
      <c r="L28" s="45">
        <v>129</v>
      </c>
      <c r="M28" s="28">
        <v>13</v>
      </c>
      <c r="N28" s="36">
        <v>34.299999999999997</v>
      </c>
      <c r="O28" s="67" t="s">
        <v>66</v>
      </c>
      <c r="P28" s="27" t="s">
        <v>67</v>
      </c>
      <c r="Q28" s="32" t="s">
        <v>18</v>
      </c>
      <c r="R28" s="36" t="s">
        <v>81</v>
      </c>
    </row>
    <row r="29" spans="1:20" ht="27.6" customHeight="1">
      <c r="A29" s="25" t="s">
        <v>63</v>
      </c>
      <c r="B29" s="26">
        <v>2</v>
      </c>
      <c r="C29" s="27" t="s">
        <v>64</v>
      </c>
      <c r="D29" s="32" t="s">
        <v>11</v>
      </c>
      <c r="E29" s="29">
        <v>8</v>
      </c>
      <c r="F29" s="40" t="s">
        <v>82</v>
      </c>
      <c r="G29" s="244"/>
      <c r="H29" s="45">
        <v>29</v>
      </c>
      <c r="I29" s="28">
        <v>13</v>
      </c>
      <c r="J29" s="36">
        <v>11.5</v>
      </c>
      <c r="K29" s="242"/>
      <c r="L29" s="45">
        <v>129</v>
      </c>
      <c r="M29" s="28">
        <v>19</v>
      </c>
      <c r="N29" s="36">
        <v>48.8</v>
      </c>
      <c r="O29" s="67" t="s">
        <v>83</v>
      </c>
      <c r="P29" s="27" t="s">
        <v>84</v>
      </c>
      <c r="Q29" s="32" t="s">
        <v>18</v>
      </c>
      <c r="R29" s="36" t="s">
        <v>85</v>
      </c>
    </row>
    <row r="30" spans="1:20" ht="27.6" customHeight="1">
      <c r="A30" s="25" t="s">
        <v>63</v>
      </c>
      <c r="B30" s="26">
        <v>2</v>
      </c>
      <c r="C30" s="27" t="s">
        <v>64</v>
      </c>
      <c r="D30" s="32" t="s">
        <v>11</v>
      </c>
      <c r="E30" s="29">
        <v>9</v>
      </c>
      <c r="F30" s="40" t="s">
        <v>86</v>
      </c>
      <c r="G30" s="244"/>
      <c r="H30" s="45">
        <v>29</v>
      </c>
      <c r="I30" s="28">
        <v>28</v>
      </c>
      <c r="J30" s="36">
        <v>21.6</v>
      </c>
      <c r="K30" s="242"/>
      <c r="L30" s="45">
        <v>129</v>
      </c>
      <c r="M30" s="28">
        <v>36</v>
      </c>
      <c r="N30" s="36">
        <v>30.5</v>
      </c>
      <c r="O30" s="67" t="s">
        <v>87</v>
      </c>
      <c r="P30" s="27" t="s">
        <v>67</v>
      </c>
      <c r="Q30" s="32" t="s">
        <v>18</v>
      </c>
      <c r="R30" s="36" t="s">
        <v>88</v>
      </c>
    </row>
    <row r="31" spans="1:20" ht="27.6" customHeight="1">
      <c r="A31" s="25" t="s">
        <v>63</v>
      </c>
      <c r="B31" s="26">
        <v>2</v>
      </c>
      <c r="C31" s="27" t="s">
        <v>64</v>
      </c>
      <c r="D31" s="32" t="s">
        <v>11</v>
      </c>
      <c r="E31" s="29">
        <v>10</v>
      </c>
      <c r="F31" s="40" t="s">
        <v>89</v>
      </c>
      <c r="G31" s="244"/>
      <c r="H31" s="45">
        <v>29</v>
      </c>
      <c r="I31" s="28">
        <v>27</v>
      </c>
      <c r="J31" s="36">
        <v>9.4</v>
      </c>
      <c r="K31" s="242"/>
      <c r="L31" s="45">
        <v>129</v>
      </c>
      <c r="M31" s="28">
        <v>37</v>
      </c>
      <c r="N31" s="36">
        <v>15.4</v>
      </c>
      <c r="O31" s="67" t="s">
        <v>87</v>
      </c>
      <c r="P31" s="27" t="s">
        <v>67</v>
      </c>
      <c r="Q31" s="32" t="s">
        <v>18</v>
      </c>
      <c r="R31" s="36" t="s">
        <v>90</v>
      </c>
    </row>
    <row r="32" spans="1:20" ht="39" customHeight="1">
      <c r="A32" s="25" t="s">
        <v>63</v>
      </c>
      <c r="B32" s="26">
        <v>2</v>
      </c>
      <c r="C32" s="27" t="s">
        <v>64</v>
      </c>
      <c r="D32" s="32" t="s">
        <v>11</v>
      </c>
      <c r="E32" s="29">
        <v>11</v>
      </c>
      <c r="F32" s="40" t="s">
        <v>91</v>
      </c>
      <c r="G32" s="244"/>
      <c r="H32" s="45">
        <v>29</v>
      </c>
      <c r="I32" s="28">
        <v>37</v>
      </c>
      <c r="J32" s="36">
        <v>5</v>
      </c>
      <c r="K32" s="242"/>
      <c r="L32" s="45">
        <v>129</v>
      </c>
      <c r="M32" s="28">
        <v>43</v>
      </c>
      <c r="N32" s="36">
        <v>9</v>
      </c>
      <c r="O32" s="67" t="s">
        <v>92</v>
      </c>
      <c r="P32" s="27" t="s">
        <v>93</v>
      </c>
      <c r="Q32" s="32" t="s">
        <v>18</v>
      </c>
      <c r="R32" s="36" t="s">
        <v>62</v>
      </c>
    </row>
    <row r="33" spans="1:18" ht="27.6" customHeight="1">
      <c r="A33" s="25" t="s">
        <v>63</v>
      </c>
      <c r="B33" s="26">
        <v>2</v>
      </c>
      <c r="C33" s="27" t="s">
        <v>64</v>
      </c>
      <c r="D33" s="32" t="s">
        <v>11</v>
      </c>
      <c r="E33" s="29">
        <v>12</v>
      </c>
      <c r="F33" s="40" t="s">
        <v>94</v>
      </c>
      <c r="G33" s="244"/>
      <c r="H33" s="45">
        <v>29</v>
      </c>
      <c r="I33" s="28">
        <v>36</v>
      </c>
      <c r="J33" s="36">
        <v>33</v>
      </c>
      <c r="K33" s="242"/>
      <c r="L33" s="45">
        <v>129</v>
      </c>
      <c r="M33" s="28">
        <v>42</v>
      </c>
      <c r="N33" s="36">
        <v>48</v>
      </c>
      <c r="O33" s="67" t="s">
        <v>95</v>
      </c>
      <c r="P33" s="27" t="s">
        <v>84</v>
      </c>
      <c r="Q33" s="32" t="s">
        <v>18</v>
      </c>
      <c r="R33" s="36" t="s">
        <v>96</v>
      </c>
    </row>
    <row r="34" spans="1:18" ht="27.6" customHeight="1">
      <c r="A34" s="25" t="s">
        <v>63</v>
      </c>
      <c r="B34" s="26">
        <v>2</v>
      </c>
      <c r="C34" s="27" t="s">
        <v>64</v>
      </c>
      <c r="D34" s="32" t="s">
        <v>11</v>
      </c>
      <c r="E34" s="29">
        <v>13</v>
      </c>
      <c r="F34" s="40" t="s">
        <v>97</v>
      </c>
      <c r="G34" s="244"/>
      <c r="H34" s="45">
        <v>29</v>
      </c>
      <c r="I34" s="28">
        <v>50</v>
      </c>
      <c r="J34" s="36">
        <v>0</v>
      </c>
      <c r="K34" s="242"/>
      <c r="L34" s="45">
        <v>129</v>
      </c>
      <c r="M34" s="28">
        <v>54</v>
      </c>
      <c r="N34" s="36">
        <v>37.200000000000003</v>
      </c>
      <c r="O34" s="67" t="s">
        <v>98</v>
      </c>
      <c r="P34" s="27" t="s">
        <v>67</v>
      </c>
      <c r="Q34" s="32" t="s">
        <v>18</v>
      </c>
      <c r="R34" s="36" t="s">
        <v>99</v>
      </c>
    </row>
    <row r="35" spans="1:18" ht="27.6" customHeight="1">
      <c r="A35" s="25" t="s">
        <v>63</v>
      </c>
      <c r="B35" s="26">
        <v>2</v>
      </c>
      <c r="C35" s="27" t="s">
        <v>64</v>
      </c>
      <c r="D35" s="32" t="s">
        <v>11</v>
      </c>
      <c r="E35" s="29">
        <v>14</v>
      </c>
      <c r="F35" s="40" t="s">
        <v>100</v>
      </c>
      <c r="G35" s="244"/>
      <c r="H35" s="45">
        <v>29</v>
      </c>
      <c r="I35" s="28">
        <v>13</v>
      </c>
      <c r="J35" s="36">
        <v>11.5</v>
      </c>
      <c r="K35" s="242"/>
      <c r="L35" s="45">
        <v>129</v>
      </c>
      <c r="M35" s="28">
        <v>19</v>
      </c>
      <c r="N35" s="36">
        <v>48.8</v>
      </c>
      <c r="O35" s="67" t="s">
        <v>101</v>
      </c>
      <c r="P35" s="27" t="s">
        <v>67</v>
      </c>
      <c r="Q35" s="32" t="s">
        <v>18</v>
      </c>
      <c r="R35" s="36" t="s">
        <v>85</v>
      </c>
    </row>
    <row r="36" spans="1:18" ht="27.6" customHeight="1">
      <c r="A36" s="25" t="s">
        <v>63</v>
      </c>
      <c r="B36" s="26">
        <v>2</v>
      </c>
      <c r="C36" s="27" t="s">
        <v>64</v>
      </c>
      <c r="D36" s="32" t="s">
        <v>11</v>
      </c>
      <c r="E36" s="29">
        <v>15</v>
      </c>
      <c r="F36" s="40" t="s">
        <v>102</v>
      </c>
      <c r="G36" s="244"/>
      <c r="H36" s="45">
        <v>29</v>
      </c>
      <c r="I36" s="28">
        <v>9</v>
      </c>
      <c r="J36" s="36">
        <v>36.299999999999997</v>
      </c>
      <c r="K36" s="242"/>
      <c r="L36" s="45">
        <v>129</v>
      </c>
      <c r="M36" s="28">
        <v>12</v>
      </c>
      <c r="N36" s="36">
        <v>5.3</v>
      </c>
      <c r="O36" s="67" t="s">
        <v>66</v>
      </c>
      <c r="P36" s="27" t="s">
        <v>67</v>
      </c>
      <c r="Q36" s="32" t="s">
        <v>18</v>
      </c>
      <c r="R36" s="36" t="s">
        <v>35</v>
      </c>
    </row>
    <row r="37" spans="1:18" ht="27.6" customHeight="1">
      <c r="A37" s="25" t="s">
        <v>63</v>
      </c>
      <c r="B37" s="26">
        <v>2</v>
      </c>
      <c r="C37" s="27" t="s">
        <v>64</v>
      </c>
      <c r="D37" s="32" t="s">
        <v>11</v>
      </c>
      <c r="E37" s="29">
        <v>16</v>
      </c>
      <c r="F37" s="40" t="s">
        <v>103</v>
      </c>
      <c r="G37" s="244"/>
      <c r="H37" s="45">
        <v>29</v>
      </c>
      <c r="I37" s="28">
        <v>13</v>
      </c>
      <c r="J37" s="36">
        <v>3.9</v>
      </c>
      <c r="K37" s="242"/>
      <c r="L37" s="45">
        <v>129</v>
      </c>
      <c r="M37" s="28">
        <v>19</v>
      </c>
      <c r="N37" s="36">
        <v>31.6</v>
      </c>
      <c r="O37" s="67" t="s">
        <v>66</v>
      </c>
      <c r="P37" s="27" t="s">
        <v>67</v>
      </c>
      <c r="Q37" s="32" t="s">
        <v>18</v>
      </c>
      <c r="R37" s="36" t="s">
        <v>85</v>
      </c>
    </row>
    <row r="38" spans="1:18" ht="27.6" customHeight="1">
      <c r="A38" s="25" t="s">
        <v>63</v>
      </c>
      <c r="B38" s="26">
        <v>2</v>
      </c>
      <c r="C38" s="27" t="s">
        <v>64</v>
      </c>
      <c r="D38" s="32" t="s">
        <v>11</v>
      </c>
      <c r="E38" s="29">
        <v>17</v>
      </c>
      <c r="F38" s="40" t="s">
        <v>104</v>
      </c>
      <c r="G38" s="244"/>
      <c r="H38" s="45">
        <v>29</v>
      </c>
      <c r="I38" s="28">
        <v>13</v>
      </c>
      <c r="J38" s="36">
        <v>42.7</v>
      </c>
      <c r="K38" s="242"/>
      <c r="L38" s="45">
        <v>129</v>
      </c>
      <c r="M38" s="28">
        <v>19</v>
      </c>
      <c r="N38" s="36">
        <v>26.9</v>
      </c>
      <c r="O38" s="67" t="s">
        <v>66</v>
      </c>
      <c r="P38" s="27" t="s">
        <v>67</v>
      </c>
      <c r="Q38" s="32" t="s">
        <v>18</v>
      </c>
      <c r="R38" s="36" t="s">
        <v>35</v>
      </c>
    </row>
    <row r="39" spans="1:18" ht="27.6" customHeight="1">
      <c r="A39" s="25" t="s">
        <v>63</v>
      </c>
      <c r="B39" s="26">
        <v>2</v>
      </c>
      <c r="C39" s="27" t="s">
        <v>64</v>
      </c>
      <c r="D39" s="32" t="s">
        <v>11</v>
      </c>
      <c r="E39" s="29">
        <v>18</v>
      </c>
      <c r="F39" s="40" t="s">
        <v>105</v>
      </c>
      <c r="G39" s="244"/>
      <c r="H39" s="45">
        <v>29</v>
      </c>
      <c r="I39" s="28">
        <v>13</v>
      </c>
      <c r="J39" s="36">
        <v>33.9</v>
      </c>
      <c r="K39" s="242"/>
      <c r="L39" s="45">
        <v>129</v>
      </c>
      <c r="M39" s="28">
        <v>19</v>
      </c>
      <c r="N39" s="36">
        <v>9</v>
      </c>
      <c r="O39" s="67" t="s">
        <v>66</v>
      </c>
      <c r="P39" s="27" t="s">
        <v>67</v>
      </c>
      <c r="Q39" s="32" t="s">
        <v>18</v>
      </c>
      <c r="R39" s="36" t="s">
        <v>35</v>
      </c>
    </row>
    <row r="40" spans="1:18" ht="27.6" customHeight="1">
      <c r="A40" s="25" t="s">
        <v>63</v>
      </c>
      <c r="B40" s="26">
        <v>2</v>
      </c>
      <c r="C40" s="27" t="s">
        <v>64</v>
      </c>
      <c r="D40" s="32" t="s">
        <v>11</v>
      </c>
      <c r="E40" s="29">
        <v>19</v>
      </c>
      <c r="F40" s="40" t="s">
        <v>106</v>
      </c>
      <c r="G40" s="244"/>
      <c r="H40" s="45">
        <v>29</v>
      </c>
      <c r="I40" s="28">
        <v>27</v>
      </c>
      <c r="J40" s="36">
        <v>34.4</v>
      </c>
      <c r="K40" s="242"/>
      <c r="L40" s="45">
        <v>129</v>
      </c>
      <c r="M40" s="28">
        <v>36</v>
      </c>
      <c r="N40" s="36">
        <v>58.6</v>
      </c>
      <c r="O40" s="67" t="s">
        <v>98</v>
      </c>
      <c r="P40" s="27" t="s">
        <v>67</v>
      </c>
      <c r="Q40" s="32" t="s">
        <v>18</v>
      </c>
      <c r="R40" s="36" t="s">
        <v>107</v>
      </c>
    </row>
    <row r="41" spans="1:18" ht="27.6" customHeight="1">
      <c r="A41" s="25" t="s">
        <v>63</v>
      </c>
      <c r="B41" s="26">
        <v>2</v>
      </c>
      <c r="C41" s="27" t="s">
        <v>64</v>
      </c>
      <c r="D41" s="32" t="s">
        <v>11</v>
      </c>
      <c r="E41" s="29">
        <v>20</v>
      </c>
      <c r="F41" s="40" t="s">
        <v>108</v>
      </c>
      <c r="G41" s="244"/>
      <c r="H41" s="45">
        <v>29</v>
      </c>
      <c r="I41" s="28">
        <v>51</v>
      </c>
      <c r="J41" s="36">
        <v>29.2</v>
      </c>
      <c r="K41" s="242"/>
      <c r="L41" s="45">
        <v>129</v>
      </c>
      <c r="M41" s="28">
        <v>50</v>
      </c>
      <c r="N41" s="36">
        <v>8.8000000000000007</v>
      </c>
      <c r="O41" s="67" t="s">
        <v>109</v>
      </c>
      <c r="P41" s="27" t="s">
        <v>110</v>
      </c>
      <c r="Q41" s="32" t="s">
        <v>18</v>
      </c>
      <c r="R41" s="36" t="s">
        <v>99</v>
      </c>
    </row>
    <row r="42" spans="1:18" ht="27.6" customHeight="1">
      <c r="A42" s="25" t="s">
        <v>63</v>
      </c>
      <c r="B42" s="26">
        <v>2</v>
      </c>
      <c r="C42" s="27" t="s">
        <v>64</v>
      </c>
      <c r="D42" s="32" t="s">
        <v>11</v>
      </c>
      <c r="E42" s="29">
        <v>21</v>
      </c>
      <c r="F42" s="40" t="s">
        <v>111</v>
      </c>
      <c r="G42" s="244"/>
      <c r="H42" s="45">
        <v>29</v>
      </c>
      <c r="I42" s="28">
        <v>51</v>
      </c>
      <c r="J42" s="36">
        <v>8.1999999999999993</v>
      </c>
      <c r="K42" s="242"/>
      <c r="L42" s="45">
        <v>129</v>
      </c>
      <c r="M42" s="28">
        <v>50</v>
      </c>
      <c r="N42" s="36">
        <v>15</v>
      </c>
      <c r="O42" s="67" t="s">
        <v>98</v>
      </c>
      <c r="P42" s="27" t="s">
        <v>67</v>
      </c>
      <c r="Q42" s="32" t="s">
        <v>18</v>
      </c>
      <c r="R42" s="36" t="s">
        <v>112</v>
      </c>
    </row>
    <row r="43" spans="1:18" ht="27.6" customHeight="1">
      <c r="A43" s="25" t="s">
        <v>63</v>
      </c>
      <c r="B43" s="26">
        <v>2</v>
      </c>
      <c r="C43" s="27" t="s">
        <v>64</v>
      </c>
      <c r="D43" s="32" t="s">
        <v>11</v>
      </c>
      <c r="E43" s="29">
        <v>22</v>
      </c>
      <c r="F43" s="40" t="s">
        <v>113</v>
      </c>
      <c r="G43" s="244"/>
      <c r="H43" s="45">
        <v>28</v>
      </c>
      <c r="I43" s="28">
        <v>50</v>
      </c>
      <c r="J43" s="36">
        <v>13.9</v>
      </c>
      <c r="K43" s="242"/>
      <c r="L43" s="45">
        <v>129</v>
      </c>
      <c r="M43" s="28">
        <v>0</v>
      </c>
      <c r="N43" s="36">
        <v>3.4</v>
      </c>
      <c r="O43" s="67" t="s">
        <v>114</v>
      </c>
      <c r="P43" s="27" t="s">
        <v>67</v>
      </c>
      <c r="Q43" s="32" t="s">
        <v>18</v>
      </c>
      <c r="R43" s="36" t="s">
        <v>115</v>
      </c>
    </row>
    <row r="44" spans="1:18" ht="27.6" customHeight="1">
      <c r="A44" s="25" t="s">
        <v>63</v>
      </c>
      <c r="B44" s="26">
        <v>2</v>
      </c>
      <c r="C44" s="27" t="s">
        <v>64</v>
      </c>
      <c r="D44" s="32" t="s">
        <v>11</v>
      </c>
      <c r="E44" s="29">
        <v>23</v>
      </c>
      <c r="F44" s="40" t="s">
        <v>116</v>
      </c>
      <c r="G44" s="244"/>
      <c r="H44" s="45">
        <v>28</v>
      </c>
      <c r="I44" s="28">
        <v>47</v>
      </c>
      <c r="J44" s="36">
        <v>55.7</v>
      </c>
      <c r="K44" s="242"/>
      <c r="L44" s="45">
        <v>128</v>
      </c>
      <c r="M44" s="28">
        <v>59</v>
      </c>
      <c r="N44" s="36">
        <v>4.5</v>
      </c>
      <c r="O44" s="67" t="s">
        <v>117</v>
      </c>
      <c r="P44" s="27" t="s">
        <v>67</v>
      </c>
      <c r="Q44" s="32" t="s">
        <v>18</v>
      </c>
      <c r="R44" s="36" t="s">
        <v>107</v>
      </c>
    </row>
    <row r="45" spans="1:18" ht="27.6" customHeight="1">
      <c r="A45" s="25" t="s">
        <v>63</v>
      </c>
      <c r="B45" s="26">
        <v>2</v>
      </c>
      <c r="C45" s="27" t="s">
        <v>64</v>
      </c>
      <c r="D45" s="32" t="s">
        <v>11</v>
      </c>
      <c r="E45" s="29">
        <v>24</v>
      </c>
      <c r="F45" s="40" t="s">
        <v>118</v>
      </c>
      <c r="G45" s="244"/>
      <c r="H45" s="31">
        <v>29</v>
      </c>
      <c r="I45" s="68">
        <v>8</v>
      </c>
      <c r="J45" s="69">
        <v>33.1</v>
      </c>
      <c r="K45" s="249"/>
      <c r="L45" s="70">
        <v>129</v>
      </c>
      <c r="M45" s="68">
        <v>11</v>
      </c>
      <c r="N45" s="69">
        <v>45.3</v>
      </c>
      <c r="O45" s="67"/>
      <c r="P45" s="27" t="s">
        <v>119</v>
      </c>
      <c r="Q45" s="32" t="s">
        <v>18</v>
      </c>
      <c r="R45" s="36" t="s">
        <v>1279</v>
      </c>
    </row>
    <row r="46" spans="1:18" ht="27.6" customHeight="1">
      <c r="A46" s="25" t="s">
        <v>63</v>
      </c>
      <c r="B46" s="26">
        <v>2</v>
      </c>
      <c r="C46" s="27" t="s">
        <v>64</v>
      </c>
      <c r="D46" s="32" t="s">
        <v>11</v>
      </c>
      <c r="E46" s="29">
        <v>25</v>
      </c>
      <c r="F46" s="40" t="s">
        <v>120</v>
      </c>
      <c r="G46" s="244"/>
      <c r="H46" s="31">
        <v>29</v>
      </c>
      <c r="I46" s="68">
        <v>26</v>
      </c>
      <c r="J46" s="69">
        <v>41.3</v>
      </c>
      <c r="K46" s="249"/>
      <c r="L46" s="70">
        <v>129</v>
      </c>
      <c r="M46" s="68">
        <v>36</v>
      </c>
      <c r="N46" s="69">
        <v>27.8</v>
      </c>
      <c r="O46" s="67" t="s">
        <v>121</v>
      </c>
      <c r="P46" s="27" t="s">
        <v>119</v>
      </c>
      <c r="Q46" s="32" t="s">
        <v>18</v>
      </c>
      <c r="R46" s="36" t="s">
        <v>2073</v>
      </c>
    </row>
    <row r="47" spans="1:18" ht="27.6" customHeight="1">
      <c r="A47" s="25" t="s">
        <v>63</v>
      </c>
      <c r="B47" s="26">
        <v>2</v>
      </c>
      <c r="C47" s="27" t="s">
        <v>64</v>
      </c>
      <c r="D47" s="32" t="s">
        <v>11</v>
      </c>
      <c r="E47" s="304">
        <v>26</v>
      </c>
      <c r="F47" s="742" t="s">
        <v>1907</v>
      </c>
      <c r="G47" s="617"/>
      <c r="H47" s="89">
        <v>29</v>
      </c>
      <c r="I47" s="737">
        <v>50</v>
      </c>
      <c r="J47" s="738">
        <v>41.4</v>
      </c>
      <c r="K47" s="739"/>
      <c r="L47" s="740">
        <v>129</v>
      </c>
      <c r="M47" s="737">
        <v>53</v>
      </c>
      <c r="N47" s="738">
        <v>48.2</v>
      </c>
      <c r="O47" s="741" t="s">
        <v>2065</v>
      </c>
      <c r="P47" s="85" t="s">
        <v>1848</v>
      </c>
      <c r="Q47" s="90" t="s">
        <v>18</v>
      </c>
      <c r="R47" s="93" t="s">
        <v>2068</v>
      </c>
    </row>
    <row r="48" spans="1:18" ht="27.6" customHeight="1">
      <c r="A48" s="25" t="s">
        <v>63</v>
      </c>
      <c r="B48" s="26">
        <v>2</v>
      </c>
      <c r="C48" s="27" t="s">
        <v>64</v>
      </c>
      <c r="D48" s="32" t="s">
        <v>11</v>
      </c>
      <c r="E48" s="304">
        <v>27</v>
      </c>
      <c r="F48" s="742" t="s">
        <v>2079</v>
      </c>
      <c r="G48" s="244"/>
      <c r="H48" s="31">
        <v>29</v>
      </c>
      <c r="I48" s="68">
        <v>58</v>
      </c>
      <c r="J48" s="69">
        <v>7.9</v>
      </c>
      <c r="K48" s="249"/>
      <c r="L48" s="70">
        <v>129</v>
      </c>
      <c r="M48" s="68">
        <v>54</v>
      </c>
      <c r="N48" s="69">
        <v>17.399999999999999</v>
      </c>
      <c r="O48" s="67" t="s">
        <v>2066</v>
      </c>
      <c r="P48" s="27" t="s">
        <v>1848</v>
      </c>
      <c r="Q48" s="32" t="s">
        <v>18</v>
      </c>
      <c r="R48" s="36" t="s">
        <v>2069</v>
      </c>
    </row>
    <row r="49" spans="1:18" ht="27.6" customHeight="1">
      <c r="A49" s="25" t="s">
        <v>63</v>
      </c>
      <c r="B49" s="26">
        <v>2</v>
      </c>
      <c r="C49" s="27" t="s">
        <v>64</v>
      </c>
      <c r="D49" s="32" t="s">
        <v>11</v>
      </c>
      <c r="E49" s="304">
        <v>28</v>
      </c>
      <c r="F49" s="742" t="s">
        <v>1908</v>
      </c>
      <c r="G49" s="244"/>
      <c r="H49" s="31">
        <v>29</v>
      </c>
      <c r="I49" s="68">
        <v>58</v>
      </c>
      <c r="J49" s="69">
        <v>27.1</v>
      </c>
      <c r="K49" s="249"/>
      <c r="L49" s="70">
        <v>129</v>
      </c>
      <c r="M49" s="68">
        <v>53</v>
      </c>
      <c r="N49" s="69">
        <v>58.8</v>
      </c>
      <c r="O49" s="67" t="s">
        <v>2067</v>
      </c>
      <c r="P49" s="27" t="s">
        <v>1848</v>
      </c>
      <c r="Q49" s="32" t="s">
        <v>18</v>
      </c>
      <c r="R49" s="36" t="s">
        <v>2069</v>
      </c>
    </row>
    <row r="50" spans="1:18" ht="27.6" customHeight="1">
      <c r="A50" s="25" t="s">
        <v>63</v>
      </c>
      <c r="B50" s="26">
        <v>2</v>
      </c>
      <c r="C50" s="27" t="s">
        <v>64</v>
      </c>
      <c r="D50" s="32" t="s">
        <v>11</v>
      </c>
      <c r="E50" s="304">
        <v>29</v>
      </c>
      <c r="F50" s="742" t="s">
        <v>1909</v>
      </c>
      <c r="G50" s="244"/>
      <c r="H50" s="31">
        <v>29</v>
      </c>
      <c r="I50" s="68">
        <v>58</v>
      </c>
      <c r="J50" s="69">
        <v>50.6</v>
      </c>
      <c r="K50" s="249"/>
      <c r="L50" s="70">
        <v>129</v>
      </c>
      <c r="M50" s="68">
        <v>54</v>
      </c>
      <c r="N50" s="69">
        <v>5.7</v>
      </c>
      <c r="O50" s="67" t="s">
        <v>2066</v>
      </c>
      <c r="P50" s="27" t="s">
        <v>1848</v>
      </c>
      <c r="Q50" s="32" t="s">
        <v>18</v>
      </c>
      <c r="R50" s="36" t="s">
        <v>2070</v>
      </c>
    </row>
    <row r="51" spans="1:18" ht="27.6" customHeight="1">
      <c r="A51" s="25" t="s">
        <v>63</v>
      </c>
      <c r="B51" s="26">
        <v>2</v>
      </c>
      <c r="C51" s="27" t="s">
        <v>64</v>
      </c>
      <c r="D51" s="32" t="s">
        <v>11</v>
      </c>
      <c r="E51" s="304">
        <v>30</v>
      </c>
      <c r="F51" s="742" t="s">
        <v>1910</v>
      </c>
      <c r="G51" s="244"/>
      <c r="H51" s="31">
        <v>29</v>
      </c>
      <c r="I51" s="68">
        <v>59</v>
      </c>
      <c r="J51" s="69">
        <v>25.2</v>
      </c>
      <c r="K51" s="249"/>
      <c r="L51" s="70">
        <v>129</v>
      </c>
      <c r="M51" s="68">
        <v>55</v>
      </c>
      <c r="N51" s="69">
        <v>26.5</v>
      </c>
      <c r="O51" s="67" t="s">
        <v>2065</v>
      </c>
      <c r="P51" s="27" t="s">
        <v>1848</v>
      </c>
      <c r="Q51" s="32" t="s">
        <v>18</v>
      </c>
      <c r="R51" s="36" t="s">
        <v>2071</v>
      </c>
    </row>
    <row r="52" spans="1:18" ht="27.6" customHeight="1" thickBot="1">
      <c r="A52" s="71" t="s">
        <v>63</v>
      </c>
      <c r="B52" s="72">
        <v>2</v>
      </c>
      <c r="C52" s="73" t="s">
        <v>64</v>
      </c>
      <c r="D52" s="74" t="s">
        <v>11</v>
      </c>
      <c r="E52" s="290">
        <v>31</v>
      </c>
      <c r="F52" s="743" t="s">
        <v>1911</v>
      </c>
      <c r="G52" s="250"/>
      <c r="H52" s="77">
        <v>29</v>
      </c>
      <c r="I52" s="78">
        <v>59</v>
      </c>
      <c r="J52" s="79">
        <v>49.8</v>
      </c>
      <c r="K52" s="251"/>
      <c r="L52" s="80">
        <v>129</v>
      </c>
      <c r="M52" s="78">
        <v>54</v>
      </c>
      <c r="N52" s="79">
        <v>37.1</v>
      </c>
      <c r="O52" s="81" t="s">
        <v>2066</v>
      </c>
      <c r="P52" s="73" t="s">
        <v>1848</v>
      </c>
      <c r="Q52" s="74" t="s">
        <v>18</v>
      </c>
      <c r="R52" s="82" t="s">
        <v>2072</v>
      </c>
    </row>
    <row r="53" spans="1:18" ht="36.75" customHeight="1" thickTop="1">
      <c r="A53" s="83" t="s">
        <v>122</v>
      </c>
      <c r="B53" s="84">
        <v>3</v>
      </c>
      <c r="C53" s="85" t="s">
        <v>123</v>
      </c>
      <c r="D53" s="86" t="s">
        <v>124</v>
      </c>
      <c r="E53" s="87">
        <v>1</v>
      </c>
      <c r="F53" s="88" t="s">
        <v>125</v>
      </c>
      <c r="G53" s="252" t="s">
        <v>1280</v>
      </c>
      <c r="H53" s="89">
        <v>28</v>
      </c>
      <c r="I53" s="90">
        <v>28</v>
      </c>
      <c r="J53" s="91">
        <v>15.9</v>
      </c>
      <c r="K53" s="253" t="s">
        <v>1281</v>
      </c>
      <c r="L53" s="89">
        <v>129</v>
      </c>
      <c r="M53" s="92">
        <v>38</v>
      </c>
      <c r="N53" s="93">
        <v>53.3</v>
      </c>
      <c r="O53" s="94" t="s">
        <v>126</v>
      </c>
      <c r="P53" s="95" t="s">
        <v>127</v>
      </c>
      <c r="Q53" s="92" t="s">
        <v>18</v>
      </c>
      <c r="R53" s="93" t="s">
        <v>128</v>
      </c>
    </row>
    <row r="54" spans="1:18" ht="36.75" customHeight="1">
      <c r="A54" s="25" t="s">
        <v>122</v>
      </c>
      <c r="B54" s="26">
        <v>3</v>
      </c>
      <c r="C54" s="27" t="s">
        <v>123</v>
      </c>
      <c r="D54" s="28" t="s">
        <v>124</v>
      </c>
      <c r="E54" s="29">
        <v>2</v>
      </c>
      <c r="F54" s="97" t="s">
        <v>129</v>
      </c>
      <c r="G54" s="242" t="s">
        <v>1282</v>
      </c>
      <c r="H54" s="31">
        <v>28</v>
      </c>
      <c r="I54" s="32">
        <v>24</v>
      </c>
      <c r="J54" s="33">
        <v>38.700000000000003</v>
      </c>
      <c r="K54" s="34" t="s">
        <v>1283</v>
      </c>
      <c r="L54" s="31">
        <v>129</v>
      </c>
      <c r="M54" s="35">
        <v>41</v>
      </c>
      <c r="N54" s="36">
        <v>24.1</v>
      </c>
      <c r="O54" s="37" t="s">
        <v>130</v>
      </c>
      <c r="P54" s="38" t="s">
        <v>131</v>
      </c>
      <c r="Q54" s="35" t="s">
        <v>18</v>
      </c>
      <c r="R54" s="36" t="s">
        <v>128</v>
      </c>
    </row>
    <row r="55" spans="1:18" ht="36.75" customHeight="1">
      <c r="A55" s="25" t="s">
        <v>122</v>
      </c>
      <c r="B55" s="26">
        <v>3</v>
      </c>
      <c r="C55" s="27" t="s">
        <v>123</v>
      </c>
      <c r="D55" s="28" t="s">
        <v>124</v>
      </c>
      <c r="E55" s="29">
        <v>3</v>
      </c>
      <c r="F55" s="97" t="s">
        <v>132</v>
      </c>
      <c r="G55" s="242" t="s">
        <v>1284</v>
      </c>
      <c r="H55" s="31">
        <v>28</v>
      </c>
      <c r="I55" s="32">
        <v>24</v>
      </c>
      <c r="J55" s="33">
        <v>9.3000000000000007</v>
      </c>
      <c r="K55" s="34" t="s">
        <v>1285</v>
      </c>
      <c r="L55" s="31">
        <v>129</v>
      </c>
      <c r="M55" s="35">
        <v>38</v>
      </c>
      <c r="N55" s="33">
        <v>15</v>
      </c>
      <c r="O55" s="37" t="s">
        <v>130</v>
      </c>
      <c r="P55" s="38" t="s">
        <v>131</v>
      </c>
      <c r="Q55" s="35" t="s">
        <v>18</v>
      </c>
      <c r="R55" s="36" t="s">
        <v>133</v>
      </c>
    </row>
    <row r="56" spans="1:18" ht="36.75" customHeight="1">
      <c r="A56" s="25" t="s">
        <v>122</v>
      </c>
      <c r="B56" s="26">
        <v>3</v>
      </c>
      <c r="C56" s="27" t="s">
        <v>123</v>
      </c>
      <c r="D56" s="28" t="s">
        <v>124</v>
      </c>
      <c r="E56" s="29">
        <v>4</v>
      </c>
      <c r="F56" s="97" t="s">
        <v>134</v>
      </c>
      <c r="G56" s="242" t="s">
        <v>1286</v>
      </c>
      <c r="H56" s="31">
        <v>28</v>
      </c>
      <c r="I56" s="32">
        <v>25</v>
      </c>
      <c r="J56" s="33">
        <v>45.1</v>
      </c>
      <c r="K56" s="34" t="s">
        <v>1287</v>
      </c>
      <c r="L56" s="31">
        <v>129</v>
      </c>
      <c r="M56" s="35">
        <v>35</v>
      </c>
      <c r="N56" s="36">
        <v>53.8</v>
      </c>
      <c r="O56" s="37" t="s">
        <v>135</v>
      </c>
      <c r="P56" s="38" t="s">
        <v>136</v>
      </c>
      <c r="Q56" s="35" t="s">
        <v>18</v>
      </c>
      <c r="R56" s="36" t="s">
        <v>35</v>
      </c>
    </row>
    <row r="57" spans="1:18" ht="36.75" customHeight="1">
      <c r="A57" s="25" t="s">
        <v>122</v>
      </c>
      <c r="B57" s="26">
        <v>3</v>
      </c>
      <c r="C57" s="27" t="s">
        <v>123</v>
      </c>
      <c r="D57" s="28" t="s">
        <v>124</v>
      </c>
      <c r="E57" s="29">
        <v>5</v>
      </c>
      <c r="F57" s="97" t="s">
        <v>137</v>
      </c>
      <c r="G57" s="242" t="s">
        <v>1288</v>
      </c>
      <c r="H57" s="31">
        <v>28</v>
      </c>
      <c r="I57" s="32">
        <v>28</v>
      </c>
      <c r="J57" s="33">
        <v>39.6</v>
      </c>
      <c r="K57" s="34" t="s">
        <v>1289</v>
      </c>
      <c r="L57" s="31">
        <v>129</v>
      </c>
      <c r="M57" s="35">
        <v>36</v>
      </c>
      <c r="N57" s="36">
        <v>35.299999999999997</v>
      </c>
      <c r="O57" s="37" t="s">
        <v>130</v>
      </c>
      <c r="P57" s="38" t="s">
        <v>131</v>
      </c>
      <c r="Q57" s="35" t="s">
        <v>18</v>
      </c>
      <c r="R57" s="36" t="s">
        <v>133</v>
      </c>
    </row>
    <row r="58" spans="1:18" ht="36.75" customHeight="1">
      <c r="A58" s="25" t="s">
        <v>122</v>
      </c>
      <c r="B58" s="26">
        <v>3</v>
      </c>
      <c r="C58" s="27" t="s">
        <v>123</v>
      </c>
      <c r="D58" s="28" t="s">
        <v>124</v>
      </c>
      <c r="E58" s="29">
        <v>6</v>
      </c>
      <c r="F58" s="97" t="s">
        <v>138</v>
      </c>
      <c r="G58" s="242" t="s">
        <v>1290</v>
      </c>
      <c r="H58" s="31">
        <v>28</v>
      </c>
      <c r="I58" s="32">
        <v>20</v>
      </c>
      <c r="J58" s="33">
        <v>15.2</v>
      </c>
      <c r="K58" s="34" t="s">
        <v>1291</v>
      </c>
      <c r="L58" s="31">
        <v>129</v>
      </c>
      <c r="M58" s="35">
        <v>34</v>
      </c>
      <c r="N58" s="36">
        <v>2.9</v>
      </c>
      <c r="O58" s="37" t="s">
        <v>139</v>
      </c>
      <c r="P58" s="38" t="s">
        <v>127</v>
      </c>
      <c r="Q58" s="35" t="s">
        <v>18</v>
      </c>
      <c r="R58" s="36" t="s">
        <v>35</v>
      </c>
    </row>
    <row r="59" spans="1:18" ht="36.75" customHeight="1">
      <c r="A59" s="25" t="s">
        <v>122</v>
      </c>
      <c r="B59" s="26">
        <v>3</v>
      </c>
      <c r="C59" s="27" t="s">
        <v>123</v>
      </c>
      <c r="D59" s="28" t="s">
        <v>124</v>
      </c>
      <c r="E59" s="29">
        <v>7</v>
      </c>
      <c r="F59" s="97" t="s">
        <v>140</v>
      </c>
      <c r="G59" s="242" t="s">
        <v>1292</v>
      </c>
      <c r="H59" s="31">
        <v>28</v>
      </c>
      <c r="I59" s="32">
        <v>19</v>
      </c>
      <c r="J59" s="33">
        <v>12.7</v>
      </c>
      <c r="K59" s="34" t="s">
        <v>1293</v>
      </c>
      <c r="L59" s="31">
        <v>129</v>
      </c>
      <c r="M59" s="35">
        <v>32</v>
      </c>
      <c r="N59" s="36">
        <v>3.5</v>
      </c>
      <c r="O59" s="37" t="s">
        <v>141</v>
      </c>
      <c r="P59" s="38" t="s">
        <v>131</v>
      </c>
      <c r="Q59" s="35" t="s">
        <v>18</v>
      </c>
      <c r="R59" s="36" t="s">
        <v>35</v>
      </c>
    </row>
    <row r="60" spans="1:18" ht="36.75" customHeight="1">
      <c r="A60" s="25" t="s">
        <v>122</v>
      </c>
      <c r="B60" s="26">
        <v>3</v>
      </c>
      <c r="C60" s="27" t="s">
        <v>123</v>
      </c>
      <c r="D60" s="28" t="s">
        <v>124</v>
      </c>
      <c r="E60" s="29">
        <v>8</v>
      </c>
      <c r="F60" s="97" t="s">
        <v>142</v>
      </c>
      <c r="G60" s="242" t="s">
        <v>1294</v>
      </c>
      <c r="H60" s="31">
        <v>28</v>
      </c>
      <c r="I60" s="32">
        <v>24</v>
      </c>
      <c r="J60" s="33">
        <v>46.2</v>
      </c>
      <c r="K60" s="34" t="s">
        <v>1295</v>
      </c>
      <c r="L60" s="31">
        <v>129</v>
      </c>
      <c r="M60" s="35">
        <v>27</v>
      </c>
      <c r="N60" s="36">
        <v>40.5</v>
      </c>
      <c r="O60" s="37" t="s">
        <v>130</v>
      </c>
      <c r="P60" s="38" t="s">
        <v>131</v>
      </c>
      <c r="Q60" s="35" t="s">
        <v>18</v>
      </c>
      <c r="R60" s="36" t="s">
        <v>133</v>
      </c>
    </row>
    <row r="61" spans="1:18" ht="36.75" customHeight="1">
      <c r="A61" s="25" t="s">
        <v>122</v>
      </c>
      <c r="B61" s="26">
        <v>3</v>
      </c>
      <c r="C61" s="27" t="s">
        <v>123</v>
      </c>
      <c r="D61" s="28" t="s">
        <v>124</v>
      </c>
      <c r="E61" s="29">
        <v>9</v>
      </c>
      <c r="F61" s="97" t="s">
        <v>143</v>
      </c>
      <c r="G61" s="242" t="s">
        <v>1296</v>
      </c>
      <c r="H61" s="31">
        <v>28</v>
      </c>
      <c r="I61" s="32">
        <v>24</v>
      </c>
      <c r="J61" s="33">
        <v>8.1</v>
      </c>
      <c r="K61" s="34" t="s">
        <v>1297</v>
      </c>
      <c r="L61" s="31">
        <v>129</v>
      </c>
      <c r="M61" s="35">
        <v>27</v>
      </c>
      <c r="N61" s="36">
        <v>10.9</v>
      </c>
      <c r="O61" s="37" t="s">
        <v>126</v>
      </c>
      <c r="P61" s="38" t="s">
        <v>127</v>
      </c>
      <c r="Q61" s="35" t="s">
        <v>18</v>
      </c>
      <c r="R61" s="36" t="s">
        <v>128</v>
      </c>
    </row>
    <row r="62" spans="1:18" ht="40.5" customHeight="1">
      <c r="A62" s="25" t="s">
        <v>122</v>
      </c>
      <c r="B62" s="26">
        <v>3</v>
      </c>
      <c r="C62" s="27" t="s">
        <v>123</v>
      </c>
      <c r="D62" s="28" t="s">
        <v>124</v>
      </c>
      <c r="E62" s="29">
        <v>10</v>
      </c>
      <c r="F62" s="97" t="s">
        <v>144</v>
      </c>
      <c r="G62" s="242" t="s">
        <v>1298</v>
      </c>
      <c r="H62" s="31">
        <v>28</v>
      </c>
      <c r="I62" s="32">
        <v>20</v>
      </c>
      <c r="J62" s="33">
        <v>46</v>
      </c>
      <c r="K62" s="34" t="s">
        <v>1299</v>
      </c>
      <c r="L62" s="31">
        <v>129</v>
      </c>
      <c r="M62" s="35">
        <v>18</v>
      </c>
      <c r="N62" s="36">
        <v>45.5</v>
      </c>
      <c r="O62" s="37" t="s">
        <v>126</v>
      </c>
      <c r="P62" s="38" t="s">
        <v>127</v>
      </c>
      <c r="Q62" s="35" t="s">
        <v>18</v>
      </c>
      <c r="R62" s="36" t="s">
        <v>128</v>
      </c>
    </row>
    <row r="63" spans="1:18" ht="40.5" customHeight="1">
      <c r="A63" s="25" t="s">
        <v>122</v>
      </c>
      <c r="B63" s="26">
        <v>3</v>
      </c>
      <c r="C63" s="27" t="s">
        <v>123</v>
      </c>
      <c r="D63" s="28" t="s">
        <v>124</v>
      </c>
      <c r="E63" s="29">
        <v>11</v>
      </c>
      <c r="F63" s="97" t="s">
        <v>145</v>
      </c>
      <c r="G63" s="242" t="s">
        <v>1300</v>
      </c>
      <c r="H63" s="31">
        <v>28</v>
      </c>
      <c r="I63" s="32">
        <v>17</v>
      </c>
      <c r="J63" s="33">
        <v>33.4</v>
      </c>
      <c r="K63" s="34" t="s">
        <v>1301</v>
      </c>
      <c r="L63" s="31">
        <v>129</v>
      </c>
      <c r="M63" s="35">
        <v>28</v>
      </c>
      <c r="N63" s="36">
        <v>31.6</v>
      </c>
      <c r="O63" s="37" t="s">
        <v>126</v>
      </c>
      <c r="P63" s="38" t="s">
        <v>127</v>
      </c>
      <c r="Q63" s="35" t="s">
        <v>18</v>
      </c>
      <c r="R63" s="36" t="s">
        <v>133</v>
      </c>
    </row>
    <row r="64" spans="1:18" ht="36.75" customHeight="1">
      <c r="A64" s="25" t="s">
        <v>122</v>
      </c>
      <c r="B64" s="26">
        <v>3</v>
      </c>
      <c r="C64" s="27" t="s">
        <v>123</v>
      </c>
      <c r="D64" s="28" t="s">
        <v>124</v>
      </c>
      <c r="E64" s="29">
        <v>12</v>
      </c>
      <c r="F64" s="97" t="s">
        <v>146</v>
      </c>
      <c r="G64" s="242" t="s">
        <v>1302</v>
      </c>
      <c r="H64" s="31">
        <v>28</v>
      </c>
      <c r="I64" s="32">
        <v>11</v>
      </c>
      <c r="J64" s="33">
        <v>59.3</v>
      </c>
      <c r="K64" s="34" t="s">
        <v>1303</v>
      </c>
      <c r="L64" s="31">
        <v>129</v>
      </c>
      <c r="M64" s="35">
        <v>12</v>
      </c>
      <c r="N64" s="33">
        <v>8</v>
      </c>
      <c r="O64" s="37" t="s">
        <v>126</v>
      </c>
      <c r="P64" s="38" t="s">
        <v>127</v>
      </c>
      <c r="Q64" s="35" t="s">
        <v>18</v>
      </c>
      <c r="R64" s="36" t="s">
        <v>133</v>
      </c>
    </row>
    <row r="65" spans="1:18" ht="39.75" customHeight="1">
      <c r="A65" s="25" t="s">
        <v>122</v>
      </c>
      <c r="B65" s="26">
        <v>3</v>
      </c>
      <c r="C65" s="27" t="s">
        <v>123</v>
      </c>
      <c r="D65" s="28" t="s">
        <v>124</v>
      </c>
      <c r="E65" s="29">
        <v>13</v>
      </c>
      <c r="F65" s="97" t="s">
        <v>147</v>
      </c>
      <c r="G65" s="242" t="s">
        <v>1304</v>
      </c>
      <c r="H65" s="31">
        <v>28</v>
      </c>
      <c r="I65" s="32">
        <v>11</v>
      </c>
      <c r="J65" s="33">
        <v>19.600000000000001</v>
      </c>
      <c r="K65" s="34" t="s">
        <v>1305</v>
      </c>
      <c r="L65" s="31">
        <v>129</v>
      </c>
      <c r="M65" s="35">
        <v>14</v>
      </c>
      <c r="N65" s="36">
        <v>37.799999999999997</v>
      </c>
      <c r="O65" s="37" t="s">
        <v>126</v>
      </c>
      <c r="P65" s="38" t="s">
        <v>127</v>
      </c>
      <c r="Q65" s="35" t="s">
        <v>18</v>
      </c>
      <c r="R65" s="36" t="s">
        <v>128</v>
      </c>
    </row>
    <row r="66" spans="1:18" ht="36.75" customHeight="1">
      <c r="A66" s="25" t="s">
        <v>122</v>
      </c>
      <c r="B66" s="26">
        <v>3</v>
      </c>
      <c r="C66" s="27" t="s">
        <v>123</v>
      </c>
      <c r="D66" s="28" t="s">
        <v>124</v>
      </c>
      <c r="E66" s="29">
        <v>14</v>
      </c>
      <c r="F66" s="97" t="s">
        <v>148</v>
      </c>
      <c r="G66" s="242" t="s">
        <v>1306</v>
      </c>
      <c r="H66" s="31">
        <v>28</v>
      </c>
      <c r="I66" s="32">
        <v>9</v>
      </c>
      <c r="J66" s="33">
        <v>37.200000000000003</v>
      </c>
      <c r="K66" s="34" t="s">
        <v>1307</v>
      </c>
      <c r="L66" s="31">
        <v>129</v>
      </c>
      <c r="M66" s="35">
        <v>17</v>
      </c>
      <c r="N66" s="36">
        <v>35.1</v>
      </c>
      <c r="O66" s="37" t="s">
        <v>135</v>
      </c>
      <c r="P66" s="38" t="s">
        <v>149</v>
      </c>
      <c r="Q66" s="35" t="s">
        <v>18</v>
      </c>
      <c r="R66" s="36" t="s">
        <v>96</v>
      </c>
    </row>
    <row r="67" spans="1:18" ht="36.75" customHeight="1" thickBot="1">
      <c r="A67" s="46" t="s">
        <v>122</v>
      </c>
      <c r="B67" s="47">
        <v>3</v>
      </c>
      <c r="C67" s="48" t="s">
        <v>123</v>
      </c>
      <c r="D67" s="49" t="s">
        <v>124</v>
      </c>
      <c r="E67" s="50">
        <v>15</v>
      </c>
      <c r="F67" s="98" t="s">
        <v>150</v>
      </c>
      <c r="G67" s="246" t="s">
        <v>1308</v>
      </c>
      <c r="H67" s="99">
        <v>28</v>
      </c>
      <c r="I67" s="100">
        <v>6</v>
      </c>
      <c r="J67" s="101">
        <v>42.2</v>
      </c>
      <c r="K67" s="188" t="s">
        <v>1309</v>
      </c>
      <c r="L67" s="99">
        <v>129</v>
      </c>
      <c r="M67" s="56">
        <v>20</v>
      </c>
      <c r="N67" s="53">
        <v>49.4</v>
      </c>
      <c r="O67" s="54" t="s">
        <v>126</v>
      </c>
      <c r="P67" s="55" t="s">
        <v>127</v>
      </c>
      <c r="Q67" s="56" t="s">
        <v>18</v>
      </c>
      <c r="R67" s="53" t="s">
        <v>151</v>
      </c>
    </row>
    <row r="68" spans="1:18" ht="27.6" customHeight="1" thickTop="1">
      <c r="A68" s="57" t="s">
        <v>152</v>
      </c>
      <c r="B68" s="58">
        <v>4</v>
      </c>
      <c r="C68" s="60" t="s">
        <v>153</v>
      </c>
      <c r="D68" s="64" t="s">
        <v>154</v>
      </c>
      <c r="E68" s="61">
        <v>1</v>
      </c>
      <c r="F68" s="102" t="s">
        <v>155</v>
      </c>
      <c r="G68" s="248" t="s">
        <v>1310</v>
      </c>
      <c r="H68" s="103">
        <v>26</v>
      </c>
      <c r="I68" s="60">
        <v>4</v>
      </c>
      <c r="J68" s="104">
        <v>32.9</v>
      </c>
      <c r="K68" s="254" t="s">
        <v>1311</v>
      </c>
      <c r="L68" s="103">
        <v>127</v>
      </c>
      <c r="M68" s="105">
        <v>40</v>
      </c>
      <c r="N68" s="65">
        <v>28.3</v>
      </c>
      <c r="O68" s="106" t="s">
        <v>1312</v>
      </c>
      <c r="P68" s="107" t="s">
        <v>156</v>
      </c>
      <c r="Q68" s="105" t="s">
        <v>1313</v>
      </c>
      <c r="R68" s="65" t="s">
        <v>157</v>
      </c>
    </row>
    <row r="69" spans="1:18" ht="27.6" customHeight="1">
      <c r="A69" s="25" t="s">
        <v>152</v>
      </c>
      <c r="B69" s="26">
        <v>4</v>
      </c>
      <c r="C69" s="32" t="s">
        <v>153</v>
      </c>
      <c r="D69" s="28" t="s">
        <v>154</v>
      </c>
      <c r="E69" s="29">
        <v>2</v>
      </c>
      <c r="F69" s="97" t="s">
        <v>158</v>
      </c>
      <c r="G69" s="242" t="s">
        <v>1314</v>
      </c>
      <c r="H69" s="31">
        <v>26</v>
      </c>
      <c r="I69" s="32">
        <v>5</v>
      </c>
      <c r="J69" s="33">
        <v>25.7</v>
      </c>
      <c r="K69" s="255" t="s">
        <v>1315</v>
      </c>
      <c r="L69" s="31">
        <v>127</v>
      </c>
      <c r="M69" s="35">
        <v>42</v>
      </c>
      <c r="N69" s="36">
        <v>32.5</v>
      </c>
      <c r="O69" s="37" t="s">
        <v>1316</v>
      </c>
      <c r="P69" s="38" t="s">
        <v>159</v>
      </c>
      <c r="Q69" s="35" t="s">
        <v>1313</v>
      </c>
      <c r="R69" s="36" t="s">
        <v>160</v>
      </c>
    </row>
    <row r="70" spans="1:18" ht="27.6" customHeight="1">
      <c r="A70" s="25" t="s">
        <v>152</v>
      </c>
      <c r="B70" s="26">
        <v>4</v>
      </c>
      <c r="C70" s="32" t="s">
        <v>153</v>
      </c>
      <c r="D70" s="28" t="s">
        <v>154</v>
      </c>
      <c r="E70" s="29">
        <v>3</v>
      </c>
      <c r="F70" s="97" t="s">
        <v>161</v>
      </c>
      <c r="G70" s="242" t="s">
        <v>1314</v>
      </c>
      <c r="H70" s="31">
        <v>26</v>
      </c>
      <c r="I70" s="32">
        <v>5</v>
      </c>
      <c r="J70" s="33">
        <v>25.7</v>
      </c>
      <c r="K70" s="255" t="s">
        <v>1315</v>
      </c>
      <c r="L70" s="31">
        <v>127</v>
      </c>
      <c r="M70" s="35">
        <v>42</v>
      </c>
      <c r="N70" s="36">
        <v>32.5</v>
      </c>
      <c r="O70" s="37" t="s">
        <v>1312</v>
      </c>
      <c r="P70" s="38" t="s">
        <v>162</v>
      </c>
      <c r="Q70" s="35" t="s">
        <v>1313</v>
      </c>
      <c r="R70" s="36" t="s">
        <v>112</v>
      </c>
    </row>
    <row r="71" spans="1:18" ht="27.6" customHeight="1">
      <c r="A71" s="25" t="s">
        <v>152</v>
      </c>
      <c r="B71" s="26">
        <v>4</v>
      </c>
      <c r="C71" s="32" t="s">
        <v>153</v>
      </c>
      <c r="D71" s="28" t="s">
        <v>154</v>
      </c>
      <c r="E71" s="29">
        <v>4</v>
      </c>
      <c r="F71" s="97" t="s">
        <v>163</v>
      </c>
      <c r="G71" s="242" t="s">
        <v>1317</v>
      </c>
      <c r="H71" s="31">
        <v>26</v>
      </c>
      <c r="I71" s="32">
        <v>5</v>
      </c>
      <c r="J71" s="33">
        <v>22.8</v>
      </c>
      <c r="K71" s="255" t="s">
        <v>1318</v>
      </c>
      <c r="L71" s="31">
        <v>127</v>
      </c>
      <c r="M71" s="35">
        <v>43</v>
      </c>
      <c r="N71" s="36">
        <v>8.9</v>
      </c>
      <c r="O71" s="37" t="s">
        <v>1312</v>
      </c>
      <c r="P71" s="38" t="s">
        <v>164</v>
      </c>
      <c r="Q71" s="35" t="s">
        <v>1313</v>
      </c>
      <c r="R71" s="36" t="s">
        <v>112</v>
      </c>
    </row>
    <row r="72" spans="1:18" ht="27.6" customHeight="1">
      <c r="A72" s="25" t="s">
        <v>152</v>
      </c>
      <c r="B72" s="26">
        <v>4</v>
      </c>
      <c r="C72" s="32" t="s">
        <v>153</v>
      </c>
      <c r="D72" s="28" t="s">
        <v>154</v>
      </c>
      <c r="E72" s="29">
        <v>5</v>
      </c>
      <c r="F72" s="97" t="s">
        <v>165</v>
      </c>
      <c r="G72" s="242" t="s">
        <v>1319</v>
      </c>
      <c r="H72" s="31">
        <v>26</v>
      </c>
      <c r="I72" s="32">
        <v>7</v>
      </c>
      <c r="J72" s="33">
        <v>39.799999999999997</v>
      </c>
      <c r="K72" s="255" t="s">
        <v>1320</v>
      </c>
      <c r="L72" s="31">
        <v>127</v>
      </c>
      <c r="M72" s="35">
        <v>46</v>
      </c>
      <c r="N72" s="36">
        <v>17.3</v>
      </c>
      <c r="O72" s="37" t="s">
        <v>1316</v>
      </c>
      <c r="P72" s="38" t="s">
        <v>156</v>
      </c>
      <c r="Q72" s="35" t="s">
        <v>1313</v>
      </c>
      <c r="R72" s="36" t="s">
        <v>160</v>
      </c>
    </row>
    <row r="73" spans="1:18" ht="27.6" customHeight="1">
      <c r="A73" s="25" t="s">
        <v>152</v>
      </c>
      <c r="B73" s="26">
        <v>4</v>
      </c>
      <c r="C73" s="32" t="s">
        <v>153</v>
      </c>
      <c r="D73" s="28" t="s">
        <v>154</v>
      </c>
      <c r="E73" s="29">
        <v>6</v>
      </c>
      <c r="F73" s="97" t="s">
        <v>166</v>
      </c>
      <c r="G73" s="242" t="s">
        <v>1319</v>
      </c>
      <c r="H73" s="31">
        <v>26</v>
      </c>
      <c r="I73" s="32">
        <v>7</v>
      </c>
      <c r="J73" s="33">
        <v>39.799999999999997</v>
      </c>
      <c r="K73" s="255" t="s">
        <v>1320</v>
      </c>
      <c r="L73" s="31">
        <v>127</v>
      </c>
      <c r="M73" s="35">
        <v>46</v>
      </c>
      <c r="N73" s="36">
        <v>17.3</v>
      </c>
      <c r="O73" s="37" t="s">
        <v>1312</v>
      </c>
      <c r="P73" s="38" t="s">
        <v>156</v>
      </c>
      <c r="Q73" s="35" t="s">
        <v>1313</v>
      </c>
      <c r="R73" s="36" t="s">
        <v>112</v>
      </c>
    </row>
    <row r="74" spans="1:18" ht="27.6" customHeight="1">
      <c r="A74" s="25" t="s">
        <v>152</v>
      </c>
      <c r="B74" s="26">
        <v>4</v>
      </c>
      <c r="C74" s="32" t="s">
        <v>153</v>
      </c>
      <c r="D74" s="28" t="s">
        <v>154</v>
      </c>
      <c r="E74" s="29">
        <v>7</v>
      </c>
      <c r="F74" s="97" t="s">
        <v>167</v>
      </c>
      <c r="G74" s="242" t="s">
        <v>1321</v>
      </c>
      <c r="H74" s="31">
        <v>26</v>
      </c>
      <c r="I74" s="32">
        <v>8</v>
      </c>
      <c r="J74" s="33">
        <v>31.1</v>
      </c>
      <c r="K74" s="255" t="s">
        <v>1322</v>
      </c>
      <c r="L74" s="31">
        <v>127</v>
      </c>
      <c r="M74" s="35">
        <v>51</v>
      </c>
      <c r="N74" s="33">
        <v>10</v>
      </c>
      <c r="O74" s="37" t="s">
        <v>1312</v>
      </c>
      <c r="P74" s="38" t="s">
        <v>162</v>
      </c>
      <c r="Q74" s="35" t="s">
        <v>1313</v>
      </c>
      <c r="R74" s="36" t="s">
        <v>168</v>
      </c>
    </row>
    <row r="75" spans="1:18" ht="27.6" customHeight="1">
      <c r="A75" s="25" t="s">
        <v>152</v>
      </c>
      <c r="B75" s="26">
        <v>4</v>
      </c>
      <c r="C75" s="32" t="s">
        <v>153</v>
      </c>
      <c r="D75" s="28" t="s">
        <v>154</v>
      </c>
      <c r="E75" s="29">
        <v>8</v>
      </c>
      <c r="F75" s="97" t="s">
        <v>169</v>
      </c>
      <c r="G75" s="242" t="s">
        <v>1323</v>
      </c>
      <c r="H75" s="31">
        <v>26</v>
      </c>
      <c r="I75" s="32">
        <v>9</v>
      </c>
      <c r="J75" s="33">
        <v>1.7</v>
      </c>
      <c r="K75" s="255" t="s">
        <v>1324</v>
      </c>
      <c r="L75" s="31">
        <v>127</v>
      </c>
      <c r="M75" s="35">
        <v>53</v>
      </c>
      <c r="N75" s="36">
        <v>16.3</v>
      </c>
      <c r="O75" s="37" t="s">
        <v>1312</v>
      </c>
      <c r="P75" s="38" t="s">
        <v>162</v>
      </c>
      <c r="Q75" s="35" t="s">
        <v>1313</v>
      </c>
      <c r="R75" s="36" t="s">
        <v>112</v>
      </c>
    </row>
    <row r="76" spans="1:18" ht="27.6" customHeight="1">
      <c r="A76" s="25" t="s">
        <v>152</v>
      </c>
      <c r="B76" s="26">
        <v>4</v>
      </c>
      <c r="C76" s="32" t="s">
        <v>153</v>
      </c>
      <c r="D76" s="28" t="s">
        <v>154</v>
      </c>
      <c r="E76" s="29">
        <v>9</v>
      </c>
      <c r="F76" s="97" t="s">
        <v>170</v>
      </c>
      <c r="G76" s="242" t="s">
        <v>1325</v>
      </c>
      <c r="H76" s="31">
        <v>26</v>
      </c>
      <c r="I76" s="32">
        <v>10</v>
      </c>
      <c r="J76" s="33">
        <v>36.6</v>
      </c>
      <c r="K76" s="255" t="s">
        <v>1326</v>
      </c>
      <c r="L76" s="31">
        <v>127</v>
      </c>
      <c r="M76" s="35">
        <v>55</v>
      </c>
      <c r="N76" s="33">
        <v>49</v>
      </c>
      <c r="O76" s="37" t="s">
        <v>1312</v>
      </c>
      <c r="P76" s="38" t="s">
        <v>162</v>
      </c>
      <c r="Q76" s="35" t="s">
        <v>1313</v>
      </c>
      <c r="R76" s="36" t="s">
        <v>112</v>
      </c>
    </row>
    <row r="77" spans="1:18" ht="27.6" customHeight="1">
      <c r="A77" s="25" t="s">
        <v>152</v>
      </c>
      <c r="B77" s="26">
        <v>4</v>
      </c>
      <c r="C77" s="32" t="s">
        <v>153</v>
      </c>
      <c r="D77" s="28" t="s">
        <v>154</v>
      </c>
      <c r="E77" s="29">
        <v>10</v>
      </c>
      <c r="F77" s="97" t="s">
        <v>171</v>
      </c>
      <c r="G77" s="242" t="s">
        <v>1327</v>
      </c>
      <c r="H77" s="31">
        <v>26</v>
      </c>
      <c r="I77" s="32">
        <v>14</v>
      </c>
      <c r="J77" s="33">
        <v>44.1</v>
      </c>
      <c r="K77" s="255" t="s">
        <v>1328</v>
      </c>
      <c r="L77" s="31">
        <v>127</v>
      </c>
      <c r="M77" s="35">
        <v>57</v>
      </c>
      <c r="N77" s="36">
        <v>19.5</v>
      </c>
      <c r="O77" s="37" t="s">
        <v>1312</v>
      </c>
      <c r="P77" s="38" t="s">
        <v>162</v>
      </c>
      <c r="Q77" s="35" t="s">
        <v>1313</v>
      </c>
      <c r="R77" s="36" t="s">
        <v>172</v>
      </c>
    </row>
    <row r="78" spans="1:18" ht="27.6" customHeight="1">
      <c r="A78" s="25" t="s">
        <v>152</v>
      </c>
      <c r="B78" s="26">
        <v>4</v>
      </c>
      <c r="C78" s="32" t="s">
        <v>153</v>
      </c>
      <c r="D78" s="28" t="s">
        <v>154</v>
      </c>
      <c r="E78" s="29">
        <v>11</v>
      </c>
      <c r="F78" s="97" t="s">
        <v>173</v>
      </c>
      <c r="G78" s="242"/>
      <c r="H78" s="31">
        <v>26</v>
      </c>
      <c r="I78" s="32">
        <v>16</v>
      </c>
      <c r="J78" s="108">
        <v>46.4</v>
      </c>
      <c r="K78" s="34" t="s">
        <v>174</v>
      </c>
      <c r="L78" s="31">
        <v>127</v>
      </c>
      <c r="M78" s="32">
        <v>57</v>
      </c>
      <c r="N78" s="108">
        <v>40.200000000000003</v>
      </c>
      <c r="O78" s="45" t="s">
        <v>175</v>
      </c>
      <c r="P78" s="32" t="s">
        <v>176</v>
      </c>
      <c r="Q78" s="35" t="s">
        <v>1313</v>
      </c>
      <c r="R78" s="36" t="s">
        <v>172</v>
      </c>
    </row>
    <row r="79" spans="1:18" ht="27.6" customHeight="1">
      <c r="A79" s="25" t="s">
        <v>152</v>
      </c>
      <c r="B79" s="26">
        <v>4</v>
      </c>
      <c r="C79" s="32" t="s">
        <v>153</v>
      </c>
      <c r="D79" s="28" t="s">
        <v>154</v>
      </c>
      <c r="E79" s="29">
        <v>12</v>
      </c>
      <c r="F79" s="97" t="s">
        <v>177</v>
      </c>
      <c r="G79" s="242" t="s">
        <v>1329</v>
      </c>
      <c r="H79" s="31">
        <v>26</v>
      </c>
      <c r="I79" s="32">
        <v>17</v>
      </c>
      <c r="J79" s="33">
        <v>2.2000000000000002</v>
      </c>
      <c r="K79" s="255" t="s">
        <v>1330</v>
      </c>
      <c r="L79" s="31">
        <v>127</v>
      </c>
      <c r="M79" s="35">
        <v>59</v>
      </c>
      <c r="N79" s="36">
        <v>17.2</v>
      </c>
      <c r="O79" s="37" t="s">
        <v>1312</v>
      </c>
      <c r="P79" s="38" t="s">
        <v>162</v>
      </c>
      <c r="Q79" s="35" t="s">
        <v>1313</v>
      </c>
      <c r="R79" s="36" t="s">
        <v>172</v>
      </c>
    </row>
    <row r="80" spans="1:18" ht="27.6" customHeight="1">
      <c r="A80" s="25" t="s">
        <v>152</v>
      </c>
      <c r="B80" s="26">
        <v>4</v>
      </c>
      <c r="C80" s="32" t="s">
        <v>153</v>
      </c>
      <c r="D80" s="28" t="s">
        <v>154</v>
      </c>
      <c r="E80" s="29">
        <v>13</v>
      </c>
      <c r="F80" s="97" t="s">
        <v>178</v>
      </c>
      <c r="G80" s="242"/>
      <c r="H80" s="31">
        <v>26</v>
      </c>
      <c r="I80" s="32">
        <v>18</v>
      </c>
      <c r="J80" s="108">
        <v>22.7</v>
      </c>
      <c r="K80" s="255"/>
      <c r="L80" s="31">
        <v>127</v>
      </c>
      <c r="M80" s="32">
        <v>0</v>
      </c>
      <c r="N80" s="108">
        <v>9.1</v>
      </c>
      <c r="O80" s="45" t="s">
        <v>175</v>
      </c>
      <c r="P80" s="38" t="s">
        <v>179</v>
      </c>
      <c r="Q80" s="35" t="s">
        <v>1313</v>
      </c>
      <c r="R80" s="36" t="s">
        <v>168</v>
      </c>
    </row>
    <row r="81" spans="1:18" ht="27.6" customHeight="1">
      <c r="A81" s="25" t="s">
        <v>152</v>
      </c>
      <c r="B81" s="26">
        <v>4</v>
      </c>
      <c r="C81" s="32" t="s">
        <v>153</v>
      </c>
      <c r="D81" s="28" t="s">
        <v>154</v>
      </c>
      <c r="E81" s="29">
        <v>14</v>
      </c>
      <c r="F81" s="97" t="s">
        <v>180</v>
      </c>
      <c r="G81" s="242" t="s">
        <v>1331</v>
      </c>
      <c r="H81" s="31">
        <v>26</v>
      </c>
      <c r="I81" s="32">
        <v>23</v>
      </c>
      <c r="J81" s="33">
        <v>1.5</v>
      </c>
      <c r="K81" s="255" t="s">
        <v>1332</v>
      </c>
      <c r="L81" s="31">
        <v>127</v>
      </c>
      <c r="M81" s="35">
        <v>59</v>
      </c>
      <c r="N81" s="36">
        <v>53.2</v>
      </c>
      <c r="O81" s="37" t="s">
        <v>1333</v>
      </c>
      <c r="P81" s="38" t="s">
        <v>181</v>
      </c>
      <c r="Q81" s="35" t="s">
        <v>1313</v>
      </c>
      <c r="R81" s="36" t="s">
        <v>160</v>
      </c>
    </row>
    <row r="82" spans="1:18" ht="27.6" customHeight="1">
      <c r="A82" s="25" t="s">
        <v>152</v>
      </c>
      <c r="B82" s="26">
        <v>4</v>
      </c>
      <c r="C82" s="32" t="s">
        <v>153</v>
      </c>
      <c r="D82" s="28" t="s">
        <v>154</v>
      </c>
      <c r="E82" s="29">
        <v>15</v>
      </c>
      <c r="F82" s="97" t="s">
        <v>182</v>
      </c>
      <c r="G82" s="242" t="s">
        <v>1331</v>
      </c>
      <c r="H82" s="31">
        <v>26</v>
      </c>
      <c r="I82" s="32">
        <v>23</v>
      </c>
      <c r="J82" s="33">
        <v>1.5</v>
      </c>
      <c r="K82" s="255" t="s">
        <v>1332</v>
      </c>
      <c r="L82" s="31">
        <v>127</v>
      </c>
      <c r="M82" s="35">
        <v>59</v>
      </c>
      <c r="N82" s="36">
        <v>53.2</v>
      </c>
      <c r="O82" s="37" t="s">
        <v>1312</v>
      </c>
      <c r="P82" s="38" t="s">
        <v>162</v>
      </c>
      <c r="Q82" s="35" t="s">
        <v>1313</v>
      </c>
      <c r="R82" s="36" t="s">
        <v>183</v>
      </c>
    </row>
    <row r="83" spans="1:18" ht="27.6" customHeight="1">
      <c r="A83" s="25" t="s">
        <v>152</v>
      </c>
      <c r="B83" s="26">
        <v>4</v>
      </c>
      <c r="C83" s="32" t="s">
        <v>153</v>
      </c>
      <c r="D83" s="28" t="s">
        <v>154</v>
      </c>
      <c r="E83" s="29">
        <v>16</v>
      </c>
      <c r="F83" s="97" t="s">
        <v>1334</v>
      </c>
      <c r="G83" s="242" t="s">
        <v>1335</v>
      </c>
      <c r="H83" s="31">
        <v>26</v>
      </c>
      <c r="I83" s="32">
        <v>35</v>
      </c>
      <c r="J83" s="33">
        <v>55.9</v>
      </c>
      <c r="K83" s="255" t="s">
        <v>1336</v>
      </c>
      <c r="L83" s="31">
        <v>128</v>
      </c>
      <c r="M83" s="35">
        <v>9</v>
      </c>
      <c r="N83" s="36">
        <v>24.5</v>
      </c>
      <c r="O83" s="37" t="s">
        <v>1312</v>
      </c>
      <c r="P83" s="38" t="s">
        <v>184</v>
      </c>
      <c r="Q83" s="35" t="s">
        <v>1313</v>
      </c>
      <c r="R83" s="36" t="s">
        <v>160</v>
      </c>
    </row>
    <row r="84" spans="1:18" ht="27.6" customHeight="1">
      <c r="A84" s="25" t="s">
        <v>152</v>
      </c>
      <c r="B84" s="26">
        <v>4</v>
      </c>
      <c r="C84" s="32" t="s">
        <v>153</v>
      </c>
      <c r="D84" s="28" t="s">
        <v>154</v>
      </c>
      <c r="E84" s="29">
        <v>17</v>
      </c>
      <c r="F84" s="97" t="s">
        <v>185</v>
      </c>
      <c r="G84" s="242" t="s">
        <v>1337</v>
      </c>
      <c r="H84" s="31">
        <v>26</v>
      </c>
      <c r="I84" s="32">
        <v>36</v>
      </c>
      <c r="J84" s="33">
        <v>53.2</v>
      </c>
      <c r="K84" s="255" t="s">
        <v>1338</v>
      </c>
      <c r="L84" s="31">
        <v>128</v>
      </c>
      <c r="M84" s="35">
        <v>10</v>
      </c>
      <c r="N84" s="36">
        <v>50.1</v>
      </c>
      <c r="O84" s="37" t="s">
        <v>1312</v>
      </c>
      <c r="P84" s="38" t="s">
        <v>184</v>
      </c>
      <c r="Q84" s="35" t="s">
        <v>1313</v>
      </c>
      <c r="R84" s="36" t="s">
        <v>172</v>
      </c>
    </row>
    <row r="85" spans="1:18" ht="27.6" customHeight="1">
      <c r="A85" s="25" t="s">
        <v>152</v>
      </c>
      <c r="B85" s="26">
        <v>4</v>
      </c>
      <c r="C85" s="32" t="s">
        <v>153</v>
      </c>
      <c r="D85" s="28" t="s">
        <v>154</v>
      </c>
      <c r="E85" s="29">
        <v>18</v>
      </c>
      <c r="F85" s="97" t="s">
        <v>186</v>
      </c>
      <c r="G85" s="242" t="s">
        <v>1339</v>
      </c>
      <c r="H85" s="31">
        <v>26</v>
      </c>
      <c r="I85" s="32">
        <v>40</v>
      </c>
      <c r="J85" s="33">
        <v>7.1</v>
      </c>
      <c r="K85" s="255" t="s">
        <v>1340</v>
      </c>
      <c r="L85" s="31">
        <v>128</v>
      </c>
      <c r="M85" s="35">
        <v>16</v>
      </c>
      <c r="N85" s="33">
        <v>19</v>
      </c>
      <c r="O85" s="37" t="s">
        <v>1312</v>
      </c>
      <c r="P85" s="38" t="s">
        <v>164</v>
      </c>
      <c r="Q85" s="35" t="s">
        <v>1313</v>
      </c>
      <c r="R85" s="36" t="s">
        <v>112</v>
      </c>
    </row>
    <row r="86" spans="1:18" ht="27.6" customHeight="1">
      <c r="A86" s="25" t="s">
        <v>152</v>
      </c>
      <c r="B86" s="26">
        <v>4</v>
      </c>
      <c r="C86" s="32" t="s">
        <v>153</v>
      </c>
      <c r="D86" s="28" t="s">
        <v>154</v>
      </c>
      <c r="E86" s="29">
        <v>19</v>
      </c>
      <c r="F86" s="97" t="s">
        <v>1341</v>
      </c>
      <c r="G86" s="242" t="s">
        <v>1342</v>
      </c>
      <c r="H86" s="31">
        <v>26</v>
      </c>
      <c r="I86" s="32">
        <v>42</v>
      </c>
      <c r="J86" s="33">
        <v>26.3</v>
      </c>
      <c r="K86" s="255" t="s">
        <v>1343</v>
      </c>
      <c r="L86" s="31">
        <v>128</v>
      </c>
      <c r="M86" s="35">
        <v>17</v>
      </c>
      <c r="N86" s="36">
        <v>38.700000000000003</v>
      </c>
      <c r="O86" s="37" t="s">
        <v>1312</v>
      </c>
      <c r="P86" s="38" t="s">
        <v>181</v>
      </c>
      <c r="Q86" s="35" t="s">
        <v>1313</v>
      </c>
      <c r="R86" s="36" t="s">
        <v>112</v>
      </c>
    </row>
    <row r="87" spans="1:18" ht="27.6" customHeight="1">
      <c r="A87" s="25" t="s">
        <v>152</v>
      </c>
      <c r="B87" s="26">
        <v>4</v>
      </c>
      <c r="C87" s="32" t="s">
        <v>153</v>
      </c>
      <c r="D87" s="28" t="s">
        <v>154</v>
      </c>
      <c r="E87" s="29">
        <v>20</v>
      </c>
      <c r="F87" s="97" t="s">
        <v>1344</v>
      </c>
      <c r="G87" s="242" t="s">
        <v>1345</v>
      </c>
      <c r="H87" s="31">
        <v>26</v>
      </c>
      <c r="I87" s="32">
        <v>43</v>
      </c>
      <c r="J87" s="33">
        <v>10.7</v>
      </c>
      <c r="K87" s="255" t="s">
        <v>1346</v>
      </c>
      <c r="L87" s="31">
        <v>128</v>
      </c>
      <c r="M87" s="35">
        <v>18</v>
      </c>
      <c r="N87" s="36">
        <v>11.6</v>
      </c>
      <c r="O87" s="37" t="s">
        <v>1312</v>
      </c>
      <c r="P87" s="38" t="s">
        <v>184</v>
      </c>
      <c r="Q87" s="35" t="s">
        <v>1313</v>
      </c>
      <c r="R87" s="36" t="s">
        <v>172</v>
      </c>
    </row>
    <row r="88" spans="1:18" ht="27.6" customHeight="1">
      <c r="A88" s="25" t="s">
        <v>152</v>
      </c>
      <c r="B88" s="26">
        <v>4</v>
      </c>
      <c r="C88" s="32" t="s">
        <v>153</v>
      </c>
      <c r="D88" s="28" t="s">
        <v>154</v>
      </c>
      <c r="E88" s="29">
        <v>21</v>
      </c>
      <c r="F88" s="97" t="s">
        <v>1347</v>
      </c>
      <c r="G88" s="242" t="s">
        <v>1348</v>
      </c>
      <c r="H88" s="31">
        <v>26</v>
      </c>
      <c r="I88" s="32">
        <v>43</v>
      </c>
      <c r="J88" s="33">
        <v>40.9</v>
      </c>
      <c r="K88" s="255" t="s">
        <v>1349</v>
      </c>
      <c r="L88" s="31">
        <v>128</v>
      </c>
      <c r="M88" s="35">
        <v>18</v>
      </c>
      <c r="N88" s="36">
        <v>40.4</v>
      </c>
      <c r="O88" s="37" t="s">
        <v>1312</v>
      </c>
      <c r="P88" s="38" t="s">
        <v>156</v>
      </c>
      <c r="Q88" s="35" t="s">
        <v>1313</v>
      </c>
      <c r="R88" s="36" t="s">
        <v>172</v>
      </c>
    </row>
    <row r="89" spans="1:18" ht="27.6" customHeight="1">
      <c r="A89" s="25" t="s">
        <v>152</v>
      </c>
      <c r="B89" s="26">
        <v>4</v>
      </c>
      <c r="C89" s="32" t="s">
        <v>153</v>
      </c>
      <c r="D89" s="28" t="s">
        <v>154</v>
      </c>
      <c r="E89" s="29">
        <v>22</v>
      </c>
      <c r="F89" s="97" t="s">
        <v>1350</v>
      </c>
      <c r="G89" s="242" t="s">
        <v>1351</v>
      </c>
      <c r="H89" s="31">
        <v>26</v>
      </c>
      <c r="I89" s="32">
        <v>44</v>
      </c>
      <c r="J89" s="33">
        <v>18.3</v>
      </c>
      <c r="K89" s="255" t="s">
        <v>1352</v>
      </c>
      <c r="L89" s="31">
        <v>128</v>
      </c>
      <c r="M89" s="35">
        <v>20</v>
      </c>
      <c r="N89" s="36">
        <v>18.2</v>
      </c>
      <c r="O89" s="37" t="s">
        <v>1312</v>
      </c>
      <c r="P89" s="38" t="s">
        <v>156</v>
      </c>
      <c r="Q89" s="35" t="s">
        <v>1313</v>
      </c>
      <c r="R89" s="36" t="s">
        <v>168</v>
      </c>
    </row>
    <row r="90" spans="1:18" ht="27.6" customHeight="1">
      <c r="A90" s="25" t="s">
        <v>152</v>
      </c>
      <c r="B90" s="26">
        <v>4</v>
      </c>
      <c r="C90" s="32" t="s">
        <v>153</v>
      </c>
      <c r="D90" s="28" t="s">
        <v>154</v>
      </c>
      <c r="E90" s="29">
        <v>23</v>
      </c>
      <c r="F90" s="97" t="s">
        <v>187</v>
      </c>
      <c r="G90" s="242" t="s">
        <v>1353</v>
      </c>
      <c r="H90" s="31">
        <v>26</v>
      </c>
      <c r="I90" s="32">
        <v>49</v>
      </c>
      <c r="J90" s="33">
        <v>14.7</v>
      </c>
      <c r="K90" s="255" t="s">
        <v>1354</v>
      </c>
      <c r="L90" s="31">
        <v>128</v>
      </c>
      <c r="M90" s="35">
        <v>18</v>
      </c>
      <c r="N90" s="33">
        <v>49</v>
      </c>
      <c r="O90" s="37" t="s">
        <v>1333</v>
      </c>
      <c r="P90" s="38" t="s">
        <v>162</v>
      </c>
      <c r="Q90" s="35" t="s">
        <v>1313</v>
      </c>
      <c r="R90" s="36" t="s">
        <v>160</v>
      </c>
    </row>
    <row r="91" spans="1:18" ht="27.6" customHeight="1">
      <c r="A91" s="25" t="s">
        <v>152</v>
      </c>
      <c r="B91" s="26">
        <v>4</v>
      </c>
      <c r="C91" s="32" t="s">
        <v>153</v>
      </c>
      <c r="D91" s="28" t="s">
        <v>154</v>
      </c>
      <c r="E91" s="29">
        <v>24</v>
      </c>
      <c r="F91" s="97" t="s">
        <v>188</v>
      </c>
      <c r="G91" s="242" t="s">
        <v>1353</v>
      </c>
      <c r="H91" s="31">
        <v>26</v>
      </c>
      <c r="I91" s="32">
        <v>49</v>
      </c>
      <c r="J91" s="33">
        <v>14.7</v>
      </c>
      <c r="K91" s="255" t="s">
        <v>1354</v>
      </c>
      <c r="L91" s="31">
        <v>128</v>
      </c>
      <c r="M91" s="35">
        <v>18</v>
      </c>
      <c r="N91" s="33">
        <v>49</v>
      </c>
      <c r="O91" s="37" t="s">
        <v>1312</v>
      </c>
      <c r="P91" s="38" t="s">
        <v>184</v>
      </c>
      <c r="Q91" s="35" t="s">
        <v>1313</v>
      </c>
      <c r="R91" s="36" t="s">
        <v>183</v>
      </c>
    </row>
    <row r="92" spans="1:18" ht="33.75" customHeight="1" thickBot="1">
      <c r="A92" s="25" t="s">
        <v>152</v>
      </c>
      <c r="B92" s="26">
        <v>4</v>
      </c>
      <c r="C92" s="32" t="s">
        <v>153</v>
      </c>
      <c r="D92" s="28" t="s">
        <v>154</v>
      </c>
      <c r="E92" s="29">
        <v>25</v>
      </c>
      <c r="F92" s="97" t="s">
        <v>189</v>
      </c>
      <c r="G92" s="178">
        <f t="shared" ref="G92:G160" si="0">H92+I92/60+J92/3600</f>
        <v>26.846166666666665</v>
      </c>
      <c r="H92" s="31">
        <v>26</v>
      </c>
      <c r="I92" s="32">
        <v>50</v>
      </c>
      <c r="J92" s="33">
        <v>46.2</v>
      </c>
      <c r="K92" s="255" t="s">
        <v>1355</v>
      </c>
      <c r="L92" s="31">
        <v>128</v>
      </c>
      <c r="M92" s="35">
        <v>17</v>
      </c>
      <c r="N92" s="36">
        <v>9.3000000000000007</v>
      </c>
      <c r="O92" s="37" t="s">
        <v>1312</v>
      </c>
      <c r="P92" s="38" t="s">
        <v>162</v>
      </c>
      <c r="Q92" s="35" t="s">
        <v>1313</v>
      </c>
      <c r="R92" s="36" t="s">
        <v>183</v>
      </c>
    </row>
    <row r="93" spans="1:18" ht="27.6" customHeight="1" thickTop="1" thickBot="1">
      <c r="A93" s="25" t="s">
        <v>152</v>
      </c>
      <c r="B93" s="26">
        <v>4</v>
      </c>
      <c r="C93" s="32" t="s">
        <v>153</v>
      </c>
      <c r="D93" s="28" t="s">
        <v>154</v>
      </c>
      <c r="E93" s="29">
        <v>26</v>
      </c>
      <c r="F93" s="33" t="s">
        <v>190</v>
      </c>
      <c r="G93" s="178">
        <f t="shared" si="0"/>
        <v>26.858000000000001</v>
      </c>
      <c r="H93" s="31">
        <v>26</v>
      </c>
      <c r="I93" s="32">
        <v>51</v>
      </c>
      <c r="J93" s="108">
        <v>28.8</v>
      </c>
      <c r="K93" s="255"/>
      <c r="L93" s="31">
        <v>128</v>
      </c>
      <c r="M93" s="32">
        <v>16</v>
      </c>
      <c r="N93" s="108">
        <v>43.2</v>
      </c>
      <c r="O93" s="37" t="s">
        <v>1312</v>
      </c>
      <c r="P93" s="38" t="s">
        <v>176</v>
      </c>
      <c r="Q93" s="35" t="s">
        <v>1313</v>
      </c>
      <c r="R93" s="36" t="s">
        <v>183</v>
      </c>
    </row>
    <row r="94" spans="1:18" ht="27.6" customHeight="1" thickTop="1" thickBot="1">
      <c r="A94" s="25" t="s">
        <v>152</v>
      </c>
      <c r="B94" s="26">
        <v>4</v>
      </c>
      <c r="C94" s="32" t="s">
        <v>153</v>
      </c>
      <c r="D94" s="28" t="s">
        <v>154</v>
      </c>
      <c r="E94" s="29">
        <v>27</v>
      </c>
      <c r="F94" s="33" t="s">
        <v>191</v>
      </c>
      <c r="G94" s="178">
        <f t="shared" si="0"/>
        <v>26.755055555555554</v>
      </c>
      <c r="H94" s="31">
        <v>26</v>
      </c>
      <c r="I94" s="32">
        <v>45</v>
      </c>
      <c r="J94" s="108">
        <v>18.2</v>
      </c>
      <c r="K94" s="255"/>
      <c r="L94" s="31">
        <v>128</v>
      </c>
      <c r="M94" s="32">
        <v>19</v>
      </c>
      <c r="N94" s="108">
        <v>51.5</v>
      </c>
      <c r="O94" s="37" t="s">
        <v>175</v>
      </c>
      <c r="P94" s="38" t="s">
        <v>176</v>
      </c>
      <c r="Q94" s="35" t="s">
        <v>1313</v>
      </c>
      <c r="R94" s="36" t="s">
        <v>168</v>
      </c>
    </row>
    <row r="95" spans="1:18" ht="27.6" customHeight="1" thickTop="1" thickBot="1">
      <c r="A95" s="25" t="s">
        <v>152</v>
      </c>
      <c r="B95" s="26">
        <v>4</v>
      </c>
      <c r="C95" s="32" t="s">
        <v>153</v>
      </c>
      <c r="D95" s="28" t="s">
        <v>154</v>
      </c>
      <c r="E95" s="29">
        <v>28</v>
      </c>
      <c r="F95" s="97" t="s">
        <v>192</v>
      </c>
      <c r="G95" s="178">
        <f t="shared" si="0"/>
        <v>26.598861111111109</v>
      </c>
      <c r="H95" s="31">
        <v>26</v>
      </c>
      <c r="I95" s="32">
        <v>35</v>
      </c>
      <c r="J95" s="33">
        <v>55.9</v>
      </c>
      <c r="K95" s="255" t="s">
        <v>1336</v>
      </c>
      <c r="L95" s="31">
        <v>128</v>
      </c>
      <c r="M95" s="35">
        <v>9</v>
      </c>
      <c r="N95" s="36">
        <v>24.5</v>
      </c>
      <c r="O95" s="37" t="s">
        <v>1312</v>
      </c>
      <c r="P95" s="38" t="s">
        <v>184</v>
      </c>
      <c r="Q95" s="35" t="s">
        <v>1313</v>
      </c>
      <c r="R95" s="36" t="s">
        <v>172</v>
      </c>
    </row>
    <row r="96" spans="1:18" ht="27.6" customHeight="1" thickTop="1" thickBot="1">
      <c r="A96" s="25" t="s">
        <v>152</v>
      </c>
      <c r="B96" s="26">
        <v>4</v>
      </c>
      <c r="C96" s="32" t="s">
        <v>153</v>
      </c>
      <c r="D96" s="28" t="s">
        <v>154</v>
      </c>
      <c r="E96" s="109">
        <v>29</v>
      </c>
      <c r="F96" s="97" t="s">
        <v>193</v>
      </c>
      <c r="G96" s="178">
        <f t="shared" si="0"/>
        <v>26.308416666666666</v>
      </c>
      <c r="H96" s="99">
        <v>26</v>
      </c>
      <c r="I96" s="100">
        <v>18</v>
      </c>
      <c r="J96" s="101">
        <v>30.3</v>
      </c>
      <c r="K96" s="255"/>
      <c r="L96" s="99">
        <v>127</v>
      </c>
      <c r="M96" s="56">
        <v>51</v>
      </c>
      <c r="N96" s="101">
        <v>38.9</v>
      </c>
      <c r="O96" s="37" t="s">
        <v>194</v>
      </c>
      <c r="P96" s="611" t="s">
        <v>195</v>
      </c>
      <c r="Q96" s="612" t="s">
        <v>196</v>
      </c>
      <c r="R96" s="613" t="s">
        <v>160</v>
      </c>
    </row>
    <row r="97" spans="1:18" ht="27.6" customHeight="1" thickTop="1" thickBot="1">
      <c r="A97" s="25" t="s">
        <v>152</v>
      </c>
      <c r="B97" s="26">
        <v>4</v>
      </c>
      <c r="C97" s="32" t="s">
        <v>153</v>
      </c>
      <c r="D97" s="28" t="s">
        <v>154</v>
      </c>
      <c r="E97" s="109">
        <v>30</v>
      </c>
      <c r="F97" s="97" t="s">
        <v>197</v>
      </c>
      <c r="G97" s="178">
        <f t="shared" si="0"/>
        <v>0</v>
      </c>
      <c r="H97" s="111"/>
      <c r="I97" s="112"/>
      <c r="J97" s="113"/>
      <c r="K97" s="178">
        <f t="shared" ref="K97:K106" si="1">L97+M97/60+N97/3600</f>
        <v>0</v>
      </c>
      <c r="L97" s="89"/>
      <c r="M97" s="92"/>
      <c r="N97" s="93"/>
      <c r="O97" s="94" t="s">
        <v>175</v>
      </c>
      <c r="P97" s="610"/>
      <c r="Q97" s="568"/>
      <c r="R97" s="309"/>
    </row>
    <row r="98" spans="1:18" ht="27.6" customHeight="1" thickTop="1" thickBot="1">
      <c r="A98" s="46" t="s">
        <v>152</v>
      </c>
      <c r="B98" s="47">
        <v>4</v>
      </c>
      <c r="C98" s="100" t="s">
        <v>153</v>
      </c>
      <c r="D98" s="49" t="s">
        <v>154</v>
      </c>
      <c r="E98" s="114">
        <v>31</v>
      </c>
      <c r="F98" s="98" t="s">
        <v>198</v>
      </c>
      <c r="G98" s="178">
        <f t="shared" si="0"/>
        <v>26.529366666666665</v>
      </c>
      <c r="H98" s="99">
        <v>26</v>
      </c>
      <c r="I98" s="100">
        <v>31</v>
      </c>
      <c r="J98" s="101">
        <v>45.72</v>
      </c>
      <c r="K98" s="178">
        <f t="shared" si="1"/>
        <v>128.07368333333332</v>
      </c>
      <c r="L98" s="99">
        <v>128</v>
      </c>
      <c r="M98" s="56">
        <v>4</v>
      </c>
      <c r="N98" s="53">
        <v>25.26</v>
      </c>
      <c r="O98" s="54" t="s">
        <v>175</v>
      </c>
      <c r="P98" s="55" t="s">
        <v>156</v>
      </c>
      <c r="Q98" s="56" t="s">
        <v>199</v>
      </c>
      <c r="R98" s="53" t="s">
        <v>183</v>
      </c>
    </row>
    <row r="99" spans="1:18" ht="27.6" customHeight="1" thickTop="1" thickBot="1">
      <c r="A99" s="25" t="s">
        <v>152</v>
      </c>
      <c r="B99" s="26">
        <v>4</v>
      </c>
      <c r="C99" s="32" t="s">
        <v>153</v>
      </c>
      <c r="D99" s="28" t="s">
        <v>154</v>
      </c>
      <c r="E99" s="109">
        <v>32</v>
      </c>
      <c r="F99" s="97" t="s">
        <v>200</v>
      </c>
      <c r="G99" s="178">
        <f t="shared" si="0"/>
        <v>26.078722222222222</v>
      </c>
      <c r="H99" s="31">
        <v>26</v>
      </c>
      <c r="I99" s="32">
        <v>4</v>
      </c>
      <c r="J99" s="33">
        <v>43.4</v>
      </c>
      <c r="K99" s="178">
        <f t="shared" si="1"/>
        <v>127.66405555555556</v>
      </c>
      <c r="L99" s="31">
        <v>127</v>
      </c>
      <c r="M99" s="35">
        <v>39</v>
      </c>
      <c r="N99" s="36">
        <v>50.6</v>
      </c>
      <c r="O99" s="37" t="s">
        <v>175</v>
      </c>
      <c r="P99" s="38" t="s">
        <v>156</v>
      </c>
      <c r="Q99" s="35" t="s">
        <v>199</v>
      </c>
      <c r="R99" s="36" t="s">
        <v>157</v>
      </c>
    </row>
    <row r="100" spans="1:18" ht="27.6" customHeight="1" thickTop="1" thickBot="1">
      <c r="A100" s="25" t="s">
        <v>152</v>
      </c>
      <c r="B100" s="26">
        <v>4</v>
      </c>
      <c r="C100" s="32" t="s">
        <v>153</v>
      </c>
      <c r="D100" s="28" t="s">
        <v>154</v>
      </c>
      <c r="E100" s="114">
        <v>33</v>
      </c>
      <c r="F100" s="97" t="s">
        <v>201</v>
      </c>
      <c r="G100" s="178">
        <f t="shared" si="0"/>
        <v>26.084538888888886</v>
      </c>
      <c r="H100" s="31">
        <v>26</v>
      </c>
      <c r="I100" s="32">
        <v>5</v>
      </c>
      <c r="J100" s="33">
        <v>4.34</v>
      </c>
      <c r="K100" s="178">
        <f t="shared" si="1"/>
        <v>127.69817500000001</v>
      </c>
      <c r="L100" s="31">
        <v>127</v>
      </c>
      <c r="M100" s="35">
        <v>41</v>
      </c>
      <c r="N100" s="36">
        <v>53.43</v>
      </c>
      <c r="O100" s="37" t="s">
        <v>175</v>
      </c>
      <c r="P100" s="38" t="s">
        <v>156</v>
      </c>
      <c r="Q100" s="35" t="s">
        <v>199</v>
      </c>
      <c r="R100" s="36" t="s">
        <v>157</v>
      </c>
    </row>
    <row r="101" spans="1:18" ht="27.6" customHeight="1" thickTop="1" thickBot="1">
      <c r="A101" s="25" t="s">
        <v>152</v>
      </c>
      <c r="B101" s="26">
        <v>4</v>
      </c>
      <c r="C101" s="32" t="s">
        <v>153</v>
      </c>
      <c r="D101" s="28" t="s">
        <v>154</v>
      </c>
      <c r="E101" s="109">
        <v>34</v>
      </c>
      <c r="F101" s="97" t="s">
        <v>202</v>
      </c>
      <c r="G101" s="178">
        <f t="shared" si="0"/>
        <v>26.112277777777781</v>
      </c>
      <c r="H101" s="31">
        <v>26</v>
      </c>
      <c r="I101" s="32">
        <v>6</v>
      </c>
      <c r="J101" s="33">
        <v>44.2</v>
      </c>
      <c r="K101" s="34">
        <f t="shared" si="1"/>
        <v>127.74338888888889</v>
      </c>
      <c r="L101" s="31">
        <v>127</v>
      </c>
      <c r="M101" s="35">
        <v>44</v>
      </c>
      <c r="N101" s="36">
        <v>36.200000000000003</v>
      </c>
      <c r="O101" s="37" t="s">
        <v>194</v>
      </c>
      <c r="P101" s="115" t="s">
        <v>203</v>
      </c>
      <c r="Q101" s="116" t="s">
        <v>199</v>
      </c>
      <c r="R101" s="117" t="s">
        <v>160</v>
      </c>
    </row>
    <row r="102" spans="1:18" ht="27.6" customHeight="1" thickTop="1" thickBot="1">
      <c r="A102" s="25" t="s">
        <v>152</v>
      </c>
      <c r="B102" s="26">
        <v>4</v>
      </c>
      <c r="C102" s="32" t="s">
        <v>153</v>
      </c>
      <c r="D102" s="28" t="s">
        <v>154</v>
      </c>
      <c r="E102" s="114">
        <v>35</v>
      </c>
      <c r="F102" s="97" t="s">
        <v>204</v>
      </c>
      <c r="G102" s="178">
        <f t="shared" si="0"/>
        <v>26.110361111111114</v>
      </c>
      <c r="H102" s="89">
        <v>26</v>
      </c>
      <c r="I102" s="90">
        <v>6</v>
      </c>
      <c r="J102" s="91">
        <v>37.299999999999997</v>
      </c>
      <c r="K102" s="289">
        <f t="shared" si="1"/>
        <v>127.74511111111111</v>
      </c>
      <c r="L102" s="89">
        <v>127</v>
      </c>
      <c r="M102" s="92">
        <v>44</v>
      </c>
      <c r="N102" s="91">
        <v>42.4</v>
      </c>
      <c r="O102" s="94" t="s">
        <v>175</v>
      </c>
      <c r="P102" s="118"/>
      <c r="Q102" s="119"/>
      <c r="R102" s="120"/>
    </row>
    <row r="103" spans="1:18" ht="27.6" customHeight="1" thickTop="1" thickBot="1">
      <c r="A103" s="25" t="s">
        <v>152</v>
      </c>
      <c r="B103" s="26">
        <v>4</v>
      </c>
      <c r="C103" s="32" t="s">
        <v>153</v>
      </c>
      <c r="D103" s="28" t="s">
        <v>154</v>
      </c>
      <c r="E103" s="109">
        <v>36</v>
      </c>
      <c r="F103" s="97" t="s">
        <v>205</v>
      </c>
      <c r="G103" s="178">
        <f t="shared" si="0"/>
        <v>26.116975</v>
      </c>
      <c r="H103" s="31">
        <v>26</v>
      </c>
      <c r="I103" s="32">
        <v>7</v>
      </c>
      <c r="J103" s="33">
        <v>1.1100000000000001</v>
      </c>
      <c r="K103" s="178">
        <f t="shared" si="1"/>
        <v>127.75069722222223</v>
      </c>
      <c r="L103" s="31">
        <v>127</v>
      </c>
      <c r="M103" s="35">
        <v>45</v>
      </c>
      <c r="N103" s="36">
        <v>2.5099999999999998</v>
      </c>
      <c r="O103" s="37" t="s">
        <v>175</v>
      </c>
      <c r="P103" s="38" t="s">
        <v>156</v>
      </c>
      <c r="Q103" s="35" t="s">
        <v>199</v>
      </c>
      <c r="R103" s="36" t="s">
        <v>157</v>
      </c>
    </row>
    <row r="104" spans="1:18" ht="27.6" customHeight="1" thickTop="1" thickBot="1">
      <c r="A104" s="25" t="s">
        <v>152</v>
      </c>
      <c r="B104" s="26">
        <v>4</v>
      </c>
      <c r="C104" s="32" t="s">
        <v>153</v>
      </c>
      <c r="D104" s="28" t="s">
        <v>154</v>
      </c>
      <c r="E104" s="29">
        <v>37</v>
      </c>
      <c r="F104" s="97" t="s">
        <v>206</v>
      </c>
      <c r="G104" s="178">
        <f t="shared" si="0"/>
        <v>26.531969444444442</v>
      </c>
      <c r="H104" s="31">
        <v>26</v>
      </c>
      <c r="I104" s="32">
        <v>31</v>
      </c>
      <c r="J104" s="33">
        <v>55.09</v>
      </c>
      <c r="K104" s="178">
        <f t="shared" si="1"/>
        <v>128.07550000000001</v>
      </c>
      <c r="L104" s="31">
        <v>128</v>
      </c>
      <c r="M104" s="35">
        <v>4</v>
      </c>
      <c r="N104" s="36">
        <v>31.8</v>
      </c>
      <c r="O104" s="37" t="s">
        <v>175</v>
      </c>
      <c r="P104" s="38" t="s">
        <v>156</v>
      </c>
      <c r="Q104" s="35" t="s">
        <v>199</v>
      </c>
      <c r="R104" s="36" t="s">
        <v>183</v>
      </c>
    </row>
    <row r="105" spans="1:18" ht="39.75" customHeight="1" thickTop="1" thickBot="1">
      <c r="A105" s="46" t="s">
        <v>207</v>
      </c>
      <c r="B105" s="47">
        <v>4</v>
      </c>
      <c r="C105" s="100" t="s">
        <v>208</v>
      </c>
      <c r="D105" s="28" t="s">
        <v>209</v>
      </c>
      <c r="E105" s="50">
        <v>38</v>
      </c>
      <c r="F105" s="98" t="s">
        <v>210</v>
      </c>
      <c r="G105" s="178">
        <f t="shared" si="0"/>
        <v>26.088577777777775</v>
      </c>
      <c r="H105" s="99">
        <v>26</v>
      </c>
      <c r="I105" s="100">
        <v>5</v>
      </c>
      <c r="J105" s="101">
        <v>18.88</v>
      </c>
      <c r="K105" s="178">
        <f t="shared" si="1"/>
        <v>127.70684722222222</v>
      </c>
      <c r="L105" s="99">
        <v>127</v>
      </c>
      <c r="M105" s="56">
        <v>42</v>
      </c>
      <c r="N105" s="53">
        <v>24.65</v>
      </c>
      <c r="O105" s="54" t="s">
        <v>211</v>
      </c>
      <c r="P105" s="55" t="s">
        <v>195</v>
      </c>
      <c r="Q105" s="56" t="s">
        <v>199</v>
      </c>
      <c r="R105" s="53" t="s">
        <v>160</v>
      </c>
    </row>
    <row r="106" spans="1:18" ht="27.6" customHeight="1" thickTop="1" thickBot="1">
      <c r="A106" s="25" t="s">
        <v>207</v>
      </c>
      <c r="B106" s="26">
        <v>4</v>
      </c>
      <c r="C106" s="32" t="s">
        <v>208</v>
      </c>
      <c r="D106" s="28" t="s">
        <v>209</v>
      </c>
      <c r="E106" s="29">
        <v>39</v>
      </c>
      <c r="F106" s="97" t="s">
        <v>212</v>
      </c>
      <c r="G106" s="178">
        <f t="shared" si="0"/>
        <v>26.864861111111111</v>
      </c>
      <c r="H106" s="31">
        <v>26</v>
      </c>
      <c r="I106" s="32">
        <v>51</v>
      </c>
      <c r="J106" s="33">
        <v>53.5</v>
      </c>
      <c r="K106" s="178">
        <f t="shared" si="1"/>
        <v>128.26708333333335</v>
      </c>
      <c r="L106" s="31">
        <v>128</v>
      </c>
      <c r="M106" s="35">
        <v>16</v>
      </c>
      <c r="N106" s="36">
        <v>1.5</v>
      </c>
      <c r="O106" s="37" t="s">
        <v>175</v>
      </c>
      <c r="P106" s="38" t="s">
        <v>156</v>
      </c>
      <c r="Q106" s="35" t="s">
        <v>199</v>
      </c>
      <c r="R106" s="36" t="s">
        <v>183</v>
      </c>
    </row>
    <row r="107" spans="1:18" ht="27.6" customHeight="1" thickTop="1">
      <c r="A107" s="25" t="s">
        <v>207</v>
      </c>
      <c r="B107" s="26">
        <v>4</v>
      </c>
      <c r="C107" s="32" t="s">
        <v>208</v>
      </c>
      <c r="D107" s="28" t="s">
        <v>209</v>
      </c>
      <c r="E107" s="29">
        <v>40</v>
      </c>
      <c r="F107" s="291" t="s">
        <v>213</v>
      </c>
      <c r="G107" s="34">
        <f t="shared" si="0"/>
        <v>26.304180555555558</v>
      </c>
      <c r="H107" s="31">
        <v>26</v>
      </c>
      <c r="I107" s="32">
        <v>18</v>
      </c>
      <c r="J107" s="33">
        <v>15.05</v>
      </c>
      <c r="K107" s="34">
        <f>L107+M107/60+N107/3600</f>
        <v>128.01246111111112</v>
      </c>
      <c r="L107" s="31">
        <v>128</v>
      </c>
      <c r="M107" s="35">
        <v>0</v>
      </c>
      <c r="N107" s="33">
        <v>44.86</v>
      </c>
      <c r="O107" s="37" t="s">
        <v>1312</v>
      </c>
      <c r="P107" s="38"/>
      <c r="Q107" s="35"/>
      <c r="R107" s="36"/>
    </row>
    <row r="108" spans="1:18" ht="27.6" customHeight="1">
      <c r="A108" s="288" t="s">
        <v>207</v>
      </c>
      <c r="B108" s="294">
        <v>4</v>
      </c>
      <c r="C108" s="295" t="s">
        <v>208</v>
      </c>
      <c r="D108" s="296" t="s">
        <v>209</v>
      </c>
      <c r="E108" s="297">
        <v>41</v>
      </c>
      <c r="F108" s="235" t="s">
        <v>1798</v>
      </c>
      <c r="G108" s="233">
        <f t="shared" si="0"/>
        <v>26.639194444444446</v>
      </c>
      <c r="H108" s="298">
        <v>26</v>
      </c>
      <c r="I108" s="295">
        <v>38</v>
      </c>
      <c r="J108" s="299">
        <v>21.1</v>
      </c>
      <c r="K108" s="233">
        <f>L108+M108/60+N108/3600</f>
        <v>128.24755555555555</v>
      </c>
      <c r="L108" s="298">
        <v>128</v>
      </c>
      <c r="M108" s="300">
        <v>14</v>
      </c>
      <c r="N108" s="299">
        <v>51.2</v>
      </c>
      <c r="O108" s="301" t="s">
        <v>265</v>
      </c>
      <c r="P108" s="302" t="s">
        <v>176</v>
      </c>
      <c r="Q108" s="300" t="s">
        <v>199</v>
      </c>
      <c r="R108" s="303" t="s">
        <v>1799</v>
      </c>
    </row>
    <row r="109" spans="1:18" ht="27.6" customHeight="1">
      <c r="A109" s="25" t="s">
        <v>207</v>
      </c>
      <c r="B109" s="26">
        <v>4</v>
      </c>
      <c r="C109" s="32" t="s">
        <v>208</v>
      </c>
      <c r="D109" s="28" t="s">
        <v>209</v>
      </c>
      <c r="E109" s="29">
        <v>42</v>
      </c>
      <c r="F109" s="242" t="s">
        <v>1832</v>
      </c>
      <c r="G109" s="34">
        <f t="shared" si="0"/>
        <v>26.621944444444445</v>
      </c>
      <c r="H109" s="31">
        <v>26</v>
      </c>
      <c r="I109" s="32">
        <v>37</v>
      </c>
      <c r="J109" s="601">
        <v>19</v>
      </c>
      <c r="K109" s="34">
        <f>L109+M109/60+N109/3600</f>
        <v>128.14722222222221</v>
      </c>
      <c r="L109" s="31">
        <v>128</v>
      </c>
      <c r="M109" s="35">
        <v>8</v>
      </c>
      <c r="N109" s="601">
        <v>50</v>
      </c>
      <c r="O109" s="37" t="s">
        <v>1834</v>
      </c>
      <c r="P109" s="38" t="s">
        <v>176</v>
      </c>
      <c r="Q109" s="35" t="s">
        <v>199</v>
      </c>
      <c r="R109" s="36" t="s">
        <v>1837</v>
      </c>
    </row>
    <row r="110" spans="1:18" ht="27.6" customHeight="1">
      <c r="A110" s="46" t="s">
        <v>207</v>
      </c>
      <c r="B110" s="47">
        <v>4</v>
      </c>
      <c r="C110" s="100" t="s">
        <v>208</v>
      </c>
      <c r="D110" s="49" t="s">
        <v>209</v>
      </c>
      <c r="E110" s="50">
        <v>43</v>
      </c>
      <c r="F110" s="246" t="s">
        <v>1833</v>
      </c>
      <c r="G110" s="188">
        <f t="shared" si="0"/>
        <v>26.621944444444445</v>
      </c>
      <c r="H110" s="99">
        <v>26</v>
      </c>
      <c r="I110" s="100">
        <v>37</v>
      </c>
      <c r="J110" s="604">
        <v>19</v>
      </c>
      <c r="K110" s="188"/>
      <c r="L110" s="99">
        <v>128</v>
      </c>
      <c r="M110" s="56">
        <v>8</v>
      </c>
      <c r="N110" s="604">
        <v>50</v>
      </c>
      <c r="O110" s="54" t="s">
        <v>1835</v>
      </c>
      <c r="P110" s="55" t="s">
        <v>1836</v>
      </c>
      <c r="Q110" s="56" t="s">
        <v>199</v>
      </c>
      <c r="R110" s="53" t="s">
        <v>1838</v>
      </c>
    </row>
    <row r="111" spans="1:18" ht="27.6" customHeight="1">
      <c r="A111" s="25" t="s">
        <v>207</v>
      </c>
      <c r="B111" s="26">
        <v>4</v>
      </c>
      <c r="C111" s="32" t="s">
        <v>208</v>
      </c>
      <c r="D111" s="28" t="s">
        <v>209</v>
      </c>
      <c r="E111" s="29">
        <v>44</v>
      </c>
      <c r="F111" s="28" t="s">
        <v>1854</v>
      </c>
      <c r="G111" s="744">
        <f t="shared" si="0"/>
        <v>26.286361111111113</v>
      </c>
      <c r="H111" s="31">
        <v>26</v>
      </c>
      <c r="I111" s="32">
        <v>17</v>
      </c>
      <c r="J111" s="601">
        <v>10.9</v>
      </c>
      <c r="K111" s="745"/>
      <c r="L111" s="32">
        <v>127</v>
      </c>
      <c r="M111" s="35">
        <v>58</v>
      </c>
      <c r="N111" s="746">
        <v>44</v>
      </c>
      <c r="O111" s="37" t="s">
        <v>175</v>
      </c>
      <c r="P111" s="38" t="s">
        <v>176</v>
      </c>
      <c r="Q111" s="56" t="s">
        <v>199</v>
      </c>
      <c r="R111" s="36" t="s">
        <v>1799</v>
      </c>
    </row>
    <row r="112" spans="1:18" ht="27.6" customHeight="1">
      <c r="A112" s="46" t="s">
        <v>207</v>
      </c>
      <c r="B112" s="47">
        <v>4</v>
      </c>
      <c r="C112" s="100" t="s">
        <v>208</v>
      </c>
      <c r="D112" s="49" t="s">
        <v>209</v>
      </c>
      <c r="E112" s="50">
        <v>45</v>
      </c>
      <c r="F112" s="49" t="s">
        <v>1855</v>
      </c>
      <c r="G112" s="752">
        <f t="shared" si="0"/>
        <v>26.609250000000003</v>
      </c>
      <c r="H112" s="99">
        <v>26</v>
      </c>
      <c r="I112" s="100">
        <v>36</v>
      </c>
      <c r="J112" s="604">
        <v>33.299999999999997</v>
      </c>
      <c r="K112" s="753"/>
      <c r="L112" s="100">
        <v>128</v>
      </c>
      <c r="M112" s="56">
        <v>9</v>
      </c>
      <c r="N112" s="754">
        <v>29</v>
      </c>
      <c r="O112" s="54" t="s">
        <v>175</v>
      </c>
      <c r="P112" s="55" t="s">
        <v>176</v>
      </c>
      <c r="Q112" s="56" t="s">
        <v>199</v>
      </c>
      <c r="R112" s="53" t="s">
        <v>172</v>
      </c>
    </row>
    <row r="113" spans="1:18" ht="27.6" customHeight="1" thickBot="1">
      <c r="A113" s="71" t="s">
        <v>207</v>
      </c>
      <c r="B113" s="72">
        <v>4</v>
      </c>
      <c r="C113" s="74" t="s">
        <v>208</v>
      </c>
      <c r="D113" s="121" t="s">
        <v>209</v>
      </c>
      <c r="E113" s="290">
        <v>46</v>
      </c>
      <c r="F113" s="606" t="s">
        <v>2043</v>
      </c>
      <c r="G113" s="178"/>
      <c r="H113" s="77">
        <v>26</v>
      </c>
      <c r="I113" s="74">
        <v>19</v>
      </c>
      <c r="J113" s="748">
        <v>7.3</v>
      </c>
      <c r="K113" s="178"/>
      <c r="L113" s="755">
        <v>127</v>
      </c>
      <c r="M113" s="123">
        <v>56</v>
      </c>
      <c r="N113" s="749">
        <v>45.64</v>
      </c>
      <c r="O113" s="124" t="s">
        <v>2074</v>
      </c>
      <c r="P113" s="125" t="s">
        <v>195</v>
      </c>
      <c r="Q113" s="123" t="s">
        <v>199</v>
      </c>
      <c r="R113" s="82" t="s">
        <v>2075</v>
      </c>
    </row>
    <row r="114" spans="1:18" ht="35.1" customHeight="1" thickTop="1" thickBot="1">
      <c r="A114" s="83" t="s">
        <v>214</v>
      </c>
      <c r="B114" s="84">
        <v>5</v>
      </c>
      <c r="C114" s="90" t="s">
        <v>215</v>
      </c>
      <c r="D114" s="86" t="s">
        <v>154</v>
      </c>
      <c r="E114" s="87">
        <v>1</v>
      </c>
      <c r="F114" s="88" t="s">
        <v>216</v>
      </c>
      <c r="G114" s="289">
        <f t="shared" si="0"/>
        <v>26.098499999999998</v>
      </c>
      <c r="H114" s="89">
        <v>26</v>
      </c>
      <c r="I114" s="90">
        <v>5</v>
      </c>
      <c r="J114" s="91">
        <v>54.6</v>
      </c>
      <c r="K114" s="289">
        <f t="shared" ref="K114:K160" si="2">L114+M114/60+N114/3600</f>
        <v>127.64555555555556</v>
      </c>
      <c r="L114" s="89">
        <v>127</v>
      </c>
      <c r="M114" s="92">
        <v>38</v>
      </c>
      <c r="N114" s="91">
        <v>44</v>
      </c>
      <c r="O114" s="94" t="s">
        <v>175</v>
      </c>
      <c r="P114" s="95" t="s">
        <v>156</v>
      </c>
      <c r="Q114" s="92" t="s">
        <v>196</v>
      </c>
      <c r="R114" s="93" t="s">
        <v>35</v>
      </c>
    </row>
    <row r="115" spans="1:18" ht="27.6" customHeight="1" thickTop="1" thickBot="1">
      <c r="A115" s="25" t="s">
        <v>214</v>
      </c>
      <c r="B115" s="26">
        <v>5</v>
      </c>
      <c r="C115" s="32" t="s">
        <v>215</v>
      </c>
      <c r="D115" s="28" t="s">
        <v>154</v>
      </c>
      <c r="E115" s="29">
        <v>2</v>
      </c>
      <c r="F115" s="97" t="s">
        <v>217</v>
      </c>
      <c r="G115" s="178">
        <f t="shared" si="0"/>
        <v>26.20975</v>
      </c>
      <c r="H115" s="31">
        <v>26</v>
      </c>
      <c r="I115" s="32">
        <v>12</v>
      </c>
      <c r="J115" s="33">
        <v>35.1</v>
      </c>
      <c r="K115" s="178">
        <f t="shared" si="2"/>
        <v>127.63994444444445</v>
      </c>
      <c r="L115" s="31">
        <v>127</v>
      </c>
      <c r="M115" s="35">
        <v>38</v>
      </c>
      <c r="N115" s="36">
        <v>23.8</v>
      </c>
      <c r="O115" s="37" t="s">
        <v>130</v>
      </c>
      <c r="P115" s="38" t="s">
        <v>218</v>
      </c>
      <c r="Q115" s="35" t="s">
        <v>196</v>
      </c>
      <c r="R115" s="36" t="s">
        <v>128</v>
      </c>
    </row>
    <row r="116" spans="1:18" ht="27.6" customHeight="1" thickTop="1" thickBot="1">
      <c r="A116" s="25" t="s">
        <v>214</v>
      </c>
      <c r="B116" s="26">
        <v>5</v>
      </c>
      <c r="C116" s="32" t="s">
        <v>215</v>
      </c>
      <c r="D116" s="28" t="s">
        <v>154</v>
      </c>
      <c r="E116" s="29">
        <v>3</v>
      </c>
      <c r="F116" s="97" t="s">
        <v>219</v>
      </c>
      <c r="G116" s="178">
        <f t="shared" si="0"/>
        <v>26.247722222222222</v>
      </c>
      <c r="H116" s="31">
        <v>26</v>
      </c>
      <c r="I116" s="32">
        <v>14</v>
      </c>
      <c r="J116" s="33">
        <v>51.8</v>
      </c>
      <c r="K116" s="178">
        <f t="shared" si="2"/>
        <v>127.64325000000001</v>
      </c>
      <c r="L116" s="31">
        <v>127</v>
      </c>
      <c r="M116" s="35">
        <v>38</v>
      </c>
      <c r="N116" s="36">
        <v>35.700000000000003</v>
      </c>
      <c r="O116" s="37" t="s">
        <v>175</v>
      </c>
      <c r="P116" s="38" t="s">
        <v>156</v>
      </c>
      <c r="Q116" s="35" t="s">
        <v>196</v>
      </c>
      <c r="R116" s="36" t="s">
        <v>35</v>
      </c>
    </row>
    <row r="117" spans="1:18" ht="35.1" customHeight="1" thickTop="1" thickBot="1">
      <c r="A117" s="25" t="s">
        <v>214</v>
      </c>
      <c r="B117" s="26">
        <v>5</v>
      </c>
      <c r="C117" s="32" t="s">
        <v>215</v>
      </c>
      <c r="D117" s="28" t="s">
        <v>154</v>
      </c>
      <c r="E117" s="29">
        <v>4</v>
      </c>
      <c r="F117" s="97" t="s">
        <v>220</v>
      </c>
      <c r="G117" s="178">
        <f t="shared" si="0"/>
        <v>26.244694444444445</v>
      </c>
      <c r="H117" s="31">
        <v>26</v>
      </c>
      <c r="I117" s="32">
        <v>14</v>
      </c>
      <c r="J117" s="33">
        <v>40.9</v>
      </c>
      <c r="K117" s="178">
        <f t="shared" si="2"/>
        <v>127.56088888888888</v>
      </c>
      <c r="L117" s="31">
        <v>127</v>
      </c>
      <c r="M117" s="35">
        <v>33</v>
      </c>
      <c r="N117" s="36">
        <v>39.200000000000003</v>
      </c>
      <c r="O117" s="37" t="s">
        <v>175</v>
      </c>
      <c r="P117" s="38" t="s">
        <v>156</v>
      </c>
      <c r="Q117" s="35" t="s">
        <v>196</v>
      </c>
      <c r="R117" s="36" t="s">
        <v>35</v>
      </c>
    </row>
    <row r="118" spans="1:18" ht="35.1" customHeight="1" thickTop="1" thickBot="1">
      <c r="A118" s="25" t="s">
        <v>214</v>
      </c>
      <c r="B118" s="26">
        <v>5</v>
      </c>
      <c r="C118" s="32" t="s">
        <v>215</v>
      </c>
      <c r="D118" s="28" t="s">
        <v>154</v>
      </c>
      <c r="E118" s="29">
        <v>5</v>
      </c>
      <c r="F118" s="97" t="s">
        <v>221</v>
      </c>
      <c r="G118" s="178">
        <f t="shared" si="0"/>
        <v>26.255944444444445</v>
      </c>
      <c r="H118" s="31">
        <v>26</v>
      </c>
      <c r="I118" s="32">
        <v>15</v>
      </c>
      <c r="J118" s="33">
        <v>21.4</v>
      </c>
      <c r="K118" s="178">
        <f t="shared" si="2"/>
        <v>127.58013888888888</v>
      </c>
      <c r="L118" s="31">
        <v>127</v>
      </c>
      <c r="M118" s="35">
        <v>34</v>
      </c>
      <c r="N118" s="36">
        <v>48.5</v>
      </c>
      <c r="O118" s="37" t="s">
        <v>175</v>
      </c>
      <c r="P118" s="38" t="s">
        <v>156</v>
      </c>
      <c r="Q118" s="35" t="s">
        <v>196</v>
      </c>
      <c r="R118" s="36" t="s">
        <v>35</v>
      </c>
    </row>
    <row r="119" spans="1:18" ht="35.1" customHeight="1" thickTop="1" thickBot="1">
      <c r="A119" s="25" t="s">
        <v>214</v>
      </c>
      <c r="B119" s="26">
        <v>5</v>
      </c>
      <c r="C119" s="32" t="s">
        <v>215</v>
      </c>
      <c r="D119" s="28" t="s">
        <v>154</v>
      </c>
      <c r="E119" s="29">
        <v>6</v>
      </c>
      <c r="F119" s="97" t="s">
        <v>222</v>
      </c>
      <c r="G119" s="178">
        <f t="shared" si="0"/>
        <v>26.256944444444443</v>
      </c>
      <c r="H119" s="31">
        <v>26</v>
      </c>
      <c r="I119" s="32">
        <v>15</v>
      </c>
      <c r="J119" s="33">
        <v>25</v>
      </c>
      <c r="K119" s="178">
        <f t="shared" si="2"/>
        <v>127.53983333333333</v>
      </c>
      <c r="L119" s="31">
        <v>127</v>
      </c>
      <c r="M119" s="35">
        <v>32</v>
      </c>
      <c r="N119" s="36">
        <v>23.4</v>
      </c>
      <c r="O119" s="37" t="s">
        <v>175</v>
      </c>
      <c r="P119" s="38" t="s">
        <v>156</v>
      </c>
      <c r="Q119" s="35" t="s">
        <v>196</v>
      </c>
      <c r="R119" s="36" t="s">
        <v>35</v>
      </c>
    </row>
    <row r="120" spans="1:18" ht="35.1" customHeight="1" thickTop="1" thickBot="1">
      <c r="A120" s="25" t="s">
        <v>214</v>
      </c>
      <c r="B120" s="26">
        <v>5</v>
      </c>
      <c r="C120" s="32" t="s">
        <v>215</v>
      </c>
      <c r="D120" s="28" t="s">
        <v>154</v>
      </c>
      <c r="E120" s="29">
        <v>7</v>
      </c>
      <c r="F120" s="97" t="s">
        <v>223</v>
      </c>
      <c r="G120" s="178">
        <f t="shared" si="0"/>
        <v>26.270250000000001</v>
      </c>
      <c r="H120" s="31">
        <v>26</v>
      </c>
      <c r="I120" s="32">
        <v>16</v>
      </c>
      <c r="J120" s="108">
        <v>12.9</v>
      </c>
      <c r="K120" s="178">
        <f t="shared" si="2"/>
        <v>127.52411111111111</v>
      </c>
      <c r="L120" s="31">
        <v>127</v>
      </c>
      <c r="M120" s="32">
        <v>31</v>
      </c>
      <c r="N120" s="108">
        <v>26.8</v>
      </c>
      <c r="O120" s="37" t="s">
        <v>175</v>
      </c>
      <c r="P120" s="38" t="s">
        <v>156</v>
      </c>
      <c r="Q120" s="35" t="s">
        <v>196</v>
      </c>
      <c r="R120" s="36" t="s">
        <v>35</v>
      </c>
    </row>
    <row r="121" spans="1:18" ht="27.6" customHeight="1" thickTop="1" thickBot="1">
      <c r="A121" s="25" t="s">
        <v>214</v>
      </c>
      <c r="B121" s="26">
        <v>5</v>
      </c>
      <c r="C121" s="32" t="s">
        <v>215</v>
      </c>
      <c r="D121" s="28" t="s">
        <v>154</v>
      </c>
      <c r="E121" s="29">
        <v>8</v>
      </c>
      <c r="F121" s="97" t="s">
        <v>224</v>
      </c>
      <c r="G121" s="178">
        <f t="shared" si="0"/>
        <v>26.274333333333331</v>
      </c>
      <c r="H121" s="31">
        <v>26</v>
      </c>
      <c r="I121" s="32">
        <v>16</v>
      </c>
      <c r="J121" s="33">
        <v>27.6</v>
      </c>
      <c r="K121" s="178">
        <f t="shared" si="2"/>
        <v>127.55158333333333</v>
      </c>
      <c r="L121" s="31">
        <v>127</v>
      </c>
      <c r="M121" s="35">
        <v>33</v>
      </c>
      <c r="N121" s="36">
        <v>5.7</v>
      </c>
      <c r="O121" s="37" t="s">
        <v>175</v>
      </c>
      <c r="P121" s="38" t="s">
        <v>156</v>
      </c>
      <c r="Q121" s="35" t="s">
        <v>196</v>
      </c>
      <c r="R121" s="36" t="s">
        <v>35</v>
      </c>
    </row>
    <row r="122" spans="1:18" ht="27.6" customHeight="1" thickTop="1" thickBot="1">
      <c r="A122" s="25" t="s">
        <v>214</v>
      </c>
      <c r="B122" s="26">
        <v>5</v>
      </c>
      <c r="C122" s="32" t="s">
        <v>215</v>
      </c>
      <c r="D122" s="28" t="s">
        <v>154</v>
      </c>
      <c r="E122" s="29">
        <v>9</v>
      </c>
      <c r="F122" s="97" t="s">
        <v>225</v>
      </c>
      <c r="G122" s="178">
        <f t="shared" si="0"/>
        <v>26.276499999999999</v>
      </c>
      <c r="H122" s="31">
        <v>26</v>
      </c>
      <c r="I122" s="32">
        <v>16</v>
      </c>
      <c r="J122" s="33">
        <v>35.4</v>
      </c>
      <c r="K122" s="178">
        <f t="shared" si="2"/>
        <v>127.69513888888889</v>
      </c>
      <c r="L122" s="31">
        <v>127</v>
      </c>
      <c r="M122" s="35">
        <v>41</v>
      </c>
      <c r="N122" s="36">
        <v>42.5</v>
      </c>
      <c r="O122" s="37" t="s">
        <v>175</v>
      </c>
      <c r="P122" s="38" t="s">
        <v>156</v>
      </c>
      <c r="Q122" s="35" t="s">
        <v>196</v>
      </c>
      <c r="R122" s="36" t="s">
        <v>35</v>
      </c>
    </row>
    <row r="123" spans="1:18" ht="27.6" customHeight="1" thickTop="1" thickBot="1">
      <c r="A123" s="25" t="s">
        <v>214</v>
      </c>
      <c r="B123" s="26">
        <v>5</v>
      </c>
      <c r="C123" s="32" t="s">
        <v>215</v>
      </c>
      <c r="D123" s="28" t="s">
        <v>154</v>
      </c>
      <c r="E123" s="29">
        <v>10</v>
      </c>
      <c r="F123" s="97" t="s">
        <v>226</v>
      </c>
      <c r="G123" s="178">
        <f t="shared" si="0"/>
        <v>26.291944444444447</v>
      </c>
      <c r="H123" s="31">
        <v>26</v>
      </c>
      <c r="I123" s="32">
        <v>17</v>
      </c>
      <c r="J123" s="33">
        <v>31</v>
      </c>
      <c r="K123" s="178">
        <f t="shared" si="2"/>
        <v>127.74502777777778</v>
      </c>
      <c r="L123" s="31">
        <v>127</v>
      </c>
      <c r="M123" s="35">
        <v>44</v>
      </c>
      <c r="N123" s="36">
        <v>42.1</v>
      </c>
      <c r="O123" s="37" t="s">
        <v>175</v>
      </c>
      <c r="P123" s="38" t="s">
        <v>156</v>
      </c>
      <c r="Q123" s="35" t="s">
        <v>196</v>
      </c>
      <c r="R123" s="36" t="s">
        <v>128</v>
      </c>
    </row>
    <row r="124" spans="1:18" ht="27.6" customHeight="1" thickTop="1" thickBot="1">
      <c r="A124" s="25" t="s">
        <v>214</v>
      </c>
      <c r="B124" s="26">
        <v>5</v>
      </c>
      <c r="C124" s="32" t="s">
        <v>215</v>
      </c>
      <c r="D124" s="28" t="s">
        <v>154</v>
      </c>
      <c r="E124" s="29">
        <v>11</v>
      </c>
      <c r="F124" s="97" t="s">
        <v>227</v>
      </c>
      <c r="G124" s="178">
        <f t="shared" si="0"/>
        <v>26.3245</v>
      </c>
      <c r="H124" s="31">
        <v>26</v>
      </c>
      <c r="I124" s="32">
        <v>19</v>
      </c>
      <c r="J124" s="33">
        <v>28.2</v>
      </c>
      <c r="K124" s="178">
        <f t="shared" si="2"/>
        <v>127.74427777777778</v>
      </c>
      <c r="L124" s="31">
        <v>127</v>
      </c>
      <c r="M124" s="35">
        <v>44</v>
      </c>
      <c r="N124" s="36">
        <v>39.4</v>
      </c>
      <c r="O124" s="37" t="s">
        <v>175</v>
      </c>
      <c r="P124" s="38" t="s">
        <v>156</v>
      </c>
      <c r="Q124" s="35" t="s">
        <v>196</v>
      </c>
      <c r="R124" s="36" t="s">
        <v>168</v>
      </c>
    </row>
    <row r="125" spans="1:18" ht="35.1" customHeight="1" thickTop="1" thickBot="1">
      <c r="A125" s="25" t="s">
        <v>214</v>
      </c>
      <c r="B125" s="26">
        <v>5</v>
      </c>
      <c r="C125" s="32" t="s">
        <v>215</v>
      </c>
      <c r="D125" s="28" t="s">
        <v>154</v>
      </c>
      <c r="E125" s="29">
        <v>12</v>
      </c>
      <c r="F125" s="97" t="s">
        <v>1853</v>
      </c>
      <c r="G125" s="178">
        <f t="shared" si="0"/>
        <v>26.363333333333333</v>
      </c>
      <c r="H125" s="31">
        <v>26</v>
      </c>
      <c r="I125" s="32">
        <v>21</v>
      </c>
      <c r="J125" s="33">
        <v>48</v>
      </c>
      <c r="K125" s="178">
        <f t="shared" si="2"/>
        <v>127.73288888888889</v>
      </c>
      <c r="L125" s="31">
        <v>127</v>
      </c>
      <c r="M125" s="35">
        <v>43</v>
      </c>
      <c r="N125" s="36">
        <v>58.4</v>
      </c>
      <c r="O125" s="37" t="s">
        <v>175</v>
      </c>
      <c r="P125" s="38" t="s">
        <v>156</v>
      </c>
      <c r="Q125" s="35" t="s">
        <v>196</v>
      </c>
      <c r="R125" s="36" t="s">
        <v>183</v>
      </c>
    </row>
    <row r="126" spans="1:18" ht="27.6" customHeight="1" thickTop="1" thickBot="1">
      <c r="A126" s="25" t="s">
        <v>214</v>
      </c>
      <c r="B126" s="26">
        <v>5</v>
      </c>
      <c r="C126" s="32" t="s">
        <v>215</v>
      </c>
      <c r="D126" s="28" t="s">
        <v>154</v>
      </c>
      <c r="E126" s="29">
        <v>13</v>
      </c>
      <c r="F126" s="97" t="s">
        <v>228</v>
      </c>
      <c r="G126" s="178">
        <f t="shared" si="0"/>
        <v>26.438972222222223</v>
      </c>
      <c r="H126" s="31">
        <v>26</v>
      </c>
      <c r="I126" s="32">
        <v>26</v>
      </c>
      <c r="J126" s="33">
        <v>20.3</v>
      </c>
      <c r="K126" s="178">
        <f t="shared" si="2"/>
        <v>127.70872222222222</v>
      </c>
      <c r="L126" s="31">
        <v>127</v>
      </c>
      <c r="M126" s="35">
        <v>42</v>
      </c>
      <c r="N126" s="36">
        <v>31.4</v>
      </c>
      <c r="O126" s="37" t="s">
        <v>130</v>
      </c>
      <c r="P126" s="38" t="s">
        <v>195</v>
      </c>
      <c r="Q126" s="35" t="s">
        <v>196</v>
      </c>
      <c r="R126" s="36" t="s">
        <v>229</v>
      </c>
    </row>
    <row r="127" spans="1:18" ht="27.6" customHeight="1" thickTop="1" thickBot="1">
      <c r="A127" s="25" t="s">
        <v>214</v>
      </c>
      <c r="B127" s="26">
        <v>5</v>
      </c>
      <c r="C127" s="32" t="s">
        <v>215</v>
      </c>
      <c r="D127" s="28" t="s">
        <v>154</v>
      </c>
      <c r="E127" s="29">
        <v>14</v>
      </c>
      <c r="F127" s="97" t="s">
        <v>230</v>
      </c>
      <c r="G127" s="178">
        <f t="shared" si="0"/>
        <v>26.438972222222223</v>
      </c>
      <c r="H127" s="31">
        <v>26</v>
      </c>
      <c r="I127" s="32">
        <v>26</v>
      </c>
      <c r="J127" s="33">
        <v>20.3</v>
      </c>
      <c r="K127" s="178">
        <f t="shared" si="2"/>
        <v>127.70872222222222</v>
      </c>
      <c r="L127" s="31">
        <v>127</v>
      </c>
      <c r="M127" s="35">
        <v>42</v>
      </c>
      <c r="N127" s="36">
        <v>31.4</v>
      </c>
      <c r="O127" s="37" t="s">
        <v>175</v>
      </c>
      <c r="P127" s="38" t="s">
        <v>156</v>
      </c>
      <c r="Q127" s="35" t="s">
        <v>196</v>
      </c>
      <c r="R127" s="36" t="s">
        <v>183</v>
      </c>
    </row>
    <row r="128" spans="1:18" ht="27.6" customHeight="1" thickTop="1" thickBot="1">
      <c r="A128" s="25" t="s">
        <v>214</v>
      </c>
      <c r="B128" s="26">
        <v>5</v>
      </c>
      <c r="C128" s="32" t="s">
        <v>215</v>
      </c>
      <c r="D128" s="28" t="s">
        <v>154</v>
      </c>
      <c r="E128" s="29">
        <v>15</v>
      </c>
      <c r="F128" s="97" t="s">
        <v>231</v>
      </c>
      <c r="G128" s="178">
        <f t="shared" si="0"/>
        <v>26.445888888888888</v>
      </c>
      <c r="H128" s="31">
        <v>26</v>
      </c>
      <c r="I128" s="32">
        <v>26</v>
      </c>
      <c r="J128" s="33">
        <v>45.2</v>
      </c>
      <c r="K128" s="178">
        <f t="shared" si="2"/>
        <v>127.76872222222222</v>
      </c>
      <c r="L128" s="31">
        <v>127</v>
      </c>
      <c r="M128" s="35">
        <v>46</v>
      </c>
      <c r="N128" s="36">
        <v>7.4</v>
      </c>
      <c r="O128" s="37" t="s">
        <v>130</v>
      </c>
      <c r="P128" s="38" t="s">
        <v>156</v>
      </c>
      <c r="Q128" s="35" t="s">
        <v>196</v>
      </c>
      <c r="R128" s="36" t="s">
        <v>160</v>
      </c>
    </row>
    <row r="129" spans="1:18" ht="27.6" customHeight="1" thickTop="1" thickBot="1">
      <c r="A129" s="25" t="s">
        <v>214</v>
      </c>
      <c r="B129" s="26">
        <v>5</v>
      </c>
      <c r="C129" s="32" t="s">
        <v>215</v>
      </c>
      <c r="D129" s="28" t="s">
        <v>154</v>
      </c>
      <c r="E129" s="29">
        <v>16</v>
      </c>
      <c r="F129" s="97" t="s">
        <v>232</v>
      </c>
      <c r="G129" s="178">
        <f t="shared" si="0"/>
        <v>26.445888888888888</v>
      </c>
      <c r="H129" s="31">
        <v>26</v>
      </c>
      <c r="I129" s="32">
        <v>26</v>
      </c>
      <c r="J129" s="33">
        <v>45.2</v>
      </c>
      <c r="K129" s="178">
        <f t="shared" si="2"/>
        <v>127.76872222222222</v>
      </c>
      <c r="L129" s="31">
        <v>127</v>
      </c>
      <c r="M129" s="35">
        <v>46</v>
      </c>
      <c r="N129" s="36">
        <v>7.4</v>
      </c>
      <c r="O129" s="37" t="s">
        <v>175</v>
      </c>
      <c r="P129" s="38" t="s">
        <v>156</v>
      </c>
      <c r="Q129" s="35" t="s">
        <v>196</v>
      </c>
      <c r="R129" s="36" t="s">
        <v>183</v>
      </c>
    </row>
    <row r="130" spans="1:18" ht="27.6" customHeight="1" thickTop="1" thickBot="1">
      <c r="A130" s="25" t="s">
        <v>214</v>
      </c>
      <c r="B130" s="26">
        <v>5</v>
      </c>
      <c r="C130" s="32" t="s">
        <v>215</v>
      </c>
      <c r="D130" s="28" t="s">
        <v>154</v>
      </c>
      <c r="E130" s="29">
        <v>17</v>
      </c>
      <c r="F130" s="97" t="s">
        <v>233</v>
      </c>
      <c r="G130" s="178">
        <f t="shared" si="0"/>
        <v>26.496833333333335</v>
      </c>
      <c r="H130" s="31">
        <v>26</v>
      </c>
      <c r="I130" s="32">
        <v>29</v>
      </c>
      <c r="J130" s="33">
        <v>48.6</v>
      </c>
      <c r="K130" s="178">
        <f t="shared" si="2"/>
        <v>127.8376111111111</v>
      </c>
      <c r="L130" s="31">
        <v>127</v>
      </c>
      <c r="M130" s="35">
        <v>50</v>
      </c>
      <c r="N130" s="36">
        <v>15.4</v>
      </c>
      <c r="O130" s="37" t="s">
        <v>130</v>
      </c>
      <c r="P130" s="38" t="s">
        <v>156</v>
      </c>
      <c r="Q130" s="35" t="s">
        <v>196</v>
      </c>
      <c r="R130" s="36" t="s">
        <v>234</v>
      </c>
    </row>
    <row r="131" spans="1:18" ht="27.6" customHeight="1" thickTop="1" thickBot="1">
      <c r="A131" s="25" t="s">
        <v>214</v>
      </c>
      <c r="B131" s="26">
        <v>5</v>
      </c>
      <c r="C131" s="32" t="s">
        <v>215</v>
      </c>
      <c r="D131" s="28" t="s">
        <v>154</v>
      </c>
      <c r="E131" s="29">
        <v>18</v>
      </c>
      <c r="F131" s="97" t="s">
        <v>235</v>
      </c>
      <c r="G131" s="178">
        <f t="shared" si="0"/>
        <v>26.496833333333335</v>
      </c>
      <c r="H131" s="31">
        <v>26</v>
      </c>
      <c r="I131" s="32">
        <v>29</v>
      </c>
      <c r="J131" s="33">
        <v>48.6</v>
      </c>
      <c r="K131" s="178">
        <f t="shared" si="2"/>
        <v>127.8376111111111</v>
      </c>
      <c r="L131" s="31">
        <v>127</v>
      </c>
      <c r="M131" s="35">
        <v>50</v>
      </c>
      <c r="N131" s="36">
        <v>15.4</v>
      </c>
      <c r="O131" s="37" t="s">
        <v>175</v>
      </c>
      <c r="P131" s="38" t="s">
        <v>156</v>
      </c>
      <c r="Q131" s="35" t="s">
        <v>196</v>
      </c>
      <c r="R131" s="36" t="s">
        <v>183</v>
      </c>
    </row>
    <row r="132" spans="1:18" ht="27.6" customHeight="1" thickTop="1" thickBot="1">
      <c r="A132" s="25" t="s">
        <v>214</v>
      </c>
      <c r="B132" s="26">
        <v>5</v>
      </c>
      <c r="C132" s="32" t="s">
        <v>215</v>
      </c>
      <c r="D132" s="28" t="s">
        <v>154</v>
      </c>
      <c r="E132" s="29">
        <v>19</v>
      </c>
      <c r="F132" s="97" t="s">
        <v>236</v>
      </c>
      <c r="G132" s="178">
        <f t="shared" si="0"/>
        <v>26.50588888888889</v>
      </c>
      <c r="H132" s="31">
        <v>26</v>
      </c>
      <c r="I132" s="32">
        <v>30</v>
      </c>
      <c r="J132" s="108">
        <v>21.2</v>
      </c>
      <c r="K132" s="178">
        <f t="shared" si="2"/>
        <v>127.88144444444444</v>
      </c>
      <c r="L132" s="31">
        <v>127</v>
      </c>
      <c r="M132" s="32">
        <v>52</v>
      </c>
      <c r="N132" s="108">
        <v>53.2</v>
      </c>
      <c r="O132" s="37" t="s">
        <v>130</v>
      </c>
      <c r="P132" s="38" t="s">
        <v>156</v>
      </c>
      <c r="Q132" s="35" t="s">
        <v>196</v>
      </c>
      <c r="R132" s="36" t="s">
        <v>168</v>
      </c>
    </row>
    <row r="133" spans="1:18" ht="35.1" customHeight="1" thickTop="1" thickBot="1">
      <c r="A133" s="25" t="s">
        <v>214</v>
      </c>
      <c r="B133" s="26">
        <v>5</v>
      </c>
      <c r="C133" s="32" t="s">
        <v>215</v>
      </c>
      <c r="D133" s="28" t="s">
        <v>154</v>
      </c>
      <c r="E133" s="29">
        <v>20</v>
      </c>
      <c r="F133" s="97" t="s">
        <v>237</v>
      </c>
      <c r="G133" s="178">
        <f t="shared" si="0"/>
        <v>26.539944444444448</v>
      </c>
      <c r="H133" s="31">
        <v>26</v>
      </c>
      <c r="I133" s="32">
        <v>32</v>
      </c>
      <c r="J133" s="33">
        <v>23.8</v>
      </c>
      <c r="K133" s="178">
        <f t="shared" si="2"/>
        <v>127.9291388888889</v>
      </c>
      <c r="L133" s="31">
        <v>127</v>
      </c>
      <c r="M133" s="35">
        <v>55</v>
      </c>
      <c r="N133" s="36">
        <v>44.9</v>
      </c>
      <c r="O133" s="37" t="s">
        <v>175</v>
      </c>
      <c r="P133" s="38" t="s">
        <v>156</v>
      </c>
      <c r="Q133" s="35" t="s">
        <v>196</v>
      </c>
      <c r="R133" s="36" t="s">
        <v>168</v>
      </c>
    </row>
    <row r="134" spans="1:18" ht="27.6" customHeight="1" thickTop="1" thickBot="1">
      <c r="A134" s="25" t="s">
        <v>214</v>
      </c>
      <c r="B134" s="26">
        <v>5</v>
      </c>
      <c r="C134" s="32" t="s">
        <v>215</v>
      </c>
      <c r="D134" s="28" t="s">
        <v>154</v>
      </c>
      <c r="E134" s="29">
        <v>21</v>
      </c>
      <c r="F134" s="97" t="s">
        <v>238</v>
      </c>
      <c r="G134" s="178">
        <f t="shared" si="0"/>
        <v>26.623583333333332</v>
      </c>
      <c r="H134" s="31">
        <v>26</v>
      </c>
      <c r="I134" s="32">
        <v>37</v>
      </c>
      <c r="J134" s="33">
        <v>24.9</v>
      </c>
      <c r="K134" s="178">
        <f t="shared" si="2"/>
        <v>127.85963888888888</v>
      </c>
      <c r="L134" s="31">
        <v>127</v>
      </c>
      <c r="M134" s="35">
        <v>51</v>
      </c>
      <c r="N134" s="36">
        <v>34.700000000000003</v>
      </c>
      <c r="O134" s="37" t="s">
        <v>175</v>
      </c>
      <c r="P134" s="38" t="s">
        <v>156</v>
      </c>
      <c r="Q134" s="35" t="s">
        <v>196</v>
      </c>
      <c r="R134" s="36" t="s">
        <v>112</v>
      </c>
    </row>
    <row r="135" spans="1:18" ht="35.1" customHeight="1" thickTop="1" thickBot="1">
      <c r="A135" s="25" t="s">
        <v>214</v>
      </c>
      <c r="B135" s="26">
        <v>5</v>
      </c>
      <c r="C135" s="32" t="s">
        <v>215</v>
      </c>
      <c r="D135" s="28" t="s">
        <v>154</v>
      </c>
      <c r="E135" s="29">
        <v>22</v>
      </c>
      <c r="F135" s="97" t="s">
        <v>239</v>
      </c>
      <c r="G135" s="178">
        <f t="shared" si="0"/>
        <v>26.675833333333333</v>
      </c>
      <c r="H135" s="31">
        <v>26</v>
      </c>
      <c r="I135" s="32">
        <v>40</v>
      </c>
      <c r="J135" s="108">
        <v>33</v>
      </c>
      <c r="K135" s="178">
        <f t="shared" si="2"/>
        <v>127.87633333333332</v>
      </c>
      <c r="L135" s="31">
        <v>127</v>
      </c>
      <c r="M135" s="32">
        <v>52</v>
      </c>
      <c r="N135" s="108">
        <v>34.799999999999997</v>
      </c>
      <c r="O135" s="37" t="s">
        <v>240</v>
      </c>
      <c r="P135" s="38" t="s">
        <v>156</v>
      </c>
      <c r="Q135" s="35" t="s">
        <v>196</v>
      </c>
      <c r="R135" s="36" t="s">
        <v>99</v>
      </c>
    </row>
    <row r="136" spans="1:18" ht="27.6" customHeight="1" thickTop="1" thickBot="1">
      <c r="A136" s="25" t="s">
        <v>214</v>
      </c>
      <c r="B136" s="26">
        <v>5</v>
      </c>
      <c r="C136" s="32" t="s">
        <v>215</v>
      </c>
      <c r="D136" s="28" t="s">
        <v>154</v>
      </c>
      <c r="E136" s="29">
        <v>23</v>
      </c>
      <c r="F136" s="97" t="s">
        <v>241</v>
      </c>
      <c r="G136" s="178">
        <f t="shared" si="0"/>
        <v>26.693055555555556</v>
      </c>
      <c r="H136" s="31">
        <v>26</v>
      </c>
      <c r="I136" s="32">
        <v>41</v>
      </c>
      <c r="J136" s="33">
        <v>35</v>
      </c>
      <c r="K136" s="178">
        <f t="shared" si="2"/>
        <v>127.87280555555554</v>
      </c>
      <c r="L136" s="31">
        <v>127</v>
      </c>
      <c r="M136" s="35">
        <v>52</v>
      </c>
      <c r="N136" s="36">
        <v>22.1</v>
      </c>
      <c r="O136" s="37" t="s">
        <v>175</v>
      </c>
      <c r="P136" s="38" t="s">
        <v>156</v>
      </c>
      <c r="Q136" s="35" t="s">
        <v>196</v>
      </c>
      <c r="R136" s="36" t="s">
        <v>112</v>
      </c>
    </row>
    <row r="137" spans="1:18" ht="27.6" customHeight="1" thickTop="1" thickBot="1">
      <c r="A137" s="25" t="s">
        <v>214</v>
      </c>
      <c r="B137" s="26">
        <v>5</v>
      </c>
      <c r="C137" s="32" t="s">
        <v>215</v>
      </c>
      <c r="D137" s="28" t="s">
        <v>154</v>
      </c>
      <c r="E137" s="29">
        <v>24</v>
      </c>
      <c r="F137" s="97" t="s">
        <v>242</v>
      </c>
      <c r="G137" s="178">
        <f t="shared" si="0"/>
        <v>26.711083333333331</v>
      </c>
      <c r="H137" s="31">
        <v>26</v>
      </c>
      <c r="I137" s="32">
        <v>42</v>
      </c>
      <c r="J137" s="33">
        <v>39.9</v>
      </c>
      <c r="K137" s="178">
        <f t="shared" si="2"/>
        <v>127.88741666666667</v>
      </c>
      <c r="L137" s="31">
        <v>127</v>
      </c>
      <c r="M137" s="35">
        <v>53</v>
      </c>
      <c r="N137" s="36">
        <v>14.7</v>
      </c>
      <c r="O137" s="37" t="s">
        <v>130</v>
      </c>
      <c r="P137" s="38" t="s">
        <v>156</v>
      </c>
      <c r="Q137" s="35" t="s">
        <v>196</v>
      </c>
      <c r="R137" s="36" t="s">
        <v>160</v>
      </c>
    </row>
    <row r="138" spans="1:18" ht="27.6" customHeight="1" thickTop="1" thickBot="1">
      <c r="A138" s="25" t="s">
        <v>214</v>
      </c>
      <c r="B138" s="26">
        <v>5</v>
      </c>
      <c r="C138" s="32" t="s">
        <v>215</v>
      </c>
      <c r="D138" s="28" t="s">
        <v>154</v>
      </c>
      <c r="E138" s="29">
        <v>25</v>
      </c>
      <c r="F138" s="97" t="s">
        <v>243</v>
      </c>
      <c r="G138" s="178">
        <f t="shared" si="0"/>
        <v>26.711083333333331</v>
      </c>
      <c r="H138" s="31">
        <v>26</v>
      </c>
      <c r="I138" s="32">
        <v>42</v>
      </c>
      <c r="J138" s="33">
        <v>39.9</v>
      </c>
      <c r="K138" s="178">
        <f t="shared" si="2"/>
        <v>127.88741666666667</v>
      </c>
      <c r="L138" s="31">
        <v>127</v>
      </c>
      <c r="M138" s="35">
        <v>53</v>
      </c>
      <c r="N138" s="36">
        <v>14.7</v>
      </c>
      <c r="O138" s="37" t="s">
        <v>175</v>
      </c>
      <c r="P138" s="38" t="s">
        <v>156</v>
      </c>
      <c r="Q138" s="35" t="s">
        <v>196</v>
      </c>
      <c r="R138" s="36" t="s">
        <v>112</v>
      </c>
    </row>
    <row r="139" spans="1:18" ht="27.6" customHeight="1" thickTop="1" thickBot="1">
      <c r="A139" s="25" t="s">
        <v>214</v>
      </c>
      <c r="B139" s="26">
        <v>5</v>
      </c>
      <c r="C139" s="32" t="s">
        <v>215</v>
      </c>
      <c r="D139" s="28" t="s">
        <v>154</v>
      </c>
      <c r="E139" s="29">
        <v>26</v>
      </c>
      <c r="F139" s="97" t="s">
        <v>244</v>
      </c>
      <c r="G139" s="178">
        <f t="shared" si="0"/>
        <v>26.70611111111111</v>
      </c>
      <c r="H139" s="31">
        <v>26</v>
      </c>
      <c r="I139" s="32">
        <v>42</v>
      </c>
      <c r="J139" s="33">
        <v>22</v>
      </c>
      <c r="K139" s="178">
        <f t="shared" si="2"/>
        <v>127.94819444444445</v>
      </c>
      <c r="L139" s="31">
        <v>127</v>
      </c>
      <c r="M139" s="35">
        <v>56</v>
      </c>
      <c r="N139" s="36">
        <v>53.5</v>
      </c>
      <c r="O139" s="37" t="s">
        <v>130</v>
      </c>
      <c r="P139" s="38" t="s">
        <v>245</v>
      </c>
      <c r="Q139" s="35" t="s">
        <v>196</v>
      </c>
      <c r="R139" s="36" t="s">
        <v>160</v>
      </c>
    </row>
    <row r="140" spans="1:18" ht="27.6" customHeight="1" thickTop="1" thickBot="1">
      <c r="A140" s="25" t="s">
        <v>214</v>
      </c>
      <c r="B140" s="26">
        <v>5</v>
      </c>
      <c r="C140" s="32" t="s">
        <v>215</v>
      </c>
      <c r="D140" s="28" t="s">
        <v>154</v>
      </c>
      <c r="E140" s="29">
        <v>27</v>
      </c>
      <c r="F140" s="97" t="s">
        <v>246</v>
      </c>
      <c r="G140" s="178">
        <f t="shared" si="0"/>
        <v>26.70611111111111</v>
      </c>
      <c r="H140" s="31">
        <v>26</v>
      </c>
      <c r="I140" s="32">
        <v>42</v>
      </c>
      <c r="J140" s="33">
        <v>22</v>
      </c>
      <c r="K140" s="178">
        <f t="shared" si="2"/>
        <v>127.94819444444445</v>
      </c>
      <c r="L140" s="31">
        <v>127</v>
      </c>
      <c r="M140" s="35">
        <v>56</v>
      </c>
      <c r="N140" s="36">
        <v>53.5</v>
      </c>
      <c r="O140" s="37" t="s">
        <v>175</v>
      </c>
      <c r="P140" s="38" t="s">
        <v>156</v>
      </c>
      <c r="Q140" s="35" t="s">
        <v>196</v>
      </c>
      <c r="R140" s="36" t="s">
        <v>183</v>
      </c>
    </row>
    <row r="141" spans="1:18" ht="27.6" customHeight="1" thickTop="1" thickBot="1">
      <c r="A141" s="25" t="s">
        <v>214</v>
      </c>
      <c r="B141" s="26">
        <v>5</v>
      </c>
      <c r="C141" s="32" t="s">
        <v>215</v>
      </c>
      <c r="D141" s="28" t="s">
        <v>154</v>
      </c>
      <c r="E141" s="29">
        <v>28</v>
      </c>
      <c r="F141" s="97" t="s">
        <v>247</v>
      </c>
      <c r="G141" s="178">
        <f t="shared" si="0"/>
        <v>26.713249999999999</v>
      </c>
      <c r="H141" s="31">
        <v>26</v>
      </c>
      <c r="I141" s="32">
        <v>42</v>
      </c>
      <c r="J141" s="33">
        <v>47.7</v>
      </c>
      <c r="K141" s="178">
        <f t="shared" si="2"/>
        <v>128.01888888888891</v>
      </c>
      <c r="L141" s="31">
        <v>128</v>
      </c>
      <c r="M141" s="35">
        <v>1</v>
      </c>
      <c r="N141" s="33">
        <v>8</v>
      </c>
      <c r="O141" s="37" t="s">
        <v>130</v>
      </c>
      <c r="P141" s="38" t="s">
        <v>156</v>
      </c>
      <c r="Q141" s="35" t="s">
        <v>196</v>
      </c>
      <c r="R141" s="36" t="s">
        <v>160</v>
      </c>
    </row>
    <row r="142" spans="1:18" ht="27.6" customHeight="1" thickTop="1" thickBot="1">
      <c r="A142" s="25" t="s">
        <v>214</v>
      </c>
      <c r="B142" s="26">
        <v>5</v>
      </c>
      <c r="C142" s="32" t="s">
        <v>215</v>
      </c>
      <c r="D142" s="28" t="s">
        <v>154</v>
      </c>
      <c r="E142" s="29">
        <v>29</v>
      </c>
      <c r="F142" s="97" t="s">
        <v>248</v>
      </c>
      <c r="G142" s="178">
        <f t="shared" si="0"/>
        <v>26.713249999999999</v>
      </c>
      <c r="H142" s="31">
        <v>26</v>
      </c>
      <c r="I142" s="32">
        <v>42</v>
      </c>
      <c r="J142" s="33">
        <v>47.7</v>
      </c>
      <c r="K142" s="178">
        <f t="shared" si="2"/>
        <v>128.01888888888891</v>
      </c>
      <c r="L142" s="31">
        <v>128</v>
      </c>
      <c r="M142" s="35">
        <v>1</v>
      </c>
      <c r="N142" s="33">
        <v>8</v>
      </c>
      <c r="O142" s="37" t="s">
        <v>175</v>
      </c>
      <c r="P142" s="38" t="s">
        <v>156</v>
      </c>
      <c r="Q142" s="35" t="s">
        <v>196</v>
      </c>
      <c r="R142" s="36" t="s">
        <v>183</v>
      </c>
    </row>
    <row r="143" spans="1:18" ht="27.6" customHeight="1" thickTop="1" thickBot="1">
      <c r="A143" s="25" t="s">
        <v>214</v>
      </c>
      <c r="B143" s="26">
        <v>5</v>
      </c>
      <c r="C143" s="32" t="s">
        <v>215</v>
      </c>
      <c r="D143" s="28" t="s">
        <v>154</v>
      </c>
      <c r="E143" s="29">
        <v>30</v>
      </c>
      <c r="F143" s="97" t="s">
        <v>249</v>
      </c>
      <c r="G143" s="178">
        <f t="shared" si="0"/>
        <v>26.095749999999999</v>
      </c>
      <c r="H143" s="31">
        <v>26</v>
      </c>
      <c r="I143" s="32">
        <v>5</v>
      </c>
      <c r="J143" s="33">
        <v>44.7</v>
      </c>
      <c r="K143" s="178">
        <f t="shared" si="2"/>
        <v>127.63675000000001</v>
      </c>
      <c r="L143" s="31">
        <v>127</v>
      </c>
      <c r="M143" s="35">
        <v>38</v>
      </c>
      <c r="N143" s="36">
        <v>12.3</v>
      </c>
      <c r="O143" s="37" t="s">
        <v>240</v>
      </c>
      <c r="P143" s="38" t="s">
        <v>156</v>
      </c>
      <c r="Q143" s="35" t="s">
        <v>196</v>
      </c>
      <c r="R143" s="36" t="s">
        <v>35</v>
      </c>
    </row>
    <row r="144" spans="1:18" ht="27.6" customHeight="1" thickTop="1" thickBot="1">
      <c r="A144" s="25" t="s">
        <v>214</v>
      </c>
      <c r="B144" s="26">
        <v>5</v>
      </c>
      <c r="C144" s="32" t="s">
        <v>215</v>
      </c>
      <c r="D144" s="28" t="s">
        <v>154</v>
      </c>
      <c r="E144" s="29">
        <v>31</v>
      </c>
      <c r="F144" s="97" t="s">
        <v>250</v>
      </c>
      <c r="G144" s="178">
        <f t="shared" si="0"/>
        <v>26.192416666666666</v>
      </c>
      <c r="H144" s="31">
        <v>26</v>
      </c>
      <c r="I144" s="32">
        <v>11</v>
      </c>
      <c r="J144" s="33">
        <v>32.700000000000003</v>
      </c>
      <c r="K144" s="178">
        <f t="shared" si="2"/>
        <v>127.61458333333333</v>
      </c>
      <c r="L144" s="31">
        <v>127</v>
      </c>
      <c r="M144" s="35">
        <v>36</v>
      </c>
      <c r="N144" s="36">
        <v>52.5</v>
      </c>
      <c r="O144" s="37" t="s">
        <v>66</v>
      </c>
      <c r="P144" s="38" t="s">
        <v>251</v>
      </c>
      <c r="Q144" s="35" t="s">
        <v>196</v>
      </c>
      <c r="R144" s="36" t="s">
        <v>35</v>
      </c>
    </row>
    <row r="145" spans="1:18" ht="27.6" customHeight="1" thickTop="1" thickBot="1">
      <c r="A145" s="25" t="s">
        <v>214</v>
      </c>
      <c r="B145" s="26">
        <v>5</v>
      </c>
      <c r="C145" s="32" t="s">
        <v>215</v>
      </c>
      <c r="D145" s="28" t="s">
        <v>154</v>
      </c>
      <c r="E145" s="29">
        <v>32</v>
      </c>
      <c r="F145" s="97" t="s">
        <v>252</v>
      </c>
      <c r="G145" s="178">
        <f t="shared" si="0"/>
        <v>26.360638888888889</v>
      </c>
      <c r="H145" s="31">
        <v>26</v>
      </c>
      <c r="I145" s="32">
        <v>21</v>
      </c>
      <c r="J145" s="33">
        <v>38.299999999999997</v>
      </c>
      <c r="K145" s="178">
        <f t="shared" si="2"/>
        <v>127.73869444444445</v>
      </c>
      <c r="L145" s="31">
        <v>127</v>
      </c>
      <c r="M145" s="35">
        <v>44</v>
      </c>
      <c r="N145" s="36">
        <v>19.3</v>
      </c>
      <c r="O145" s="37" t="s">
        <v>130</v>
      </c>
      <c r="P145" s="38" t="s">
        <v>156</v>
      </c>
      <c r="Q145" s="35" t="s">
        <v>196</v>
      </c>
      <c r="R145" s="36" t="s">
        <v>183</v>
      </c>
    </row>
    <row r="146" spans="1:18" ht="27.6" customHeight="1" thickTop="1">
      <c r="A146" s="25" t="s">
        <v>214</v>
      </c>
      <c r="B146" s="26">
        <v>5</v>
      </c>
      <c r="C146" s="32" t="s">
        <v>215</v>
      </c>
      <c r="D146" s="28" t="s">
        <v>154</v>
      </c>
      <c r="E146" s="50">
        <v>33</v>
      </c>
      <c r="F146" s="98" t="s">
        <v>253</v>
      </c>
      <c r="G146" s="188">
        <f t="shared" si="0"/>
        <v>26.360638888888889</v>
      </c>
      <c r="H146" s="99">
        <v>26</v>
      </c>
      <c r="I146" s="100">
        <v>21</v>
      </c>
      <c r="J146" s="101">
        <v>38.299999999999997</v>
      </c>
      <c r="K146" s="188">
        <f t="shared" si="2"/>
        <v>127.73869444444445</v>
      </c>
      <c r="L146" s="99">
        <v>127</v>
      </c>
      <c r="M146" s="56">
        <v>44</v>
      </c>
      <c r="N146" s="53">
        <v>19.3</v>
      </c>
      <c r="O146" s="54" t="s">
        <v>175</v>
      </c>
      <c r="P146" s="55" t="s">
        <v>156</v>
      </c>
      <c r="Q146" s="56" t="s">
        <v>196</v>
      </c>
      <c r="R146" s="53" t="s">
        <v>183</v>
      </c>
    </row>
    <row r="147" spans="1:18" ht="27.6" customHeight="1">
      <c r="A147" s="25" t="s">
        <v>214</v>
      </c>
      <c r="B147" s="26">
        <v>5</v>
      </c>
      <c r="C147" s="32" t="s">
        <v>215</v>
      </c>
      <c r="D147" s="28" t="s">
        <v>154</v>
      </c>
      <c r="E147" s="29">
        <v>34</v>
      </c>
      <c r="F147" s="97" t="s">
        <v>254</v>
      </c>
      <c r="G147" s="34">
        <f t="shared" si="0"/>
        <v>26.2575</v>
      </c>
      <c r="H147" s="99">
        <v>26</v>
      </c>
      <c r="I147" s="100">
        <v>15</v>
      </c>
      <c r="J147" s="101">
        <v>27</v>
      </c>
      <c r="K147" s="188">
        <f t="shared" si="2"/>
        <v>127.67916666666667</v>
      </c>
      <c r="L147" s="99">
        <v>127</v>
      </c>
      <c r="M147" s="56">
        <v>40</v>
      </c>
      <c r="N147" s="53">
        <v>45</v>
      </c>
      <c r="O147" s="37" t="s">
        <v>130</v>
      </c>
      <c r="P147" s="38" t="s">
        <v>1356</v>
      </c>
      <c r="Q147" s="35" t="s">
        <v>196</v>
      </c>
      <c r="R147" s="36" t="s">
        <v>160</v>
      </c>
    </row>
    <row r="148" spans="1:18" ht="27.6" customHeight="1">
      <c r="A148" s="25" t="s">
        <v>214</v>
      </c>
      <c r="B148" s="26">
        <v>5</v>
      </c>
      <c r="C148" s="32" t="s">
        <v>215</v>
      </c>
      <c r="D148" s="28" t="s">
        <v>154</v>
      </c>
      <c r="E148" s="29">
        <v>35</v>
      </c>
      <c r="F148" s="97" t="s">
        <v>255</v>
      </c>
      <c r="G148" s="34">
        <f t="shared" si="0"/>
        <v>0</v>
      </c>
      <c r="H148" s="111"/>
      <c r="I148" s="126"/>
      <c r="J148" s="127"/>
      <c r="K148" s="253">
        <f t="shared" si="2"/>
        <v>0</v>
      </c>
      <c r="L148" s="614"/>
      <c r="M148" s="615"/>
      <c r="N148" s="616"/>
      <c r="O148" s="94" t="s">
        <v>175</v>
      </c>
      <c r="P148" s="95" t="s">
        <v>156</v>
      </c>
      <c r="Q148" s="92" t="s">
        <v>196</v>
      </c>
      <c r="R148" s="93" t="s">
        <v>112</v>
      </c>
    </row>
    <row r="149" spans="1:18" ht="27.6" customHeight="1" thickBot="1">
      <c r="A149" s="25" t="s">
        <v>214</v>
      </c>
      <c r="B149" s="26">
        <v>5</v>
      </c>
      <c r="C149" s="32" t="s">
        <v>215</v>
      </c>
      <c r="D149" s="28" t="s">
        <v>154</v>
      </c>
      <c r="E149" s="87">
        <v>36</v>
      </c>
      <c r="F149" s="88" t="s">
        <v>256</v>
      </c>
      <c r="G149" s="289">
        <f t="shared" si="0"/>
        <v>26.225666666666665</v>
      </c>
      <c r="H149" s="89">
        <v>26</v>
      </c>
      <c r="I149" s="90">
        <v>13</v>
      </c>
      <c r="J149" s="91">
        <v>32.4</v>
      </c>
      <c r="K149" s="289">
        <f t="shared" si="2"/>
        <v>127.67719444444445</v>
      </c>
      <c r="L149" s="89">
        <v>127</v>
      </c>
      <c r="M149" s="90">
        <v>40</v>
      </c>
      <c r="N149" s="91">
        <v>37.9</v>
      </c>
      <c r="O149" s="94" t="s">
        <v>175</v>
      </c>
      <c r="P149" s="95" t="s">
        <v>156</v>
      </c>
      <c r="Q149" s="92" t="s">
        <v>257</v>
      </c>
      <c r="R149" s="93" t="s">
        <v>112</v>
      </c>
    </row>
    <row r="150" spans="1:18" ht="27.6" customHeight="1" thickTop="1" thickBot="1">
      <c r="A150" s="25" t="s">
        <v>214</v>
      </c>
      <c r="B150" s="26">
        <v>5</v>
      </c>
      <c r="C150" s="32" t="s">
        <v>215</v>
      </c>
      <c r="D150" s="28" t="s">
        <v>154</v>
      </c>
      <c r="E150" s="29">
        <v>37</v>
      </c>
      <c r="F150" s="97" t="s">
        <v>258</v>
      </c>
      <c r="G150" s="178">
        <f t="shared" si="0"/>
        <v>26.653944444444441</v>
      </c>
      <c r="H150" s="31">
        <v>26</v>
      </c>
      <c r="I150" s="32">
        <v>39</v>
      </c>
      <c r="J150" s="33">
        <v>14.2</v>
      </c>
      <c r="K150" s="178">
        <f t="shared" si="2"/>
        <v>127.872</v>
      </c>
      <c r="L150" s="31">
        <v>127</v>
      </c>
      <c r="M150" s="32">
        <v>52</v>
      </c>
      <c r="N150" s="33">
        <v>19.2</v>
      </c>
      <c r="O150" s="37" t="s">
        <v>175</v>
      </c>
      <c r="P150" s="38" t="s">
        <v>164</v>
      </c>
      <c r="Q150" s="35"/>
      <c r="R150" s="36" t="s">
        <v>183</v>
      </c>
    </row>
    <row r="151" spans="1:18" ht="27.6" customHeight="1" thickTop="1" thickBot="1">
      <c r="A151" s="25" t="s">
        <v>214</v>
      </c>
      <c r="B151" s="26">
        <v>5</v>
      </c>
      <c r="C151" s="32" t="s">
        <v>215</v>
      </c>
      <c r="D151" s="28" t="s">
        <v>154</v>
      </c>
      <c r="E151" s="29">
        <v>38</v>
      </c>
      <c r="F151" s="97" t="s">
        <v>259</v>
      </c>
      <c r="G151" s="178">
        <f t="shared" si="0"/>
        <v>26.225666666666665</v>
      </c>
      <c r="H151" s="31">
        <v>26</v>
      </c>
      <c r="I151" s="32">
        <v>13</v>
      </c>
      <c r="J151" s="33">
        <v>32.4</v>
      </c>
      <c r="K151" s="178">
        <f t="shared" si="2"/>
        <v>127.67719444444445</v>
      </c>
      <c r="L151" s="31">
        <v>127</v>
      </c>
      <c r="M151" s="32">
        <v>40</v>
      </c>
      <c r="N151" s="33">
        <v>37.9</v>
      </c>
      <c r="O151" s="37" t="s">
        <v>175</v>
      </c>
      <c r="P151" s="38" t="s">
        <v>176</v>
      </c>
      <c r="Q151" s="35" t="s">
        <v>196</v>
      </c>
      <c r="R151" s="36" t="s">
        <v>112</v>
      </c>
    </row>
    <row r="152" spans="1:18" ht="27.6" customHeight="1" thickTop="1" thickBot="1">
      <c r="A152" s="25" t="s">
        <v>214</v>
      </c>
      <c r="B152" s="26">
        <v>5</v>
      </c>
      <c r="C152" s="32" t="s">
        <v>215</v>
      </c>
      <c r="D152" s="28" t="s">
        <v>154</v>
      </c>
      <c r="E152" s="29">
        <v>39</v>
      </c>
      <c r="F152" s="97" t="s">
        <v>260</v>
      </c>
      <c r="G152" s="178">
        <f t="shared" si="0"/>
        <v>26.225666666666665</v>
      </c>
      <c r="H152" s="31">
        <v>26</v>
      </c>
      <c r="I152" s="32">
        <v>13</v>
      </c>
      <c r="J152" s="33">
        <v>32.4</v>
      </c>
      <c r="K152" s="178">
        <f t="shared" si="2"/>
        <v>127.67719444444445</v>
      </c>
      <c r="L152" s="31">
        <v>127</v>
      </c>
      <c r="M152" s="32">
        <v>40</v>
      </c>
      <c r="N152" s="33">
        <v>37.9</v>
      </c>
      <c r="O152" s="37" t="s">
        <v>175</v>
      </c>
      <c r="P152" s="38" t="s">
        <v>176</v>
      </c>
      <c r="Q152" s="35" t="s">
        <v>196</v>
      </c>
      <c r="R152" s="36" t="s">
        <v>112</v>
      </c>
    </row>
    <row r="153" spans="1:18" ht="27.6" customHeight="1" thickTop="1" thickBot="1">
      <c r="A153" s="46" t="s">
        <v>214</v>
      </c>
      <c r="B153" s="47">
        <v>5</v>
      </c>
      <c r="C153" s="100" t="s">
        <v>215</v>
      </c>
      <c r="D153" s="49" t="s">
        <v>154</v>
      </c>
      <c r="E153" s="50">
        <v>40</v>
      </c>
      <c r="F153" s="98" t="s">
        <v>1357</v>
      </c>
      <c r="G153" s="178">
        <f t="shared" si="0"/>
        <v>26.27525</v>
      </c>
      <c r="H153" s="99">
        <v>26</v>
      </c>
      <c r="I153" s="100">
        <v>16</v>
      </c>
      <c r="J153" s="101">
        <v>30.9</v>
      </c>
      <c r="K153" s="178">
        <f t="shared" si="2"/>
        <v>127.69258333333333</v>
      </c>
      <c r="L153" s="99">
        <v>127</v>
      </c>
      <c r="M153" s="100">
        <v>41</v>
      </c>
      <c r="N153" s="101">
        <v>33.299999999999997</v>
      </c>
      <c r="O153" s="54" t="s">
        <v>175</v>
      </c>
      <c r="P153" s="55" t="s">
        <v>176</v>
      </c>
      <c r="Q153" s="56" t="s">
        <v>196</v>
      </c>
      <c r="R153" s="53" t="s">
        <v>35</v>
      </c>
    </row>
    <row r="154" spans="1:18" ht="27.6" customHeight="1" thickTop="1" thickBot="1">
      <c r="A154" s="25" t="s">
        <v>214</v>
      </c>
      <c r="B154" s="26">
        <v>5</v>
      </c>
      <c r="C154" s="32" t="s">
        <v>215</v>
      </c>
      <c r="D154" s="28" t="s">
        <v>154</v>
      </c>
      <c r="E154" s="29">
        <v>41</v>
      </c>
      <c r="F154" s="98" t="s">
        <v>261</v>
      </c>
      <c r="G154" s="178">
        <f t="shared" si="0"/>
        <v>26.0825</v>
      </c>
      <c r="H154" s="99">
        <v>26</v>
      </c>
      <c r="I154" s="100">
        <v>4</v>
      </c>
      <c r="J154" s="101">
        <v>57</v>
      </c>
      <c r="K154" s="178">
        <f t="shared" si="2"/>
        <v>127.65508333333334</v>
      </c>
      <c r="L154" s="99">
        <v>127</v>
      </c>
      <c r="M154" s="100">
        <v>39</v>
      </c>
      <c r="N154" s="101">
        <v>18.3</v>
      </c>
      <c r="O154" s="54" t="s">
        <v>262</v>
      </c>
      <c r="P154" s="55" t="s">
        <v>263</v>
      </c>
      <c r="Q154" s="56" t="s">
        <v>199</v>
      </c>
      <c r="R154" s="53" t="s">
        <v>160</v>
      </c>
    </row>
    <row r="155" spans="1:18" ht="27.6" customHeight="1" thickTop="1" thickBot="1">
      <c r="A155" s="25" t="s">
        <v>214</v>
      </c>
      <c r="B155" s="26">
        <v>5</v>
      </c>
      <c r="C155" s="32" t="s">
        <v>215</v>
      </c>
      <c r="D155" s="28" t="s">
        <v>154</v>
      </c>
      <c r="E155" s="29">
        <v>42</v>
      </c>
      <c r="F155" s="97" t="s">
        <v>264</v>
      </c>
      <c r="G155" s="178">
        <f t="shared" si="0"/>
        <v>0</v>
      </c>
      <c r="H155" s="111"/>
      <c r="I155" s="112"/>
      <c r="J155" s="113"/>
      <c r="K155" s="178">
        <f t="shared" si="2"/>
        <v>0</v>
      </c>
      <c r="L155" s="89"/>
      <c r="M155" s="90"/>
      <c r="N155" s="91"/>
      <c r="O155" s="37" t="s">
        <v>265</v>
      </c>
      <c r="P155" s="95"/>
      <c r="Q155" s="92"/>
      <c r="R155" s="93"/>
    </row>
    <row r="156" spans="1:18" ht="35.1" customHeight="1" thickTop="1" thickBot="1">
      <c r="A156" s="128" t="s">
        <v>214</v>
      </c>
      <c r="B156" s="129">
        <v>5</v>
      </c>
      <c r="C156" s="130" t="s">
        <v>215</v>
      </c>
      <c r="D156" s="131" t="s">
        <v>154</v>
      </c>
      <c r="E156" s="132">
        <v>43</v>
      </c>
      <c r="F156" s="97" t="s">
        <v>1358</v>
      </c>
      <c r="G156" s="178">
        <f t="shared" si="0"/>
        <v>26.442708333333332</v>
      </c>
      <c r="H156" s="133">
        <v>26</v>
      </c>
      <c r="I156" s="130">
        <v>26</v>
      </c>
      <c r="J156" s="134">
        <v>33.75</v>
      </c>
      <c r="K156" s="178">
        <f t="shared" si="2"/>
        <v>127.76745277777778</v>
      </c>
      <c r="L156" s="133">
        <v>127</v>
      </c>
      <c r="M156" s="130">
        <v>46</v>
      </c>
      <c r="N156" s="134">
        <v>2.83</v>
      </c>
      <c r="O156" s="128" t="s">
        <v>1316</v>
      </c>
      <c r="P156" s="135" t="s">
        <v>1359</v>
      </c>
      <c r="Q156" s="131" t="s">
        <v>199</v>
      </c>
      <c r="R156" s="136" t="s">
        <v>160</v>
      </c>
    </row>
    <row r="157" spans="1:18" ht="27.6" customHeight="1" thickTop="1" thickBot="1">
      <c r="A157" s="137" t="s">
        <v>214</v>
      </c>
      <c r="B157" s="138">
        <v>5</v>
      </c>
      <c r="C157" s="139" t="s">
        <v>215</v>
      </c>
      <c r="D157" s="140" t="s">
        <v>154</v>
      </c>
      <c r="E157" s="141">
        <v>44</v>
      </c>
      <c r="F157" s="142" t="s">
        <v>266</v>
      </c>
      <c r="G157" s="178">
        <f t="shared" si="0"/>
        <v>26.329222222222221</v>
      </c>
      <c r="H157" s="143">
        <v>26</v>
      </c>
      <c r="I157" s="139">
        <v>19</v>
      </c>
      <c r="J157" s="144">
        <v>45.2</v>
      </c>
      <c r="K157" s="178">
        <f t="shared" si="2"/>
        <v>127.74211111111111</v>
      </c>
      <c r="L157" s="143">
        <v>127</v>
      </c>
      <c r="M157" s="139">
        <v>44</v>
      </c>
      <c r="N157" s="144">
        <v>31.6</v>
      </c>
      <c r="O157" s="137" t="s">
        <v>175</v>
      </c>
      <c r="P157" s="145" t="s">
        <v>156</v>
      </c>
      <c r="Q157" s="140" t="s">
        <v>199</v>
      </c>
      <c r="R157" s="146" t="s">
        <v>1360</v>
      </c>
    </row>
    <row r="158" spans="1:18" ht="27.6" customHeight="1" thickTop="1" thickBot="1">
      <c r="A158" s="137" t="s">
        <v>214</v>
      </c>
      <c r="B158" s="138">
        <v>5</v>
      </c>
      <c r="C158" s="139" t="s">
        <v>215</v>
      </c>
      <c r="D158" s="140" t="s">
        <v>154</v>
      </c>
      <c r="E158" s="141">
        <v>45</v>
      </c>
      <c r="F158" s="142" t="s">
        <v>267</v>
      </c>
      <c r="G158" s="178">
        <f t="shared" si="0"/>
        <v>26.267444444444443</v>
      </c>
      <c r="H158" s="143">
        <v>26</v>
      </c>
      <c r="I158" s="139">
        <v>16</v>
      </c>
      <c r="J158" s="144">
        <v>2.8</v>
      </c>
      <c r="K158" s="178">
        <f t="shared" si="2"/>
        <v>127.57494444444444</v>
      </c>
      <c r="L158" s="143">
        <v>127</v>
      </c>
      <c r="M158" s="139">
        <v>34</v>
      </c>
      <c r="N158" s="144">
        <v>29.8</v>
      </c>
      <c r="O158" s="137" t="s">
        <v>175</v>
      </c>
      <c r="P158" s="145" t="s">
        <v>156</v>
      </c>
      <c r="Q158" s="140" t="s">
        <v>1361</v>
      </c>
      <c r="R158" s="146" t="s">
        <v>1362</v>
      </c>
    </row>
    <row r="159" spans="1:18" ht="27.6" customHeight="1" thickTop="1" thickBot="1">
      <c r="A159" s="137" t="s">
        <v>214</v>
      </c>
      <c r="B159" s="138">
        <v>5</v>
      </c>
      <c r="C159" s="139" t="s">
        <v>215</v>
      </c>
      <c r="D159" s="140" t="s">
        <v>154</v>
      </c>
      <c r="E159" s="141">
        <v>46</v>
      </c>
      <c r="F159" s="142" t="s">
        <v>268</v>
      </c>
      <c r="G159" s="178">
        <f t="shared" si="0"/>
        <v>26.438583333333334</v>
      </c>
      <c r="H159" s="143">
        <v>26</v>
      </c>
      <c r="I159" s="139">
        <v>26</v>
      </c>
      <c r="J159" s="144">
        <v>18.899999999999999</v>
      </c>
      <c r="K159" s="178">
        <f t="shared" si="2"/>
        <v>127.78399999999999</v>
      </c>
      <c r="L159" s="143">
        <v>127</v>
      </c>
      <c r="M159" s="139">
        <v>47</v>
      </c>
      <c r="N159" s="144">
        <v>2.4</v>
      </c>
      <c r="O159" s="137" t="s">
        <v>175</v>
      </c>
      <c r="P159" s="145" t="s">
        <v>156</v>
      </c>
      <c r="Q159" s="140" t="s">
        <v>1361</v>
      </c>
      <c r="R159" s="146" t="s">
        <v>1363</v>
      </c>
    </row>
    <row r="160" spans="1:18" ht="27.6" customHeight="1" thickTop="1">
      <c r="A160" s="137" t="s">
        <v>214</v>
      </c>
      <c r="B160" s="138">
        <v>5</v>
      </c>
      <c r="C160" s="139" t="s">
        <v>215</v>
      </c>
      <c r="D160" s="140" t="s">
        <v>154</v>
      </c>
      <c r="E160" s="141">
        <v>47</v>
      </c>
      <c r="F160" s="279" t="s">
        <v>1364</v>
      </c>
      <c r="G160" s="233">
        <f t="shared" si="0"/>
        <v>26.141611111111111</v>
      </c>
      <c r="H160" s="143">
        <v>26</v>
      </c>
      <c r="I160" s="139">
        <v>8</v>
      </c>
      <c r="J160" s="144">
        <v>29.8</v>
      </c>
      <c r="K160" s="233">
        <f t="shared" si="2"/>
        <v>127.6366388888889</v>
      </c>
      <c r="L160" s="143">
        <v>127</v>
      </c>
      <c r="M160" s="139">
        <v>38</v>
      </c>
      <c r="N160" s="144">
        <v>11.9</v>
      </c>
      <c r="O160" s="137" t="s">
        <v>265</v>
      </c>
      <c r="P160" s="145" t="s">
        <v>176</v>
      </c>
      <c r="Q160" s="140" t="s">
        <v>1361</v>
      </c>
      <c r="R160" s="146" t="s">
        <v>1362</v>
      </c>
    </row>
    <row r="161" spans="1:18" ht="27.6" customHeight="1">
      <c r="A161" s="137" t="s">
        <v>214</v>
      </c>
      <c r="B161" s="138">
        <v>5</v>
      </c>
      <c r="C161" s="139" t="s">
        <v>215</v>
      </c>
      <c r="D161" s="140" t="s">
        <v>154</v>
      </c>
      <c r="E161" s="141">
        <v>48</v>
      </c>
      <c r="F161" s="279" t="s">
        <v>1669</v>
      </c>
      <c r="G161" s="233"/>
      <c r="H161" s="143">
        <v>26</v>
      </c>
      <c r="I161" s="139">
        <v>7</v>
      </c>
      <c r="J161" s="144">
        <v>11.4</v>
      </c>
      <c r="L161" s="143">
        <v>127</v>
      </c>
      <c r="M161" s="139">
        <v>39</v>
      </c>
      <c r="N161" s="144">
        <v>5.42</v>
      </c>
      <c r="O161" s="137" t="s">
        <v>130</v>
      </c>
      <c r="P161" s="145" t="s">
        <v>1671</v>
      </c>
      <c r="Q161" s="140" t="s">
        <v>199</v>
      </c>
      <c r="R161" s="146" t="s">
        <v>1802</v>
      </c>
    </row>
    <row r="162" spans="1:18" ht="27.6" customHeight="1">
      <c r="A162" s="137" t="s">
        <v>214</v>
      </c>
      <c r="B162" s="138">
        <v>5</v>
      </c>
      <c r="C162" s="139" t="s">
        <v>215</v>
      </c>
      <c r="D162" s="140" t="s">
        <v>154</v>
      </c>
      <c r="E162" s="141">
        <v>49</v>
      </c>
      <c r="F162" s="279" t="s">
        <v>1670</v>
      </c>
      <c r="G162" s="233"/>
      <c r="H162" s="143">
        <v>26</v>
      </c>
      <c r="I162" s="139">
        <v>42</v>
      </c>
      <c r="J162" s="144">
        <v>25.66</v>
      </c>
      <c r="L162" s="143">
        <v>127</v>
      </c>
      <c r="M162" s="139">
        <v>57</v>
      </c>
      <c r="N162" s="144">
        <v>48.18</v>
      </c>
      <c r="O162" s="137" t="s">
        <v>175</v>
      </c>
      <c r="P162" s="145" t="s">
        <v>1671</v>
      </c>
      <c r="Q162" s="140" t="s">
        <v>199</v>
      </c>
      <c r="R162" s="146" t="s">
        <v>1803</v>
      </c>
    </row>
    <row r="163" spans="1:18" ht="27.6" customHeight="1">
      <c r="A163" s="137" t="s">
        <v>214</v>
      </c>
      <c r="B163" s="138">
        <v>5</v>
      </c>
      <c r="C163" s="139" t="s">
        <v>215</v>
      </c>
      <c r="D163" s="140" t="s">
        <v>154</v>
      </c>
      <c r="E163" s="141">
        <v>50</v>
      </c>
      <c r="F163" s="279" t="s">
        <v>1801</v>
      </c>
      <c r="G163" s="233"/>
      <c r="H163" s="143">
        <v>26</v>
      </c>
      <c r="I163" s="139">
        <v>16</v>
      </c>
      <c r="J163" s="144">
        <v>3</v>
      </c>
      <c r="L163" s="143">
        <v>127</v>
      </c>
      <c r="M163" s="139">
        <v>41</v>
      </c>
      <c r="N163" s="144">
        <v>27.7</v>
      </c>
      <c r="O163" s="137" t="s">
        <v>265</v>
      </c>
      <c r="P163" s="145" t="s">
        <v>176</v>
      </c>
      <c r="Q163" s="140" t="s">
        <v>199</v>
      </c>
      <c r="R163" s="146" t="s">
        <v>1426</v>
      </c>
    </row>
    <row r="164" spans="1:18" ht="27.6" customHeight="1">
      <c r="A164" s="137" t="s">
        <v>214</v>
      </c>
      <c r="B164" s="138">
        <v>5</v>
      </c>
      <c r="C164" s="139" t="s">
        <v>215</v>
      </c>
      <c r="D164" s="140" t="s">
        <v>154</v>
      </c>
      <c r="E164" s="141">
        <v>51</v>
      </c>
      <c r="F164" s="279" t="s">
        <v>1856</v>
      </c>
      <c r="G164" s="233"/>
      <c r="H164" s="143">
        <v>26</v>
      </c>
      <c r="I164" s="139">
        <v>30</v>
      </c>
      <c r="J164" s="144">
        <v>32</v>
      </c>
      <c r="L164" s="143">
        <v>127</v>
      </c>
      <c r="M164" s="139">
        <v>51</v>
      </c>
      <c r="N164" s="144">
        <v>14.7</v>
      </c>
      <c r="O164" s="137" t="s">
        <v>265</v>
      </c>
      <c r="P164" s="145" t="s">
        <v>176</v>
      </c>
      <c r="Q164" s="140" t="s">
        <v>199</v>
      </c>
      <c r="R164" s="146" t="s">
        <v>1363</v>
      </c>
    </row>
    <row r="165" spans="1:18" ht="27.6" customHeight="1">
      <c r="A165" s="137" t="s">
        <v>214</v>
      </c>
      <c r="B165" s="138">
        <v>5</v>
      </c>
      <c r="C165" s="139" t="s">
        <v>215</v>
      </c>
      <c r="D165" s="140" t="s">
        <v>154</v>
      </c>
      <c r="E165" s="141">
        <v>52</v>
      </c>
      <c r="F165" s="279" t="s">
        <v>1857</v>
      </c>
      <c r="G165" s="233"/>
      <c r="H165" s="143">
        <v>26</v>
      </c>
      <c r="I165" s="139">
        <v>36</v>
      </c>
      <c r="J165" s="144">
        <v>22.5</v>
      </c>
      <c r="L165" s="143">
        <v>127</v>
      </c>
      <c r="M165" s="139">
        <v>53</v>
      </c>
      <c r="N165" s="144">
        <v>30.7</v>
      </c>
      <c r="O165" s="137" t="s">
        <v>265</v>
      </c>
      <c r="P165" s="145" t="s">
        <v>176</v>
      </c>
      <c r="Q165" s="140" t="s">
        <v>199</v>
      </c>
      <c r="R165" s="146" t="s">
        <v>1363</v>
      </c>
    </row>
    <row r="166" spans="1:18" ht="27.6" customHeight="1">
      <c r="A166" s="137" t="s">
        <v>214</v>
      </c>
      <c r="B166" s="138">
        <v>5</v>
      </c>
      <c r="C166" s="139" t="s">
        <v>215</v>
      </c>
      <c r="D166" s="140" t="s">
        <v>154</v>
      </c>
      <c r="E166" s="603">
        <v>53</v>
      </c>
      <c r="F166" s="605" t="s">
        <v>2044</v>
      </c>
      <c r="G166" s="233"/>
      <c r="H166" s="143">
        <v>26</v>
      </c>
      <c r="I166" s="139">
        <v>16</v>
      </c>
      <c r="J166" s="144">
        <v>2.8</v>
      </c>
      <c r="L166" s="143">
        <v>127</v>
      </c>
      <c r="M166" s="139">
        <v>34</v>
      </c>
      <c r="N166" s="144">
        <v>29.8</v>
      </c>
      <c r="O166" s="137" t="s">
        <v>175</v>
      </c>
      <c r="P166" s="145" t="s">
        <v>156</v>
      </c>
      <c r="Q166" s="140" t="s">
        <v>199</v>
      </c>
      <c r="R166" s="146" t="s">
        <v>2076</v>
      </c>
    </row>
    <row r="167" spans="1:18" ht="27.6" customHeight="1">
      <c r="A167" s="137" t="s">
        <v>214</v>
      </c>
      <c r="B167" s="138">
        <v>5</v>
      </c>
      <c r="C167" s="139" t="s">
        <v>215</v>
      </c>
      <c r="D167" s="140" t="s">
        <v>154</v>
      </c>
      <c r="E167" s="603">
        <v>54</v>
      </c>
      <c r="F167" s="605" t="s">
        <v>2045</v>
      </c>
      <c r="G167" s="233"/>
      <c r="H167" s="143">
        <v>26</v>
      </c>
      <c r="I167" s="139">
        <v>13</v>
      </c>
      <c r="J167" s="144">
        <v>32.4</v>
      </c>
      <c r="L167" s="143">
        <v>127</v>
      </c>
      <c r="M167" s="139">
        <v>40</v>
      </c>
      <c r="N167" s="144">
        <v>37.9</v>
      </c>
      <c r="O167" s="137" t="s">
        <v>175</v>
      </c>
      <c r="P167" s="145" t="s">
        <v>156</v>
      </c>
      <c r="Q167" s="140" t="s">
        <v>257</v>
      </c>
      <c r="R167" s="146" t="s">
        <v>2077</v>
      </c>
    </row>
    <row r="168" spans="1:18" ht="27.6" customHeight="1">
      <c r="A168" s="137" t="s">
        <v>214</v>
      </c>
      <c r="B168" s="138">
        <v>5</v>
      </c>
      <c r="C168" s="139" t="s">
        <v>215</v>
      </c>
      <c r="D168" s="140" t="s">
        <v>154</v>
      </c>
      <c r="E168" s="603">
        <v>55</v>
      </c>
      <c r="F168" s="605" t="s">
        <v>2046</v>
      </c>
      <c r="G168" s="233"/>
      <c r="H168" s="143">
        <v>26</v>
      </c>
      <c r="I168" s="139">
        <v>16</v>
      </c>
      <c r="J168" s="144">
        <v>30.9</v>
      </c>
      <c r="L168" s="143">
        <v>127</v>
      </c>
      <c r="M168" s="139">
        <v>41</v>
      </c>
      <c r="N168" s="144">
        <v>33.299999999999997</v>
      </c>
      <c r="O168" s="137" t="s">
        <v>175</v>
      </c>
      <c r="P168" s="145" t="s">
        <v>156</v>
      </c>
      <c r="Q168" s="140" t="s">
        <v>199</v>
      </c>
      <c r="R168" s="146" t="s">
        <v>2076</v>
      </c>
    </row>
    <row r="169" spans="1:18" ht="27.6" customHeight="1">
      <c r="A169" s="137" t="s">
        <v>214</v>
      </c>
      <c r="B169" s="138">
        <v>5</v>
      </c>
      <c r="C169" s="139" t="s">
        <v>215</v>
      </c>
      <c r="D169" s="140" t="s">
        <v>154</v>
      </c>
      <c r="E169" s="603">
        <v>56</v>
      </c>
      <c r="F169" s="605" t="s">
        <v>2047</v>
      </c>
      <c r="G169" s="233"/>
      <c r="H169" s="143">
        <v>26</v>
      </c>
      <c r="I169" s="139">
        <v>21</v>
      </c>
      <c r="J169" s="144">
        <v>48.6</v>
      </c>
      <c r="L169" s="143">
        <v>127</v>
      </c>
      <c r="M169" s="139">
        <v>44</v>
      </c>
      <c r="N169" s="144">
        <v>4.0999999999999996</v>
      </c>
      <c r="O169" s="137" t="s">
        <v>175</v>
      </c>
      <c r="P169" s="145" t="s">
        <v>156</v>
      </c>
      <c r="Q169" s="140" t="s">
        <v>199</v>
      </c>
      <c r="R169" s="146" t="s">
        <v>281</v>
      </c>
    </row>
    <row r="170" spans="1:18" ht="27.6" customHeight="1">
      <c r="A170" s="137" t="s">
        <v>214</v>
      </c>
      <c r="B170" s="138">
        <v>5</v>
      </c>
      <c r="C170" s="139" t="s">
        <v>215</v>
      </c>
      <c r="D170" s="140" t="s">
        <v>154</v>
      </c>
      <c r="E170" s="603">
        <v>57</v>
      </c>
      <c r="F170" s="605" t="s">
        <v>2048</v>
      </c>
      <c r="G170" s="233"/>
      <c r="H170" s="143">
        <v>26</v>
      </c>
      <c r="I170" s="139">
        <v>26</v>
      </c>
      <c r="J170" s="144">
        <v>36.049999999999997</v>
      </c>
      <c r="L170" s="143">
        <v>127</v>
      </c>
      <c r="M170" s="139">
        <v>46</v>
      </c>
      <c r="N170" s="144">
        <v>6.32</v>
      </c>
      <c r="O170" s="137" t="s">
        <v>130</v>
      </c>
      <c r="P170" s="145" t="s">
        <v>156</v>
      </c>
      <c r="Q170" s="140" t="s">
        <v>199</v>
      </c>
      <c r="R170" s="146" t="s">
        <v>2075</v>
      </c>
    </row>
    <row r="171" spans="1:18" ht="27.6" customHeight="1">
      <c r="A171" s="137" t="s">
        <v>214</v>
      </c>
      <c r="B171" s="138">
        <v>5</v>
      </c>
      <c r="C171" s="139" t="s">
        <v>215</v>
      </c>
      <c r="D171" s="140" t="s">
        <v>154</v>
      </c>
      <c r="E171" s="603">
        <v>58</v>
      </c>
      <c r="F171" s="605" t="s">
        <v>2049</v>
      </c>
      <c r="G171" s="233"/>
      <c r="H171" s="143">
        <v>26</v>
      </c>
      <c r="I171" s="139">
        <v>26</v>
      </c>
      <c r="J171" s="144">
        <v>33.75</v>
      </c>
      <c r="L171" s="143">
        <v>127</v>
      </c>
      <c r="M171" s="139">
        <v>46</v>
      </c>
      <c r="N171" s="144">
        <v>2.83</v>
      </c>
      <c r="O171" s="137" t="s">
        <v>130</v>
      </c>
      <c r="P171" s="145" t="s">
        <v>156</v>
      </c>
      <c r="Q171" s="140" t="s">
        <v>199</v>
      </c>
      <c r="R171" s="146" t="s">
        <v>2075</v>
      </c>
    </row>
    <row r="172" spans="1:18" ht="27.6" customHeight="1">
      <c r="A172" s="137" t="s">
        <v>214</v>
      </c>
      <c r="B172" s="138">
        <v>5</v>
      </c>
      <c r="C172" s="139" t="s">
        <v>215</v>
      </c>
      <c r="D172" s="140" t="s">
        <v>154</v>
      </c>
      <c r="E172" s="603">
        <v>59</v>
      </c>
      <c r="F172" s="605" t="s">
        <v>2050</v>
      </c>
      <c r="G172" s="233"/>
      <c r="H172" s="143">
        <v>26</v>
      </c>
      <c r="I172" s="139">
        <v>29</v>
      </c>
      <c r="J172" s="144">
        <v>38.1</v>
      </c>
      <c r="L172" s="143">
        <v>127</v>
      </c>
      <c r="M172" s="139">
        <v>50</v>
      </c>
      <c r="N172" s="144">
        <v>23.8</v>
      </c>
      <c r="O172" s="137" t="s">
        <v>130</v>
      </c>
      <c r="P172" s="145" t="s">
        <v>156</v>
      </c>
      <c r="Q172" s="140" t="s">
        <v>199</v>
      </c>
      <c r="R172" s="146" t="s">
        <v>2078</v>
      </c>
    </row>
    <row r="173" spans="1:18" ht="27.6" customHeight="1" thickBot="1">
      <c r="A173" s="137" t="s">
        <v>214</v>
      </c>
      <c r="B173" s="138">
        <v>5</v>
      </c>
      <c r="C173" s="139" t="s">
        <v>215</v>
      </c>
      <c r="D173" s="140" t="s">
        <v>154</v>
      </c>
      <c r="E173" s="603">
        <v>60</v>
      </c>
      <c r="F173" s="605" t="s">
        <v>2051</v>
      </c>
      <c r="G173" s="233"/>
      <c r="H173" s="143">
        <v>26</v>
      </c>
      <c r="I173" s="139">
        <v>29</v>
      </c>
      <c r="J173" s="144">
        <v>45.55</v>
      </c>
      <c r="L173" s="143">
        <v>127</v>
      </c>
      <c r="M173" s="139">
        <v>50</v>
      </c>
      <c r="N173" s="144">
        <v>15.96</v>
      </c>
      <c r="O173" s="137" t="s">
        <v>175</v>
      </c>
      <c r="P173" s="145" t="s">
        <v>156</v>
      </c>
      <c r="Q173" s="140" t="s">
        <v>199</v>
      </c>
      <c r="R173" s="146" t="s">
        <v>281</v>
      </c>
    </row>
    <row r="174" spans="1:18" ht="35.1" customHeight="1" thickTop="1">
      <c r="A174" s="57" t="s">
        <v>269</v>
      </c>
      <c r="B174" s="58">
        <v>6</v>
      </c>
      <c r="C174" s="59" t="s">
        <v>270</v>
      </c>
      <c r="D174" s="64" t="s">
        <v>154</v>
      </c>
      <c r="E174" s="61">
        <v>1</v>
      </c>
      <c r="F174" s="102" t="s">
        <v>271</v>
      </c>
      <c r="G174" s="248" t="s">
        <v>1365</v>
      </c>
      <c r="H174" s="103">
        <v>26</v>
      </c>
      <c r="I174" s="60">
        <v>38</v>
      </c>
      <c r="J174" s="104">
        <v>44.9</v>
      </c>
      <c r="K174" s="254" t="s">
        <v>1366</v>
      </c>
      <c r="L174" s="103">
        <v>127</v>
      </c>
      <c r="M174" s="105">
        <v>49</v>
      </c>
      <c r="N174" s="104">
        <v>30</v>
      </c>
      <c r="O174" s="103" t="s">
        <v>83</v>
      </c>
      <c r="P174" s="107" t="s">
        <v>1359</v>
      </c>
      <c r="Q174" s="105" t="s">
        <v>1367</v>
      </c>
      <c r="R174" s="65" t="s">
        <v>112</v>
      </c>
    </row>
    <row r="175" spans="1:18" ht="27.6" customHeight="1">
      <c r="A175" s="25" t="s">
        <v>272</v>
      </c>
      <c r="B175" s="26">
        <v>6</v>
      </c>
      <c r="C175" s="27" t="s">
        <v>270</v>
      </c>
      <c r="D175" s="28" t="s">
        <v>154</v>
      </c>
      <c r="E175" s="29">
        <v>2</v>
      </c>
      <c r="F175" s="97" t="s">
        <v>273</v>
      </c>
      <c r="G175" s="242" t="s">
        <v>1368</v>
      </c>
      <c r="H175" s="31">
        <v>26</v>
      </c>
      <c r="I175" s="32">
        <v>40</v>
      </c>
      <c r="J175" s="33">
        <v>39.9</v>
      </c>
      <c r="K175" s="255" t="s">
        <v>1369</v>
      </c>
      <c r="L175" s="31">
        <v>127</v>
      </c>
      <c r="M175" s="35">
        <v>49</v>
      </c>
      <c r="N175" s="33">
        <v>21</v>
      </c>
      <c r="O175" s="31" t="s">
        <v>175</v>
      </c>
      <c r="P175" s="38" t="s">
        <v>1359</v>
      </c>
      <c r="Q175" s="35" t="s">
        <v>196</v>
      </c>
      <c r="R175" s="36" t="s">
        <v>112</v>
      </c>
    </row>
    <row r="176" spans="1:18" ht="27.6" customHeight="1">
      <c r="A176" s="25" t="s">
        <v>272</v>
      </c>
      <c r="B176" s="26">
        <v>6</v>
      </c>
      <c r="C176" s="27" t="s">
        <v>270</v>
      </c>
      <c r="D176" s="28" t="s">
        <v>154</v>
      </c>
      <c r="E176" s="29">
        <v>3</v>
      </c>
      <c r="F176" s="97" t="s">
        <v>274</v>
      </c>
      <c r="G176" s="242" t="s">
        <v>1370</v>
      </c>
      <c r="H176" s="31">
        <v>26</v>
      </c>
      <c r="I176" s="32">
        <v>43</v>
      </c>
      <c r="J176" s="33">
        <v>9.6</v>
      </c>
      <c r="K176" s="255" t="s">
        <v>1371</v>
      </c>
      <c r="L176" s="31">
        <v>127</v>
      </c>
      <c r="M176" s="35">
        <v>44</v>
      </c>
      <c r="N176" s="36">
        <v>34.1</v>
      </c>
      <c r="O176" s="31" t="s">
        <v>175</v>
      </c>
      <c r="P176" s="38" t="s">
        <v>1359</v>
      </c>
      <c r="Q176" s="35" t="s">
        <v>196</v>
      </c>
      <c r="R176" s="36" t="s">
        <v>183</v>
      </c>
    </row>
    <row r="177" spans="1:18" ht="27.6" customHeight="1">
      <c r="A177" s="25" t="s">
        <v>272</v>
      </c>
      <c r="B177" s="26">
        <v>6</v>
      </c>
      <c r="C177" s="27" t="s">
        <v>270</v>
      </c>
      <c r="D177" s="28" t="s">
        <v>154</v>
      </c>
      <c r="E177" s="29">
        <v>4</v>
      </c>
      <c r="F177" s="97" t="s">
        <v>275</v>
      </c>
      <c r="G177" s="242" t="s">
        <v>1372</v>
      </c>
      <c r="H177" s="31">
        <v>26</v>
      </c>
      <c r="I177" s="32">
        <v>43</v>
      </c>
      <c r="J177" s="33">
        <v>20.3</v>
      </c>
      <c r="K177" s="255" t="s">
        <v>1373</v>
      </c>
      <c r="L177" s="31">
        <v>127</v>
      </c>
      <c r="M177" s="35">
        <v>50</v>
      </c>
      <c r="N177" s="36">
        <v>6.7</v>
      </c>
      <c r="O177" s="31" t="s">
        <v>175</v>
      </c>
      <c r="P177" s="38" t="s">
        <v>1359</v>
      </c>
      <c r="Q177" s="35" t="s">
        <v>196</v>
      </c>
      <c r="R177" s="36" t="s">
        <v>168</v>
      </c>
    </row>
    <row r="178" spans="1:18" ht="27.6" customHeight="1">
      <c r="A178" s="25" t="s">
        <v>272</v>
      </c>
      <c r="B178" s="26">
        <v>6</v>
      </c>
      <c r="C178" s="27" t="s">
        <v>270</v>
      </c>
      <c r="D178" s="28" t="s">
        <v>154</v>
      </c>
      <c r="E178" s="29">
        <v>5</v>
      </c>
      <c r="F178" s="97" t="s">
        <v>276</v>
      </c>
      <c r="G178" s="242" t="s">
        <v>1374</v>
      </c>
      <c r="H178" s="31">
        <v>26</v>
      </c>
      <c r="I178" s="32">
        <v>44</v>
      </c>
      <c r="J178" s="33">
        <v>5</v>
      </c>
      <c r="K178" s="255" t="s">
        <v>1375</v>
      </c>
      <c r="L178" s="31">
        <v>127</v>
      </c>
      <c r="M178" s="35">
        <v>47</v>
      </c>
      <c r="N178" s="36">
        <v>21.5</v>
      </c>
      <c r="O178" s="31" t="s">
        <v>175</v>
      </c>
      <c r="P178" s="38" t="s">
        <v>1359</v>
      </c>
      <c r="Q178" s="35" t="s">
        <v>196</v>
      </c>
      <c r="R178" s="36" t="s">
        <v>168</v>
      </c>
    </row>
    <row r="179" spans="1:18" ht="27.6" customHeight="1">
      <c r="A179" s="25" t="s">
        <v>272</v>
      </c>
      <c r="B179" s="26">
        <v>6</v>
      </c>
      <c r="C179" s="27" t="s">
        <v>270</v>
      </c>
      <c r="D179" s="28" t="s">
        <v>154</v>
      </c>
      <c r="E179" s="29">
        <v>6</v>
      </c>
      <c r="F179" s="97" t="s">
        <v>277</v>
      </c>
      <c r="G179" s="242"/>
      <c r="H179" s="31">
        <v>26</v>
      </c>
      <c r="I179" s="32">
        <v>39</v>
      </c>
      <c r="J179" s="33">
        <v>31.4</v>
      </c>
      <c r="K179" s="255"/>
      <c r="L179" s="31">
        <v>127</v>
      </c>
      <c r="M179" s="35">
        <v>48</v>
      </c>
      <c r="N179" s="33">
        <v>36.4</v>
      </c>
      <c r="O179" s="31" t="s">
        <v>175</v>
      </c>
      <c r="P179" s="38" t="s">
        <v>156</v>
      </c>
      <c r="Q179" s="35" t="s">
        <v>196</v>
      </c>
      <c r="R179" s="36" t="s">
        <v>168</v>
      </c>
    </row>
    <row r="180" spans="1:18" ht="27.6" customHeight="1">
      <c r="A180" s="25" t="s">
        <v>272</v>
      </c>
      <c r="B180" s="26">
        <v>6</v>
      </c>
      <c r="C180" s="27" t="s">
        <v>270</v>
      </c>
      <c r="D180" s="28" t="s">
        <v>154</v>
      </c>
      <c r="E180" s="29">
        <v>7</v>
      </c>
      <c r="F180" s="97" t="s">
        <v>278</v>
      </c>
      <c r="G180" s="242"/>
      <c r="H180" s="31">
        <v>26</v>
      </c>
      <c r="I180" s="32">
        <v>57</v>
      </c>
      <c r="J180" s="33">
        <v>18</v>
      </c>
      <c r="K180" s="255"/>
      <c r="L180" s="31">
        <v>127</v>
      </c>
      <c r="M180" s="35">
        <v>55</v>
      </c>
      <c r="N180" s="33">
        <v>37.200000000000003</v>
      </c>
      <c r="O180" s="31" t="s">
        <v>175</v>
      </c>
      <c r="P180" s="38" t="s">
        <v>1359</v>
      </c>
      <c r="Q180" s="38" t="s">
        <v>199</v>
      </c>
      <c r="R180" s="607" t="s">
        <v>279</v>
      </c>
    </row>
    <row r="181" spans="1:18" ht="27.6" customHeight="1">
      <c r="A181" s="288" t="s">
        <v>272</v>
      </c>
      <c r="B181" s="47">
        <v>6</v>
      </c>
      <c r="C181" s="48" t="s">
        <v>270</v>
      </c>
      <c r="D181" s="49" t="s">
        <v>154</v>
      </c>
      <c r="E181" s="50">
        <v>8</v>
      </c>
      <c r="F181" s="98" t="s">
        <v>280</v>
      </c>
      <c r="G181" s="246"/>
      <c r="H181" s="99">
        <v>26</v>
      </c>
      <c r="I181" s="100">
        <v>54</v>
      </c>
      <c r="J181" s="101">
        <v>36</v>
      </c>
      <c r="K181" s="292"/>
      <c r="L181" s="99">
        <v>127</v>
      </c>
      <c r="M181" s="56">
        <v>56</v>
      </c>
      <c r="N181" s="101">
        <v>31.2</v>
      </c>
      <c r="O181" s="99" t="s">
        <v>175</v>
      </c>
      <c r="P181" s="38" t="s">
        <v>156</v>
      </c>
      <c r="Q181" s="55" t="s">
        <v>199</v>
      </c>
      <c r="R181" s="608" t="s">
        <v>281</v>
      </c>
    </row>
    <row r="182" spans="1:18" ht="27.6" customHeight="1">
      <c r="A182" s="46" t="s">
        <v>272</v>
      </c>
      <c r="B182" s="47">
        <v>6</v>
      </c>
      <c r="C182" s="48" t="s">
        <v>270</v>
      </c>
      <c r="D182" s="49" t="s">
        <v>154</v>
      </c>
      <c r="E182" s="50">
        <v>9</v>
      </c>
      <c r="F182" s="98" t="s">
        <v>1800</v>
      </c>
      <c r="G182" s="246"/>
      <c r="H182" s="99">
        <v>26</v>
      </c>
      <c r="I182" s="100">
        <v>39</v>
      </c>
      <c r="J182" s="101">
        <v>10.3</v>
      </c>
      <c r="K182" s="292"/>
      <c r="L182" s="99">
        <v>127</v>
      </c>
      <c r="M182" s="56">
        <v>48</v>
      </c>
      <c r="N182" s="101">
        <v>17</v>
      </c>
      <c r="O182" s="99" t="s">
        <v>265</v>
      </c>
      <c r="P182" s="55" t="s">
        <v>176</v>
      </c>
      <c r="Q182" s="56" t="s">
        <v>1361</v>
      </c>
      <c r="R182" s="36" t="s">
        <v>1799</v>
      </c>
    </row>
    <row r="183" spans="1:18" ht="27.6" customHeight="1">
      <c r="A183" s="25" t="s">
        <v>272</v>
      </c>
      <c r="B183" s="26">
        <v>6</v>
      </c>
      <c r="C183" s="27" t="s">
        <v>270</v>
      </c>
      <c r="D183" s="28" t="s">
        <v>154</v>
      </c>
      <c r="E183" s="29">
        <v>10</v>
      </c>
      <c r="F183" s="202" t="s">
        <v>1858</v>
      </c>
      <c r="G183" s="750"/>
      <c r="H183" s="31">
        <v>26</v>
      </c>
      <c r="I183" s="32">
        <v>42</v>
      </c>
      <c r="J183" s="33">
        <v>11.4</v>
      </c>
      <c r="K183" s="751"/>
      <c r="L183" s="32">
        <v>127</v>
      </c>
      <c r="M183" s="35">
        <v>46</v>
      </c>
      <c r="N183" s="744">
        <v>37.1</v>
      </c>
      <c r="O183" s="31" t="s">
        <v>265</v>
      </c>
      <c r="P183" s="38" t="s">
        <v>176</v>
      </c>
      <c r="Q183" s="35" t="s">
        <v>199</v>
      </c>
      <c r="R183" s="36" t="s">
        <v>1802</v>
      </c>
    </row>
    <row r="184" spans="1:18" ht="27.6" customHeight="1">
      <c r="A184" s="46" t="s">
        <v>272</v>
      </c>
      <c r="B184" s="47">
        <v>6</v>
      </c>
      <c r="C184" s="48" t="s">
        <v>270</v>
      </c>
      <c r="D184" s="49" t="s">
        <v>154</v>
      </c>
      <c r="E184" s="50">
        <v>11</v>
      </c>
      <c r="F184" s="203" t="s">
        <v>1859</v>
      </c>
      <c r="G184" s="756"/>
      <c r="H184" s="99">
        <v>26</v>
      </c>
      <c r="I184" s="100">
        <v>54</v>
      </c>
      <c r="J184" s="101">
        <v>28.5</v>
      </c>
      <c r="K184" s="757"/>
      <c r="L184" s="100">
        <v>127</v>
      </c>
      <c r="M184" s="56">
        <v>56</v>
      </c>
      <c r="N184" s="752">
        <v>17.100000000000001</v>
      </c>
      <c r="O184" s="99" t="s">
        <v>265</v>
      </c>
      <c r="P184" s="55" t="s">
        <v>176</v>
      </c>
      <c r="Q184" s="56" t="s">
        <v>199</v>
      </c>
      <c r="R184" s="53" t="s">
        <v>1363</v>
      </c>
    </row>
    <row r="185" spans="1:18" ht="27.6" customHeight="1" thickBot="1">
      <c r="A185" s="71" t="s">
        <v>272</v>
      </c>
      <c r="B185" s="72">
        <v>6</v>
      </c>
      <c r="C185" s="73" t="s">
        <v>270</v>
      </c>
      <c r="D185" s="121" t="s">
        <v>154</v>
      </c>
      <c r="E185" s="290">
        <v>12</v>
      </c>
      <c r="F185" s="759" t="s">
        <v>2052</v>
      </c>
      <c r="G185" s="256"/>
      <c r="H185" s="77">
        <v>26</v>
      </c>
      <c r="I185" s="74">
        <v>43</v>
      </c>
      <c r="J185" s="122">
        <v>23.7</v>
      </c>
      <c r="K185" s="758"/>
      <c r="L185" s="755">
        <v>127</v>
      </c>
      <c r="M185" s="123">
        <v>44</v>
      </c>
      <c r="N185" s="747">
        <v>31.6</v>
      </c>
      <c r="O185" s="77" t="s">
        <v>175</v>
      </c>
      <c r="P185" s="125" t="s">
        <v>156</v>
      </c>
      <c r="Q185" s="123" t="s">
        <v>199</v>
      </c>
      <c r="R185" s="82" t="s">
        <v>281</v>
      </c>
    </row>
    <row r="186" spans="1:18" ht="33.75" customHeight="1" thickTop="1">
      <c r="A186" s="83" t="s">
        <v>282</v>
      </c>
      <c r="B186" s="148">
        <v>7</v>
      </c>
      <c r="C186" s="149" t="s">
        <v>283</v>
      </c>
      <c r="D186" s="86" t="s">
        <v>154</v>
      </c>
      <c r="E186" s="87">
        <v>1</v>
      </c>
      <c r="F186" s="88" t="s">
        <v>284</v>
      </c>
      <c r="G186" s="252" t="s">
        <v>1376</v>
      </c>
      <c r="H186" s="89">
        <v>26</v>
      </c>
      <c r="I186" s="90">
        <v>12</v>
      </c>
      <c r="J186" s="91">
        <v>6.3</v>
      </c>
      <c r="K186" s="252" t="s">
        <v>1377</v>
      </c>
      <c r="L186" s="89">
        <v>127</v>
      </c>
      <c r="M186" s="92">
        <v>19</v>
      </c>
      <c r="N186" s="93">
        <v>3.6</v>
      </c>
      <c r="O186" s="94" t="s">
        <v>126</v>
      </c>
      <c r="P186" s="150" t="s">
        <v>127</v>
      </c>
      <c r="Q186" s="92" t="s">
        <v>1378</v>
      </c>
      <c r="R186" s="93" t="s">
        <v>285</v>
      </c>
    </row>
    <row r="187" spans="1:18" ht="33.75" customHeight="1">
      <c r="A187" s="25" t="s">
        <v>282</v>
      </c>
      <c r="B187" s="151">
        <v>7</v>
      </c>
      <c r="C187" s="152" t="s">
        <v>283</v>
      </c>
      <c r="D187" s="28" t="s">
        <v>154</v>
      </c>
      <c r="E187" s="29">
        <v>2</v>
      </c>
      <c r="F187" s="97" t="s">
        <v>286</v>
      </c>
      <c r="G187" s="242" t="s">
        <v>1379</v>
      </c>
      <c r="H187" s="31">
        <v>26</v>
      </c>
      <c r="I187" s="32">
        <v>14</v>
      </c>
      <c r="J187" s="33">
        <v>14.2</v>
      </c>
      <c r="K187" s="242" t="s">
        <v>1380</v>
      </c>
      <c r="L187" s="31">
        <v>127</v>
      </c>
      <c r="M187" s="35">
        <v>19</v>
      </c>
      <c r="N187" s="33">
        <v>12.2</v>
      </c>
      <c r="O187" s="37" t="s">
        <v>287</v>
      </c>
      <c r="P187" s="153" t="s">
        <v>288</v>
      </c>
      <c r="Q187" s="35" t="s">
        <v>289</v>
      </c>
      <c r="R187" s="36" t="s">
        <v>290</v>
      </c>
    </row>
    <row r="188" spans="1:18" ht="33.75" customHeight="1">
      <c r="A188" s="25" t="s">
        <v>282</v>
      </c>
      <c r="B188" s="151">
        <v>7</v>
      </c>
      <c r="C188" s="152" t="s">
        <v>283</v>
      </c>
      <c r="D188" s="28" t="s">
        <v>154</v>
      </c>
      <c r="E188" s="29">
        <v>3</v>
      </c>
      <c r="F188" s="97" t="s">
        <v>291</v>
      </c>
      <c r="G188" s="242" t="s">
        <v>1381</v>
      </c>
      <c r="H188" s="31">
        <v>26</v>
      </c>
      <c r="I188" s="32">
        <v>14</v>
      </c>
      <c r="J188" s="33">
        <v>13.5</v>
      </c>
      <c r="K188" s="242" t="s">
        <v>1382</v>
      </c>
      <c r="L188" s="31">
        <v>127</v>
      </c>
      <c r="M188" s="35">
        <v>17</v>
      </c>
      <c r="N188" s="33">
        <v>27.8</v>
      </c>
      <c r="O188" s="37" t="s">
        <v>126</v>
      </c>
      <c r="P188" s="153" t="s">
        <v>292</v>
      </c>
      <c r="Q188" s="35" t="s">
        <v>289</v>
      </c>
      <c r="R188" s="36" t="s">
        <v>293</v>
      </c>
    </row>
    <row r="189" spans="1:18" ht="33.75" customHeight="1">
      <c r="A189" s="25" t="s">
        <v>282</v>
      </c>
      <c r="B189" s="151">
        <v>7</v>
      </c>
      <c r="C189" s="152" t="s">
        <v>283</v>
      </c>
      <c r="D189" s="28" t="s">
        <v>154</v>
      </c>
      <c r="E189" s="29">
        <v>4</v>
      </c>
      <c r="F189" s="97" t="s">
        <v>294</v>
      </c>
      <c r="G189" s="242" t="s">
        <v>1383</v>
      </c>
      <c r="H189" s="31">
        <v>26</v>
      </c>
      <c r="I189" s="32">
        <v>12</v>
      </c>
      <c r="J189" s="33">
        <v>52.6</v>
      </c>
      <c r="K189" s="242" t="s">
        <v>1384</v>
      </c>
      <c r="L189" s="31">
        <v>127</v>
      </c>
      <c r="M189" s="35">
        <v>17</v>
      </c>
      <c r="N189" s="33">
        <v>14</v>
      </c>
      <c r="O189" s="37" t="s">
        <v>295</v>
      </c>
      <c r="P189" s="153" t="s">
        <v>127</v>
      </c>
      <c r="Q189" s="35" t="s">
        <v>289</v>
      </c>
      <c r="R189" s="36" t="s">
        <v>296</v>
      </c>
    </row>
    <row r="190" spans="1:18" ht="33.75" customHeight="1">
      <c r="A190" s="25" t="s">
        <v>282</v>
      </c>
      <c r="B190" s="151">
        <v>7</v>
      </c>
      <c r="C190" s="152" t="s">
        <v>283</v>
      </c>
      <c r="D190" s="28" t="s">
        <v>154</v>
      </c>
      <c r="E190" s="29">
        <v>5</v>
      </c>
      <c r="F190" s="97" t="s">
        <v>297</v>
      </c>
      <c r="G190" s="242" t="s">
        <v>1385</v>
      </c>
      <c r="H190" s="31">
        <v>26</v>
      </c>
      <c r="I190" s="32">
        <v>12</v>
      </c>
      <c r="J190" s="33">
        <v>7.9</v>
      </c>
      <c r="K190" s="242" t="s">
        <v>1386</v>
      </c>
      <c r="L190" s="31">
        <v>127</v>
      </c>
      <c r="M190" s="35">
        <v>17</v>
      </c>
      <c r="N190" s="36">
        <v>21.5</v>
      </c>
      <c r="O190" s="37" t="s">
        <v>298</v>
      </c>
      <c r="P190" s="153" t="s">
        <v>299</v>
      </c>
      <c r="Q190" s="35" t="s">
        <v>289</v>
      </c>
      <c r="R190" s="36" t="s">
        <v>300</v>
      </c>
    </row>
    <row r="191" spans="1:18" ht="33.75" customHeight="1">
      <c r="A191" s="25" t="s">
        <v>282</v>
      </c>
      <c r="B191" s="151">
        <v>7</v>
      </c>
      <c r="C191" s="152" t="s">
        <v>283</v>
      </c>
      <c r="D191" s="28" t="s">
        <v>154</v>
      </c>
      <c r="E191" s="29">
        <v>6</v>
      </c>
      <c r="F191" s="97" t="s">
        <v>301</v>
      </c>
      <c r="G191" s="242" t="s">
        <v>1387</v>
      </c>
      <c r="H191" s="31">
        <v>26</v>
      </c>
      <c r="I191" s="32">
        <v>12</v>
      </c>
      <c r="J191" s="33">
        <v>11.3</v>
      </c>
      <c r="K191" s="242" t="s">
        <v>1388</v>
      </c>
      <c r="L191" s="31">
        <v>127</v>
      </c>
      <c r="M191" s="35">
        <v>16</v>
      </c>
      <c r="N191" s="36">
        <v>1.8</v>
      </c>
      <c r="O191" s="37" t="s">
        <v>298</v>
      </c>
      <c r="P191" s="153" t="s">
        <v>127</v>
      </c>
      <c r="Q191" s="35" t="s">
        <v>289</v>
      </c>
      <c r="R191" s="36" t="s">
        <v>296</v>
      </c>
    </row>
    <row r="192" spans="1:18" ht="33.75" customHeight="1">
      <c r="A192" s="25" t="s">
        <v>282</v>
      </c>
      <c r="B192" s="151">
        <v>7</v>
      </c>
      <c r="C192" s="152" t="s">
        <v>283</v>
      </c>
      <c r="D192" s="28" t="s">
        <v>154</v>
      </c>
      <c r="E192" s="29">
        <v>7</v>
      </c>
      <c r="F192" s="97" t="s">
        <v>302</v>
      </c>
      <c r="G192" s="242" t="s">
        <v>1389</v>
      </c>
      <c r="H192" s="31">
        <v>26</v>
      </c>
      <c r="I192" s="32">
        <v>11</v>
      </c>
      <c r="J192" s="33">
        <v>40.799999999999997</v>
      </c>
      <c r="K192" s="242" t="s">
        <v>1390</v>
      </c>
      <c r="L192" s="31">
        <v>127</v>
      </c>
      <c r="M192" s="35">
        <v>16</v>
      </c>
      <c r="N192" s="36">
        <v>21.4</v>
      </c>
      <c r="O192" s="37" t="s">
        <v>126</v>
      </c>
      <c r="P192" s="153" t="s">
        <v>127</v>
      </c>
      <c r="Q192" s="35" t="s">
        <v>289</v>
      </c>
      <c r="R192" s="36" t="s">
        <v>293</v>
      </c>
    </row>
    <row r="193" spans="1:18" ht="33.75" customHeight="1">
      <c r="A193" s="25" t="s">
        <v>282</v>
      </c>
      <c r="B193" s="151">
        <v>7</v>
      </c>
      <c r="C193" s="152" t="s">
        <v>283</v>
      </c>
      <c r="D193" s="28" t="s">
        <v>154</v>
      </c>
      <c r="E193" s="29">
        <v>8</v>
      </c>
      <c r="F193" s="97" t="s">
        <v>303</v>
      </c>
      <c r="G193" s="242" t="s">
        <v>1391</v>
      </c>
      <c r="H193" s="31">
        <v>26</v>
      </c>
      <c r="I193" s="32">
        <v>11</v>
      </c>
      <c r="J193" s="33">
        <v>11.4</v>
      </c>
      <c r="K193" s="242" t="s">
        <v>1392</v>
      </c>
      <c r="L193" s="31">
        <v>127</v>
      </c>
      <c r="M193" s="35">
        <v>16</v>
      </c>
      <c r="N193" s="36">
        <v>50.5</v>
      </c>
      <c r="O193" s="37" t="s">
        <v>126</v>
      </c>
      <c r="P193" s="153" t="s">
        <v>304</v>
      </c>
      <c r="Q193" s="35" t="s">
        <v>289</v>
      </c>
      <c r="R193" s="36" t="s">
        <v>305</v>
      </c>
    </row>
    <row r="194" spans="1:18" ht="33.75" customHeight="1">
      <c r="A194" s="25" t="s">
        <v>282</v>
      </c>
      <c r="B194" s="151">
        <v>7</v>
      </c>
      <c r="C194" s="152" t="s">
        <v>283</v>
      </c>
      <c r="D194" s="28" t="s">
        <v>154</v>
      </c>
      <c r="E194" s="29">
        <v>9</v>
      </c>
      <c r="F194" s="97" t="s">
        <v>306</v>
      </c>
      <c r="G194" s="242" t="s">
        <v>1393</v>
      </c>
      <c r="H194" s="31">
        <v>26</v>
      </c>
      <c r="I194" s="32">
        <v>12</v>
      </c>
      <c r="J194" s="33">
        <v>41.8</v>
      </c>
      <c r="K194" s="242" t="s">
        <v>1394</v>
      </c>
      <c r="L194" s="31">
        <v>127</v>
      </c>
      <c r="M194" s="35">
        <v>15</v>
      </c>
      <c r="N194" s="36">
        <v>4.7</v>
      </c>
      <c r="O194" s="37" t="s">
        <v>298</v>
      </c>
      <c r="P194" s="153" t="s">
        <v>127</v>
      </c>
      <c r="Q194" s="35" t="s">
        <v>289</v>
      </c>
      <c r="R194" s="36" t="s">
        <v>307</v>
      </c>
    </row>
    <row r="195" spans="1:18" ht="33.75" customHeight="1">
      <c r="A195" s="25" t="s">
        <v>282</v>
      </c>
      <c r="B195" s="151">
        <v>7</v>
      </c>
      <c r="C195" s="152" t="s">
        <v>283</v>
      </c>
      <c r="D195" s="28" t="s">
        <v>154</v>
      </c>
      <c r="E195" s="29">
        <v>10</v>
      </c>
      <c r="F195" s="97" t="s">
        <v>308</v>
      </c>
      <c r="G195" s="242" t="s">
        <v>1395</v>
      </c>
      <c r="H195" s="31">
        <v>26</v>
      </c>
      <c r="I195" s="32">
        <v>10</v>
      </c>
      <c r="J195" s="33">
        <v>36.9</v>
      </c>
      <c r="K195" s="242" t="s">
        <v>1396</v>
      </c>
      <c r="L195" s="31">
        <v>127</v>
      </c>
      <c r="M195" s="35">
        <v>13</v>
      </c>
      <c r="N195" s="33">
        <v>57.4</v>
      </c>
      <c r="O195" s="37" t="s">
        <v>175</v>
      </c>
      <c r="P195" s="153" t="s">
        <v>156</v>
      </c>
      <c r="Q195" s="35" t="s">
        <v>289</v>
      </c>
      <c r="R195" s="36" t="s">
        <v>296</v>
      </c>
    </row>
    <row r="196" spans="1:18" ht="33.75" customHeight="1">
      <c r="A196" s="25" t="s">
        <v>282</v>
      </c>
      <c r="B196" s="151">
        <v>7</v>
      </c>
      <c r="C196" s="152" t="s">
        <v>283</v>
      </c>
      <c r="D196" s="28" t="s">
        <v>154</v>
      </c>
      <c r="E196" s="29">
        <v>11</v>
      </c>
      <c r="F196" s="97" t="s">
        <v>309</v>
      </c>
      <c r="G196" s="242"/>
      <c r="H196" s="31">
        <v>26</v>
      </c>
      <c r="I196" s="32">
        <v>12</v>
      </c>
      <c r="J196" s="33">
        <v>19.2</v>
      </c>
      <c r="K196" s="242"/>
      <c r="L196" s="31">
        <v>127</v>
      </c>
      <c r="M196" s="35">
        <v>20</v>
      </c>
      <c r="N196" s="36">
        <v>53.1</v>
      </c>
      <c r="O196" s="37" t="s">
        <v>175</v>
      </c>
      <c r="P196" s="153" t="s">
        <v>127</v>
      </c>
      <c r="Q196" s="35" t="s">
        <v>1378</v>
      </c>
      <c r="R196" s="36" t="s">
        <v>310</v>
      </c>
    </row>
    <row r="197" spans="1:18" ht="33.75" customHeight="1" thickBot="1">
      <c r="A197" s="46" t="s">
        <v>282</v>
      </c>
      <c r="B197" s="154">
        <v>7</v>
      </c>
      <c r="C197" s="155" t="s">
        <v>283</v>
      </c>
      <c r="D197" s="49" t="s">
        <v>154</v>
      </c>
      <c r="E197" s="50">
        <v>12</v>
      </c>
      <c r="F197" s="98" t="s">
        <v>311</v>
      </c>
      <c r="G197" s="246"/>
      <c r="H197" s="99">
        <v>26</v>
      </c>
      <c r="I197" s="100">
        <v>10</v>
      </c>
      <c r="J197" s="101">
        <v>22.8</v>
      </c>
      <c r="K197" s="246"/>
      <c r="L197" s="99">
        <v>127</v>
      </c>
      <c r="M197" s="56">
        <v>20</v>
      </c>
      <c r="N197" s="53">
        <v>26.7</v>
      </c>
      <c r="O197" s="54" t="s">
        <v>175</v>
      </c>
      <c r="P197" s="156" t="s">
        <v>127</v>
      </c>
      <c r="Q197" s="56" t="s">
        <v>1378</v>
      </c>
      <c r="R197" s="53" t="s">
        <v>300</v>
      </c>
    </row>
    <row r="198" spans="1:18" ht="27.6" customHeight="1" thickTop="1">
      <c r="A198" s="57" t="s">
        <v>312</v>
      </c>
      <c r="B198" s="58">
        <v>8</v>
      </c>
      <c r="C198" s="59" t="s">
        <v>312</v>
      </c>
      <c r="D198" s="59" t="s">
        <v>154</v>
      </c>
      <c r="E198" s="61">
        <v>1</v>
      </c>
      <c r="F198" s="62" t="s">
        <v>313</v>
      </c>
      <c r="G198" s="257"/>
      <c r="H198" s="103">
        <v>25</v>
      </c>
      <c r="I198" s="60">
        <v>52</v>
      </c>
      <c r="J198" s="157">
        <v>25.560011999994288</v>
      </c>
      <c r="K198" s="257"/>
      <c r="L198" s="57">
        <v>131</v>
      </c>
      <c r="M198" s="59">
        <v>14</v>
      </c>
      <c r="N198" s="733">
        <v>58.679879999997411</v>
      </c>
      <c r="O198" s="57"/>
      <c r="P198" s="59"/>
      <c r="Q198" s="59" t="s">
        <v>864</v>
      </c>
      <c r="R198" s="62"/>
    </row>
    <row r="199" spans="1:18" ht="27.6" customHeight="1">
      <c r="A199" s="25" t="s">
        <v>312</v>
      </c>
      <c r="B199" s="26">
        <v>8</v>
      </c>
      <c r="C199" s="27" t="s">
        <v>312</v>
      </c>
      <c r="D199" s="27" t="s">
        <v>154</v>
      </c>
      <c r="E199" s="29">
        <v>2</v>
      </c>
      <c r="F199" s="40" t="s">
        <v>314</v>
      </c>
      <c r="G199" s="258"/>
      <c r="H199" s="31">
        <v>25</v>
      </c>
      <c r="I199" s="32">
        <v>51</v>
      </c>
      <c r="J199" s="158">
        <v>40.1399999999947</v>
      </c>
      <c r="K199" s="258"/>
      <c r="L199" s="25">
        <v>131</v>
      </c>
      <c r="M199" s="27">
        <v>13</v>
      </c>
      <c r="N199" s="734">
        <v>11.520120000041061</v>
      </c>
      <c r="O199" s="25"/>
      <c r="P199" s="27"/>
      <c r="Q199" s="27" t="s">
        <v>18</v>
      </c>
      <c r="R199" s="40"/>
    </row>
    <row r="200" spans="1:18" ht="27.6" customHeight="1">
      <c r="A200" s="25" t="s">
        <v>312</v>
      </c>
      <c r="B200" s="26">
        <v>8</v>
      </c>
      <c r="C200" s="27" t="s">
        <v>312</v>
      </c>
      <c r="D200" s="27" t="s">
        <v>154</v>
      </c>
      <c r="E200" s="29">
        <v>3</v>
      </c>
      <c r="F200" s="40" t="s">
        <v>315</v>
      </c>
      <c r="G200" s="258"/>
      <c r="H200" s="31">
        <v>25</v>
      </c>
      <c r="I200" s="32">
        <v>49</v>
      </c>
      <c r="J200" s="158">
        <v>40.739987999994867</v>
      </c>
      <c r="K200" s="258"/>
      <c r="L200" s="25">
        <v>131</v>
      </c>
      <c r="M200" s="27">
        <v>12</v>
      </c>
      <c r="N200" s="734">
        <v>53.460000000045511</v>
      </c>
      <c r="O200" s="25"/>
      <c r="P200" s="27"/>
      <c r="Q200" s="27" t="s">
        <v>18</v>
      </c>
      <c r="R200" s="40"/>
    </row>
    <row r="201" spans="1:18" ht="27.6" customHeight="1">
      <c r="A201" s="25" t="s">
        <v>312</v>
      </c>
      <c r="B201" s="26">
        <v>8</v>
      </c>
      <c r="C201" s="27" t="s">
        <v>312</v>
      </c>
      <c r="D201" s="27" t="s">
        <v>154</v>
      </c>
      <c r="E201" s="29">
        <v>4</v>
      </c>
      <c r="F201" s="40" t="s">
        <v>316</v>
      </c>
      <c r="G201" s="258"/>
      <c r="H201" s="31">
        <v>25</v>
      </c>
      <c r="I201" s="32">
        <v>49</v>
      </c>
      <c r="J201" s="158">
        <v>23.819987999995931</v>
      </c>
      <c r="K201" s="258"/>
      <c r="L201" s="25">
        <v>131</v>
      </c>
      <c r="M201" s="27">
        <v>12</v>
      </c>
      <c r="N201" s="734">
        <v>43.679880000017874</v>
      </c>
      <c r="O201" s="25"/>
      <c r="P201" s="27"/>
      <c r="Q201" s="27" t="s">
        <v>18</v>
      </c>
      <c r="R201" s="40"/>
    </row>
    <row r="202" spans="1:18" ht="27.6" customHeight="1">
      <c r="A202" s="25" t="s">
        <v>312</v>
      </c>
      <c r="B202" s="26">
        <v>8</v>
      </c>
      <c r="C202" s="27" t="s">
        <v>312</v>
      </c>
      <c r="D202" s="27" t="s">
        <v>154</v>
      </c>
      <c r="E202" s="29">
        <v>5</v>
      </c>
      <c r="F202" s="40" t="s">
        <v>317</v>
      </c>
      <c r="G202" s="258"/>
      <c r="H202" s="31">
        <v>25</v>
      </c>
      <c r="I202" s="32">
        <v>48</v>
      </c>
      <c r="J202" s="158">
        <v>50.519988000003195</v>
      </c>
      <c r="K202" s="258"/>
      <c r="L202" s="25">
        <v>131</v>
      </c>
      <c r="M202" s="27">
        <v>14</v>
      </c>
      <c r="N202" s="734">
        <v>52.919880000010835</v>
      </c>
      <c r="O202" s="25"/>
      <c r="P202" s="27"/>
      <c r="Q202" s="27" t="s">
        <v>18</v>
      </c>
      <c r="R202" s="40"/>
    </row>
    <row r="203" spans="1:18" ht="27.6" customHeight="1">
      <c r="A203" s="25" t="s">
        <v>312</v>
      </c>
      <c r="B203" s="26">
        <v>8</v>
      </c>
      <c r="C203" s="27" t="s">
        <v>312</v>
      </c>
      <c r="D203" s="27" t="s">
        <v>154</v>
      </c>
      <c r="E203" s="29">
        <v>6</v>
      </c>
      <c r="F203" s="40" t="s">
        <v>318</v>
      </c>
      <c r="G203" s="258"/>
      <c r="H203" s="31">
        <v>25</v>
      </c>
      <c r="I203" s="32">
        <v>48</v>
      </c>
      <c r="J203" s="158">
        <v>45.960011999994492</v>
      </c>
      <c r="K203" s="258"/>
      <c r="L203" s="25">
        <v>131</v>
      </c>
      <c r="M203" s="27">
        <v>13</v>
      </c>
      <c r="N203" s="734">
        <v>41.040119999997842</v>
      </c>
      <c r="O203" s="25"/>
      <c r="P203" s="27"/>
      <c r="Q203" s="27" t="s">
        <v>18</v>
      </c>
      <c r="R203" s="40"/>
    </row>
    <row r="204" spans="1:18" ht="27.6" customHeight="1">
      <c r="A204" s="25" t="s">
        <v>312</v>
      </c>
      <c r="B204" s="26">
        <v>8</v>
      </c>
      <c r="C204" s="27" t="s">
        <v>312</v>
      </c>
      <c r="D204" s="27" t="s">
        <v>154</v>
      </c>
      <c r="E204" s="29">
        <v>7</v>
      </c>
      <c r="F204" s="40" t="s">
        <v>319</v>
      </c>
      <c r="G204" s="258"/>
      <c r="H204" s="31">
        <v>25</v>
      </c>
      <c r="I204" s="32">
        <v>49</v>
      </c>
      <c r="J204" s="158">
        <v>58.379988000004914</v>
      </c>
      <c r="K204" s="258"/>
      <c r="L204" s="25">
        <v>131</v>
      </c>
      <c r="M204" s="27">
        <v>16</v>
      </c>
      <c r="N204" s="734">
        <v>7.9798799999957737</v>
      </c>
      <c r="O204" s="25"/>
      <c r="P204" s="27"/>
      <c r="Q204" s="27" t="s">
        <v>18</v>
      </c>
      <c r="R204" s="40"/>
    </row>
    <row r="205" spans="1:18" ht="27.6" customHeight="1">
      <c r="A205" s="25" t="s">
        <v>312</v>
      </c>
      <c r="B205" s="26">
        <v>8</v>
      </c>
      <c r="C205" s="27" t="s">
        <v>312</v>
      </c>
      <c r="D205" s="27" t="s">
        <v>154</v>
      </c>
      <c r="E205" s="29">
        <v>8</v>
      </c>
      <c r="F205" s="40" t="s">
        <v>320</v>
      </c>
      <c r="G205" s="258"/>
      <c r="H205" s="31">
        <v>25</v>
      </c>
      <c r="I205" s="32">
        <v>49</v>
      </c>
      <c r="J205" s="158">
        <v>57.119988000001456</v>
      </c>
      <c r="K205" s="258"/>
      <c r="L205" s="25">
        <v>131</v>
      </c>
      <c r="M205" s="27">
        <v>15</v>
      </c>
      <c r="N205" s="734">
        <v>58.079880000025241</v>
      </c>
      <c r="O205" s="25"/>
      <c r="P205" s="27"/>
      <c r="Q205" s="27" t="s">
        <v>2064</v>
      </c>
      <c r="R205" s="40"/>
    </row>
    <row r="206" spans="1:18" ht="27.6" customHeight="1">
      <c r="A206" s="25" t="s">
        <v>312</v>
      </c>
      <c r="B206" s="26">
        <v>8</v>
      </c>
      <c r="C206" s="27" t="s">
        <v>312</v>
      </c>
      <c r="D206" s="27" t="s">
        <v>154</v>
      </c>
      <c r="E206" s="29">
        <v>9</v>
      </c>
      <c r="F206" s="40" t="s">
        <v>321</v>
      </c>
      <c r="G206" s="258"/>
      <c r="H206" s="31">
        <v>25</v>
      </c>
      <c r="I206" s="32">
        <v>50</v>
      </c>
      <c r="J206" s="158">
        <v>22.319987999993884</v>
      </c>
      <c r="K206" s="258"/>
      <c r="L206" s="25">
        <v>131</v>
      </c>
      <c r="M206" s="27">
        <v>16</v>
      </c>
      <c r="N206" s="734">
        <v>9.7201200000222343</v>
      </c>
      <c r="O206" s="25"/>
      <c r="P206" s="27"/>
      <c r="Q206" s="27" t="s">
        <v>18</v>
      </c>
      <c r="R206" s="40"/>
    </row>
    <row r="207" spans="1:18" ht="27.6" customHeight="1">
      <c r="A207" s="25" t="s">
        <v>312</v>
      </c>
      <c r="B207" s="26">
        <v>8</v>
      </c>
      <c r="C207" s="27" t="s">
        <v>312</v>
      </c>
      <c r="D207" s="27" t="s">
        <v>154</v>
      </c>
      <c r="E207" s="29">
        <v>10</v>
      </c>
      <c r="F207" s="40" t="s">
        <v>322</v>
      </c>
      <c r="G207" s="258"/>
      <c r="H207" s="31">
        <v>25</v>
      </c>
      <c r="I207" s="32">
        <v>50</v>
      </c>
      <c r="J207" s="158">
        <v>22.319987999993884</v>
      </c>
      <c r="K207" s="258"/>
      <c r="L207" s="25">
        <v>131</v>
      </c>
      <c r="M207" s="27">
        <v>16</v>
      </c>
      <c r="N207" s="734">
        <v>9.7201200000222343</v>
      </c>
      <c r="O207" s="25"/>
      <c r="P207" s="27"/>
      <c r="Q207" s="27" t="s">
        <v>18</v>
      </c>
      <c r="R207" s="40"/>
    </row>
    <row r="208" spans="1:18" ht="27.6" customHeight="1">
      <c r="A208" s="25" t="s">
        <v>312</v>
      </c>
      <c r="B208" s="26">
        <v>8</v>
      </c>
      <c r="C208" s="27" t="s">
        <v>312</v>
      </c>
      <c r="D208" s="27" t="s">
        <v>154</v>
      </c>
      <c r="E208" s="29">
        <v>11</v>
      </c>
      <c r="F208" s="40" t="s">
        <v>323</v>
      </c>
      <c r="G208" s="258"/>
      <c r="H208" s="31">
        <v>25</v>
      </c>
      <c r="I208" s="32">
        <v>57</v>
      </c>
      <c r="J208" s="158">
        <v>42.900012000002903</v>
      </c>
      <c r="K208" s="258"/>
      <c r="L208" s="25">
        <v>131</v>
      </c>
      <c r="M208" s="27">
        <v>17</v>
      </c>
      <c r="N208" s="734">
        <v>10.979880000040794</v>
      </c>
      <c r="O208" s="25"/>
      <c r="P208" s="27"/>
      <c r="Q208" s="27" t="s">
        <v>18</v>
      </c>
      <c r="R208" s="40"/>
    </row>
    <row r="209" spans="1:18" ht="27.6" customHeight="1">
      <c r="A209" s="25" t="s">
        <v>312</v>
      </c>
      <c r="B209" s="26">
        <v>8</v>
      </c>
      <c r="C209" s="27" t="s">
        <v>312</v>
      </c>
      <c r="D209" s="27" t="s">
        <v>154</v>
      </c>
      <c r="E209" s="29">
        <v>12</v>
      </c>
      <c r="F209" s="40" t="s">
        <v>324</v>
      </c>
      <c r="G209" s="258"/>
      <c r="H209" s="31">
        <v>25</v>
      </c>
      <c r="I209" s="32">
        <v>57</v>
      </c>
      <c r="J209" s="158">
        <v>38.22001200000102</v>
      </c>
      <c r="K209" s="258"/>
      <c r="L209" s="25">
        <v>131</v>
      </c>
      <c r="M209" s="27">
        <v>17</v>
      </c>
      <c r="N209" s="734">
        <v>2.2200000000157161</v>
      </c>
      <c r="O209" s="25"/>
      <c r="P209" s="27"/>
      <c r="Q209" s="27" t="s">
        <v>18</v>
      </c>
      <c r="R209" s="40"/>
    </row>
    <row r="210" spans="1:18" ht="27.6" customHeight="1">
      <c r="A210" s="25" t="s">
        <v>312</v>
      </c>
      <c r="B210" s="26">
        <v>8</v>
      </c>
      <c r="C210" s="27" t="s">
        <v>312</v>
      </c>
      <c r="D210" s="27" t="s">
        <v>154</v>
      </c>
      <c r="E210" s="29">
        <v>13</v>
      </c>
      <c r="F210" s="40" t="s">
        <v>325</v>
      </c>
      <c r="G210" s="258"/>
      <c r="H210" s="31">
        <v>25</v>
      </c>
      <c r="I210" s="32">
        <v>55</v>
      </c>
      <c r="J210" s="158">
        <v>39.119987999997363</v>
      </c>
      <c r="K210" s="258"/>
      <c r="L210" s="25">
        <v>131</v>
      </c>
      <c r="M210" s="27">
        <v>18</v>
      </c>
      <c r="N210" s="734">
        <v>33.180120000026818</v>
      </c>
      <c r="O210" s="25"/>
      <c r="P210" s="27"/>
      <c r="Q210" s="27" t="s">
        <v>18</v>
      </c>
      <c r="R210" s="40"/>
    </row>
    <row r="211" spans="1:18" ht="27.6" customHeight="1">
      <c r="A211" s="25" t="s">
        <v>312</v>
      </c>
      <c r="B211" s="26">
        <v>8</v>
      </c>
      <c r="C211" s="27" t="s">
        <v>312</v>
      </c>
      <c r="D211" s="27" t="s">
        <v>154</v>
      </c>
      <c r="E211" s="29">
        <v>14</v>
      </c>
      <c r="F211" s="40" t="s">
        <v>326</v>
      </c>
      <c r="G211" s="258"/>
      <c r="H211" s="31">
        <v>25</v>
      </c>
      <c r="I211" s="32">
        <v>56</v>
      </c>
      <c r="J211" s="158">
        <v>5.1000000000038881</v>
      </c>
      <c r="K211" s="258"/>
      <c r="L211" s="25">
        <v>131</v>
      </c>
      <c r="M211" s="27">
        <v>19</v>
      </c>
      <c r="N211" s="734">
        <v>29.520120000004226</v>
      </c>
      <c r="O211" s="25"/>
      <c r="P211" s="27"/>
      <c r="Q211" s="27" t="s">
        <v>18</v>
      </c>
      <c r="R211" s="40"/>
    </row>
    <row r="212" spans="1:18" ht="27.6" customHeight="1">
      <c r="A212" s="25" t="s">
        <v>312</v>
      </c>
      <c r="B212" s="26">
        <v>8</v>
      </c>
      <c r="C212" s="27" t="s">
        <v>312</v>
      </c>
      <c r="D212" s="27" t="s">
        <v>154</v>
      </c>
      <c r="E212" s="29">
        <v>15</v>
      </c>
      <c r="F212" s="40" t="s">
        <v>327</v>
      </c>
      <c r="G212" s="258"/>
      <c r="H212" s="31">
        <v>25</v>
      </c>
      <c r="I212" s="32">
        <v>57</v>
      </c>
      <c r="J212" s="158">
        <v>4.560011999996334</v>
      </c>
      <c r="K212" s="258"/>
      <c r="L212" s="25">
        <v>131</v>
      </c>
      <c r="M212" s="27">
        <v>19</v>
      </c>
      <c r="N212" s="734">
        <v>58.73987999998235</v>
      </c>
      <c r="O212" s="25"/>
      <c r="P212" s="27"/>
      <c r="Q212" s="27" t="s">
        <v>18</v>
      </c>
      <c r="R212" s="40"/>
    </row>
    <row r="213" spans="1:18" ht="27.6" customHeight="1">
      <c r="A213" s="25" t="s">
        <v>312</v>
      </c>
      <c r="B213" s="26">
        <v>8</v>
      </c>
      <c r="C213" s="27" t="s">
        <v>312</v>
      </c>
      <c r="D213" s="27" t="s">
        <v>154</v>
      </c>
      <c r="E213" s="159">
        <v>16</v>
      </c>
      <c r="F213" s="27" t="s">
        <v>328</v>
      </c>
      <c r="G213" s="259"/>
      <c r="H213" s="89">
        <v>25</v>
      </c>
      <c r="I213" s="90">
        <v>49</v>
      </c>
      <c r="J213" s="160">
        <v>57.7</v>
      </c>
      <c r="K213" s="259"/>
      <c r="L213" s="83">
        <v>131</v>
      </c>
      <c r="M213" s="85">
        <v>16</v>
      </c>
      <c r="N213" s="735">
        <v>7.3</v>
      </c>
      <c r="O213" s="83"/>
      <c r="P213" s="85"/>
      <c r="Q213" s="85" t="s">
        <v>18</v>
      </c>
      <c r="R213" s="161"/>
    </row>
    <row r="214" spans="1:18" ht="27.6" customHeight="1">
      <c r="A214" s="25" t="s">
        <v>312</v>
      </c>
      <c r="B214" s="26">
        <v>8</v>
      </c>
      <c r="C214" s="27" t="s">
        <v>312</v>
      </c>
      <c r="D214" s="27" t="s">
        <v>154</v>
      </c>
      <c r="E214" s="159">
        <v>17</v>
      </c>
      <c r="F214" s="27" t="s">
        <v>329</v>
      </c>
      <c r="G214" s="258"/>
      <c r="H214" s="31">
        <v>25</v>
      </c>
      <c r="I214" s="32">
        <v>49</v>
      </c>
      <c r="J214" s="158">
        <v>36.9</v>
      </c>
      <c r="K214" s="258"/>
      <c r="L214" s="25">
        <v>131</v>
      </c>
      <c r="M214" s="27">
        <v>12</v>
      </c>
      <c r="N214" s="734">
        <v>55.4</v>
      </c>
      <c r="O214" s="25"/>
      <c r="P214" s="27"/>
      <c r="Q214" s="27" t="s">
        <v>2064</v>
      </c>
      <c r="R214" s="40"/>
    </row>
    <row r="215" spans="1:18" ht="27.6" customHeight="1" thickBot="1">
      <c r="A215" s="71" t="s">
        <v>312</v>
      </c>
      <c r="B215" s="72">
        <v>8</v>
      </c>
      <c r="C215" s="73" t="s">
        <v>312</v>
      </c>
      <c r="D215" s="73" t="s">
        <v>154</v>
      </c>
      <c r="E215" s="162">
        <v>18</v>
      </c>
      <c r="F215" s="163" t="s">
        <v>330</v>
      </c>
      <c r="G215" s="260"/>
      <c r="H215" s="77">
        <v>25</v>
      </c>
      <c r="I215" s="74">
        <v>50</v>
      </c>
      <c r="J215" s="164">
        <v>13.3</v>
      </c>
      <c r="K215" s="260"/>
      <c r="L215" s="71">
        <v>131</v>
      </c>
      <c r="M215" s="73">
        <v>13</v>
      </c>
      <c r="N215" s="736">
        <v>0.6</v>
      </c>
      <c r="O215" s="71"/>
      <c r="P215" s="73"/>
      <c r="Q215" s="73" t="s">
        <v>18</v>
      </c>
      <c r="R215" s="76"/>
    </row>
    <row r="216" spans="1:18" ht="39.950000000000003" customHeight="1" thickTop="1">
      <c r="A216" s="83" t="s">
        <v>331</v>
      </c>
      <c r="B216" s="84">
        <v>9</v>
      </c>
      <c r="C216" s="86" t="s">
        <v>331</v>
      </c>
      <c r="D216" s="86" t="s">
        <v>154</v>
      </c>
      <c r="E216" s="87">
        <v>1</v>
      </c>
      <c r="F216" s="165" t="s">
        <v>1397</v>
      </c>
      <c r="G216" s="261" t="s">
        <v>1398</v>
      </c>
      <c r="H216" s="166">
        <v>24</v>
      </c>
      <c r="I216" s="167">
        <v>56</v>
      </c>
      <c r="J216" s="168">
        <v>29.5</v>
      </c>
      <c r="K216" s="262" t="s">
        <v>1399</v>
      </c>
      <c r="L216" s="89">
        <v>125</v>
      </c>
      <c r="M216" s="92">
        <v>14</v>
      </c>
      <c r="N216" s="93">
        <v>43.1</v>
      </c>
      <c r="O216" s="94" t="s">
        <v>130</v>
      </c>
      <c r="P216" s="95" t="s">
        <v>164</v>
      </c>
      <c r="Q216" s="92" t="s">
        <v>18</v>
      </c>
      <c r="R216" s="93" t="s">
        <v>1400</v>
      </c>
    </row>
    <row r="217" spans="1:18" ht="39.950000000000003" customHeight="1">
      <c r="A217" s="25" t="s">
        <v>331</v>
      </c>
      <c r="B217" s="26">
        <v>9</v>
      </c>
      <c r="C217" s="28" t="s">
        <v>331</v>
      </c>
      <c r="D217" s="28" t="s">
        <v>154</v>
      </c>
      <c r="E217" s="29">
        <v>2</v>
      </c>
      <c r="F217" s="169" t="s">
        <v>1401</v>
      </c>
      <c r="G217" s="263" t="s">
        <v>1402</v>
      </c>
      <c r="H217" s="170">
        <v>24</v>
      </c>
      <c r="I217" s="171">
        <v>56</v>
      </c>
      <c r="J217" s="172">
        <v>3.1</v>
      </c>
      <c r="K217" s="264" t="s">
        <v>1403</v>
      </c>
      <c r="L217" s="31">
        <v>125</v>
      </c>
      <c r="M217" s="35">
        <v>15</v>
      </c>
      <c r="N217" s="33">
        <v>34.700000000000003</v>
      </c>
      <c r="O217" s="37" t="s">
        <v>332</v>
      </c>
      <c r="P217" s="38" t="s">
        <v>156</v>
      </c>
      <c r="Q217" s="35" t="s">
        <v>18</v>
      </c>
      <c r="R217" s="36" t="s">
        <v>1362</v>
      </c>
    </row>
    <row r="218" spans="1:18" ht="39.950000000000003" customHeight="1">
      <c r="A218" s="25" t="s">
        <v>331</v>
      </c>
      <c r="B218" s="26">
        <v>9</v>
      </c>
      <c r="C218" s="28" t="s">
        <v>331</v>
      </c>
      <c r="D218" s="28" t="s">
        <v>154</v>
      </c>
      <c r="E218" s="29">
        <v>3</v>
      </c>
      <c r="F218" s="169" t="s">
        <v>1404</v>
      </c>
      <c r="G218" s="263" t="s">
        <v>1405</v>
      </c>
      <c r="H218" s="170">
        <v>24</v>
      </c>
      <c r="I218" s="171">
        <v>54</v>
      </c>
      <c r="J218" s="172">
        <v>1.8</v>
      </c>
      <c r="K218" s="264" t="s">
        <v>1406</v>
      </c>
      <c r="L218" s="31">
        <v>125</v>
      </c>
      <c r="M218" s="35">
        <v>15</v>
      </c>
      <c r="N218" s="33">
        <v>34.700000000000003</v>
      </c>
      <c r="O218" s="37" t="s">
        <v>332</v>
      </c>
      <c r="P218" s="38" t="s">
        <v>156</v>
      </c>
      <c r="Q218" s="35" t="s">
        <v>18</v>
      </c>
      <c r="R218" s="36" t="s">
        <v>1407</v>
      </c>
    </row>
    <row r="219" spans="1:18" ht="39.950000000000003" customHeight="1">
      <c r="A219" s="25" t="s">
        <v>331</v>
      </c>
      <c r="B219" s="26">
        <v>9</v>
      </c>
      <c r="C219" s="28" t="s">
        <v>331</v>
      </c>
      <c r="D219" s="28" t="s">
        <v>154</v>
      </c>
      <c r="E219" s="29">
        <v>4</v>
      </c>
      <c r="F219" s="169" t="s">
        <v>1408</v>
      </c>
      <c r="G219" s="263" t="s">
        <v>1409</v>
      </c>
      <c r="H219" s="170">
        <v>24</v>
      </c>
      <c r="I219" s="171">
        <v>48</v>
      </c>
      <c r="J219" s="172">
        <v>45.3</v>
      </c>
      <c r="K219" s="264" t="s">
        <v>1410</v>
      </c>
      <c r="L219" s="31">
        <v>125</v>
      </c>
      <c r="M219" s="35">
        <v>8</v>
      </c>
      <c r="N219" s="33">
        <v>35</v>
      </c>
      <c r="O219" s="37" t="s">
        <v>130</v>
      </c>
      <c r="P219" s="38" t="s">
        <v>164</v>
      </c>
      <c r="Q219" s="35" t="s">
        <v>18</v>
      </c>
      <c r="R219" s="36" t="s">
        <v>1362</v>
      </c>
    </row>
    <row r="220" spans="1:18" ht="39.950000000000003" customHeight="1">
      <c r="A220" s="25" t="s">
        <v>331</v>
      </c>
      <c r="B220" s="26">
        <v>9</v>
      </c>
      <c r="C220" s="28" t="s">
        <v>331</v>
      </c>
      <c r="D220" s="28" t="s">
        <v>154</v>
      </c>
      <c r="E220" s="29">
        <v>5</v>
      </c>
      <c r="F220" s="169" t="s">
        <v>1411</v>
      </c>
      <c r="G220" s="263" t="s">
        <v>1412</v>
      </c>
      <c r="H220" s="170">
        <v>24</v>
      </c>
      <c r="I220" s="171">
        <v>47</v>
      </c>
      <c r="J220" s="172">
        <v>52.1</v>
      </c>
      <c r="K220" s="264" t="s">
        <v>1413</v>
      </c>
      <c r="L220" s="31">
        <v>125</v>
      </c>
      <c r="M220" s="35">
        <v>9</v>
      </c>
      <c r="N220" s="36">
        <v>42.9</v>
      </c>
      <c r="O220" s="37" t="s">
        <v>139</v>
      </c>
      <c r="P220" s="38" t="s">
        <v>164</v>
      </c>
      <c r="Q220" s="35" t="s">
        <v>18</v>
      </c>
      <c r="R220" s="36" t="s">
        <v>1407</v>
      </c>
    </row>
    <row r="221" spans="1:18" ht="39.950000000000003" customHeight="1">
      <c r="A221" s="25" t="s">
        <v>331</v>
      </c>
      <c r="B221" s="26">
        <v>9</v>
      </c>
      <c r="C221" s="28" t="s">
        <v>331</v>
      </c>
      <c r="D221" s="28" t="s">
        <v>154</v>
      </c>
      <c r="E221" s="29">
        <v>6</v>
      </c>
      <c r="F221" s="169" t="s">
        <v>1414</v>
      </c>
      <c r="G221" s="263" t="s">
        <v>1415</v>
      </c>
      <c r="H221" s="170">
        <v>24</v>
      </c>
      <c r="I221" s="171">
        <v>43</v>
      </c>
      <c r="J221" s="172">
        <v>10</v>
      </c>
      <c r="K221" s="264" t="s">
        <v>1416</v>
      </c>
      <c r="L221" s="31">
        <v>125</v>
      </c>
      <c r="M221" s="35">
        <v>15</v>
      </c>
      <c r="N221" s="36">
        <v>51.4</v>
      </c>
      <c r="O221" s="37" t="s">
        <v>332</v>
      </c>
      <c r="P221" s="38" t="s">
        <v>156</v>
      </c>
      <c r="Q221" s="35" t="s">
        <v>18</v>
      </c>
      <c r="R221" s="36" t="s">
        <v>1417</v>
      </c>
    </row>
    <row r="222" spans="1:18" ht="39.950000000000003" customHeight="1">
      <c r="A222" s="25" t="s">
        <v>331</v>
      </c>
      <c r="B222" s="26">
        <v>9</v>
      </c>
      <c r="C222" s="28" t="s">
        <v>331</v>
      </c>
      <c r="D222" s="28" t="s">
        <v>154</v>
      </c>
      <c r="E222" s="29">
        <v>7</v>
      </c>
      <c r="F222" s="169" t="s">
        <v>1418</v>
      </c>
      <c r="G222" s="263" t="s">
        <v>1419</v>
      </c>
      <c r="H222" s="170">
        <v>24</v>
      </c>
      <c r="I222" s="171">
        <v>42</v>
      </c>
      <c r="J222" s="172">
        <v>50.5</v>
      </c>
      <c r="K222" s="264" t="s">
        <v>1420</v>
      </c>
      <c r="L222" s="31">
        <v>125</v>
      </c>
      <c r="M222" s="35">
        <v>19</v>
      </c>
      <c r="N222" s="33">
        <v>49</v>
      </c>
      <c r="O222" s="37" t="s">
        <v>130</v>
      </c>
      <c r="P222" s="38" t="s">
        <v>164</v>
      </c>
      <c r="Q222" s="35" t="s">
        <v>18</v>
      </c>
      <c r="R222" s="36" t="s">
        <v>1400</v>
      </c>
    </row>
    <row r="223" spans="1:18" ht="39.950000000000003" customHeight="1">
      <c r="A223" s="25" t="s">
        <v>331</v>
      </c>
      <c r="B223" s="26">
        <v>9</v>
      </c>
      <c r="C223" s="28" t="s">
        <v>331</v>
      </c>
      <c r="D223" s="28" t="s">
        <v>154</v>
      </c>
      <c r="E223" s="29">
        <v>8</v>
      </c>
      <c r="F223" s="169" t="s">
        <v>1421</v>
      </c>
      <c r="G223" s="263" t="s">
        <v>1422</v>
      </c>
      <c r="H223" s="170">
        <v>24</v>
      </c>
      <c r="I223" s="171">
        <v>44</v>
      </c>
      <c r="J223" s="172">
        <v>54</v>
      </c>
      <c r="K223" s="264" t="s">
        <v>1423</v>
      </c>
      <c r="L223" s="31">
        <v>125</v>
      </c>
      <c r="M223" s="35">
        <v>26</v>
      </c>
      <c r="N223" s="36">
        <v>35.200000000000003</v>
      </c>
      <c r="O223" s="37" t="s">
        <v>130</v>
      </c>
      <c r="P223" s="38" t="s">
        <v>164</v>
      </c>
      <c r="Q223" s="35" t="s">
        <v>18</v>
      </c>
      <c r="R223" s="36" t="s">
        <v>333</v>
      </c>
    </row>
    <row r="224" spans="1:18" ht="39.950000000000003" customHeight="1">
      <c r="A224" s="25" t="s">
        <v>331</v>
      </c>
      <c r="B224" s="26">
        <v>9</v>
      </c>
      <c r="C224" s="28" t="s">
        <v>331</v>
      </c>
      <c r="D224" s="28" t="s">
        <v>154</v>
      </c>
      <c r="E224" s="29">
        <v>9</v>
      </c>
      <c r="F224" s="169" t="s">
        <v>1424</v>
      </c>
      <c r="G224" s="244" t="s">
        <v>863</v>
      </c>
      <c r="H224" s="31">
        <v>24</v>
      </c>
      <c r="I224" s="32">
        <v>50</v>
      </c>
      <c r="J224" s="33">
        <v>27.9</v>
      </c>
      <c r="K224" s="242"/>
      <c r="L224" s="31">
        <v>125</v>
      </c>
      <c r="M224" s="32">
        <v>23</v>
      </c>
      <c r="N224" s="33">
        <v>29.9</v>
      </c>
      <c r="O224" s="173" t="s">
        <v>334</v>
      </c>
      <c r="P224" s="28" t="s">
        <v>176</v>
      </c>
      <c r="Q224" s="35" t="s">
        <v>864</v>
      </c>
      <c r="R224" s="36" t="s">
        <v>1279</v>
      </c>
    </row>
    <row r="225" spans="1:20" ht="39.950000000000003" customHeight="1" thickBot="1">
      <c r="A225" s="46" t="s">
        <v>331</v>
      </c>
      <c r="B225" s="47">
        <v>9</v>
      </c>
      <c r="C225" s="49" t="s">
        <v>331</v>
      </c>
      <c r="D225" s="49" t="s">
        <v>154</v>
      </c>
      <c r="E225" s="50">
        <v>10</v>
      </c>
      <c r="F225" s="174" t="s">
        <v>335</v>
      </c>
      <c r="G225" s="245" t="s">
        <v>863</v>
      </c>
      <c r="H225" s="99">
        <v>24</v>
      </c>
      <c r="I225" s="100">
        <v>49</v>
      </c>
      <c r="J225" s="101">
        <v>42.3</v>
      </c>
      <c r="K225" s="246"/>
      <c r="L225" s="99">
        <v>125</v>
      </c>
      <c r="M225" s="100">
        <v>20</v>
      </c>
      <c r="N225" s="101">
        <v>49.9</v>
      </c>
      <c r="O225" s="175" t="s">
        <v>336</v>
      </c>
      <c r="P225" s="49" t="s">
        <v>176</v>
      </c>
      <c r="Q225" s="56" t="s">
        <v>864</v>
      </c>
      <c r="R225" s="53" t="s">
        <v>1425</v>
      </c>
    </row>
    <row r="226" spans="1:20" ht="39.950000000000003" customHeight="1" thickTop="1">
      <c r="A226" s="63" t="s">
        <v>337</v>
      </c>
      <c r="B226" s="58">
        <v>10</v>
      </c>
      <c r="C226" s="64" t="s">
        <v>338</v>
      </c>
      <c r="D226" s="64" t="s">
        <v>154</v>
      </c>
      <c r="E226" s="61">
        <v>1</v>
      </c>
      <c r="F226" s="65" t="s">
        <v>339</v>
      </c>
      <c r="G226" s="248" t="s">
        <v>865</v>
      </c>
      <c r="H226" s="103">
        <v>25</v>
      </c>
      <c r="I226" s="60">
        <v>1</v>
      </c>
      <c r="J226" s="104">
        <v>1.4</v>
      </c>
      <c r="K226" s="248" t="s">
        <v>866</v>
      </c>
      <c r="L226" s="103">
        <v>125</v>
      </c>
      <c r="M226" s="105">
        <v>14</v>
      </c>
      <c r="N226" s="65">
        <v>47.6</v>
      </c>
      <c r="O226" s="106" t="s">
        <v>340</v>
      </c>
      <c r="P226" s="107" t="s">
        <v>164</v>
      </c>
      <c r="Q226" s="105" t="s">
        <v>18</v>
      </c>
      <c r="R226" s="65" t="s">
        <v>1426</v>
      </c>
    </row>
    <row r="227" spans="1:20" ht="39.950000000000003" customHeight="1">
      <c r="A227" s="45" t="s">
        <v>337</v>
      </c>
      <c r="B227" s="26">
        <v>10</v>
      </c>
      <c r="C227" s="28" t="s">
        <v>338</v>
      </c>
      <c r="D227" s="28" t="s">
        <v>154</v>
      </c>
      <c r="E227" s="29">
        <v>2</v>
      </c>
      <c r="F227" s="36" t="s">
        <v>341</v>
      </c>
      <c r="G227" s="242" t="s">
        <v>867</v>
      </c>
      <c r="H227" s="31">
        <v>25</v>
      </c>
      <c r="I227" s="32">
        <v>1</v>
      </c>
      <c r="J227" s="33">
        <v>0.9</v>
      </c>
      <c r="K227" s="242" t="s">
        <v>868</v>
      </c>
      <c r="L227" s="31">
        <v>125</v>
      </c>
      <c r="M227" s="35">
        <v>16</v>
      </c>
      <c r="N227" s="33">
        <v>2.7</v>
      </c>
      <c r="O227" s="37" t="s">
        <v>340</v>
      </c>
      <c r="P227" s="38" t="s">
        <v>156</v>
      </c>
      <c r="Q227" s="35" t="s">
        <v>18</v>
      </c>
      <c r="R227" s="36" t="s">
        <v>1427</v>
      </c>
    </row>
    <row r="228" spans="1:20" ht="39.950000000000003" customHeight="1">
      <c r="A228" s="45" t="s">
        <v>337</v>
      </c>
      <c r="B228" s="26">
        <v>10</v>
      </c>
      <c r="C228" s="28" t="s">
        <v>338</v>
      </c>
      <c r="D228" s="28" t="s">
        <v>154</v>
      </c>
      <c r="E228" s="29">
        <v>3</v>
      </c>
      <c r="F228" s="36" t="s">
        <v>1428</v>
      </c>
      <c r="G228" s="242" t="s">
        <v>869</v>
      </c>
      <c r="H228" s="31">
        <v>24</v>
      </c>
      <c r="I228" s="32">
        <v>59</v>
      </c>
      <c r="J228" s="33">
        <v>49</v>
      </c>
      <c r="K228" s="242" t="s">
        <v>870</v>
      </c>
      <c r="L228" s="31">
        <v>125</v>
      </c>
      <c r="M228" s="35">
        <v>14</v>
      </c>
      <c r="N228" s="36">
        <v>5.2</v>
      </c>
      <c r="O228" s="37" t="s">
        <v>340</v>
      </c>
      <c r="P228" s="38" t="s">
        <v>156</v>
      </c>
      <c r="Q228" s="35" t="s">
        <v>18</v>
      </c>
      <c r="R228" s="36" t="s">
        <v>1400</v>
      </c>
      <c r="S228" s="176"/>
      <c r="T228" s="176" t="s">
        <v>1429</v>
      </c>
    </row>
    <row r="229" spans="1:20" ht="39.950000000000003" customHeight="1" thickBot="1">
      <c r="A229" s="177" t="s">
        <v>337</v>
      </c>
      <c r="B229" s="72">
        <v>10</v>
      </c>
      <c r="C229" s="121" t="s">
        <v>338</v>
      </c>
      <c r="D229" s="121" t="s">
        <v>154</v>
      </c>
      <c r="E229" s="75">
        <v>4</v>
      </c>
      <c r="F229" s="82" t="s">
        <v>342</v>
      </c>
      <c r="G229" s="256" t="s">
        <v>871</v>
      </c>
      <c r="H229" s="77">
        <v>24</v>
      </c>
      <c r="I229" s="74">
        <v>59</v>
      </c>
      <c r="J229" s="122">
        <v>41.8</v>
      </c>
      <c r="K229" s="256" t="s">
        <v>872</v>
      </c>
      <c r="L229" s="77">
        <v>125</v>
      </c>
      <c r="M229" s="123">
        <v>15</v>
      </c>
      <c r="N229" s="82">
        <v>43.2</v>
      </c>
      <c r="O229" s="124" t="s">
        <v>340</v>
      </c>
      <c r="P229" s="125" t="s">
        <v>164</v>
      </c>
      <c r="Q229" s="123" t="s">
        <v>18</v>
      </c>
      <c r="R229" s="82" t="s">
        <v>1427</v>
      </c>
    </row>
    <row r="230" spans="1:20" ht="27.6" customHeight="1" thickTop="1">
      <c r="A230" s="83" t="s">
        <v>343</v>
      </c>
      <c r="B230" s="84">
        <v>11</v>
      </c>
      <c r="C230" s="85" t="s">
        <v>344</v>
      </c>
      <c r="D230" s="86" t="s">
        <v>154</v>
      </c>
      <c r="E230" s="87">
        <v>1</v>
      </c>
      <c r="F230" s="88" t="s">
        <v>345</v>
      </c>
      <c r="G230" s="252" t="s">
        <v>873</v>
      </c>
      <c r="H230" s="89">
        <v>24</v>
      </c>
      <c r="I230" s="90">
        <v>20</v>
      </c>
      <c r="J230" s="91">
        <v>42.7</v>
      </c>
      <c r="K230" s="253" t="s">
        <v>874</v>
      </c>
      <c r="L230" s="89">
        <v>124</v>
      </c>
      <c r="M230" s="92">
        <v>12</v>
      </c>
      <c r="N230" s="93">
        <v>17.5</v>
      </c>
      <c r="O230" s="94" t="s">
        <v>130</v>
      </c>
      <c r="P230" s="95" t="s">
        <v>346</v>
      </c>
      <c r="Q230" s="92" t="s">
        <v>18</v>
      </c>
      <c r="R230" s="93" t="s">
        <v>347</v>
      </c>
    </row>
    <row r="231" spans="1:20" ht="27.6" customHeight="1">
      <c r="A231" s="25" t="s">
        <v>343</v>
      </c>
      <c r="B231" s="26">
        <v>11</v>
      </c>
      <c r="C231" s="27" t="s">
        <v>344</v>
      </c>
      <c r="D231" s="28" t="s">
        <v>154</v>
      </c>
      <c r="E231" s="29">
        <v>2</v>
      </c>
      <c r="F231" s="97" t="s">
        <v>348</v>
      </c>
      <c r="G231" s="242" t="s">
        <v>875</v>
      </c>
      <c r="H231" s="31">
        <v>24</v>
      </c>
      <c r="I231" s="32">
        <v>20</v>
      </c>
      <c r="J231" s="33">
        <v>39.4</v>
      </c>
      <c r="K231" s="34" t="s">
        <v>876</v>
      </c>
      <c r="L231" s="31">
        <v>124</v>
      </c>
      <c r="M231" s="35">
        <v>12</v>
      </c>
      <c r="N231" s="36">
        <v>53.4</v>
      </c>
      <c r="O231" s="37" t="s">
        <v>349</v>
      </c>
      <c r="P231" s="38" t="s">
        <v>156</v>
      </c>
      <c r="Q231" s="35" t="s">
        <v>18</v>
      </c>
      <c r="R231" s="36" t="s">
        <v>350</v>
      </c>
    </row>
    <row r="232" spans="1:20" ht="27.6" customHeight="1">
      <c r="A232" s="25" t="s">
        <v>343</v>
      </c>
      <c r="B232" s="26">
        <v>11</v>
      </c>
      <c r="C232" s="27" t="s">
        <v>344</v>
      </c>
      <c r="D232" s="28" t="s">
        <v>154</v>
      </c>
      <c r="E232" s="29">
        <v>3</v>
      </c>
      <c r="F232" s="97" t="s">
        <v>351</v>
      </c>
      <c r="G232" s="242" t="s">
        <v>877</v>
      </c>
      <c r="H232" s="31">
        <v>24</v>
      </c>
      <c r="I232" s="32">
        <v>20</v>
      </c>
      <c r="J232" s="33">
        <v>27.1</v>
      </c>
      <c r="K232" s="34" t="s">
        <v>878</v>
      </c>
      <c r="L232" s="31">
        <v>124</v>
      </c>
      <c r="M232" s="35">
        <v>14</v>
      </c>
      <c r="N232" s="36">
        <v>1.7</v>
      </c>
      <c r="O232" s="37" t="s">
        <v>130</v>
      </c>
      <c r="P232" s="38" t="s">
        <v>352</v>
      </c>
      <c r="Q232" s="35" t="s">
        <v>18</v>
      </c>
      <c r="R232" s="36" t="s">
        <v>353</v>
      </c>
    </row>
    <row r="233" spans="1:20" ht="27.6" customHeight="1">
      <c r="A233" s="25" t="s">
        <v>343</v>
      </c>
      <c r="B233" s="26">
        <v>11</v>
      </c>
      <c r="C233" s="27" t="s">
        <v>344</v>
      </c>
      <c r="D233" s="28" t="s">
        <v>154</v>
      </c>
      <c r="E233" s="29">
        <v>4</v>
      </c>
      <c r="F233" s="97" t="s">
        <v>354</v>
      </c>
      <c r="G233" s="242" t="s">
        <v>879</v>
      </c>
      <c r="H233" s="31">
        <v>24</v>
      </c>
      <c r="I233" s="32">
        <v>20</v>
      </c>
      <c r="J233" s="33">
        <v>59.6</v>
      </c>
      <c r="K233" s="34" t="s">
        <v>880</v>
      </c>
      <c r="L233" s="31">
        <v>124</v>
      </c>
      <c r="M233" s="35">
        <v>15</v>
      </c>
      <c r="N233" s="36">
        <v>9.6</v>
      </c>
      <c r="O233" s="37" t="s">
        <v>355</v>
      </c>
      <c r="P233" s="38" t="s">
        <v>346</v>
      </c>
      <c r="Q233" s="35" t="s">
        <v>18</v>
      </c>
      <c r="R233" s="36" t="s">
        <v>133</v>
      </c>
    </row>
    <row r="234" spans="1:20" ht="27.6" customHeight="1">
      <c r="A234" s="25" t="s">
        <v>343</v>
      </c>
      <c r="B234" s="26">
        <v>11</v>
      </c>
      <c r="C234" s="27" t="s">
        <v>344</v>
      </c>
      <c r="D234" s="28" t="s">
        <v>154</v>
      </c>
      <c r="E234" s="29">
        <v>5</v>
      </c>
      <c r="F234" s="97" t="s">
        <v>356</v>
      </c>
      <c r="G234" s="242" t="s">
        <v>881</v>
      </c>
      <c r="H234" s="31">
        <v>24</v>
      </c>
      <c r="I234" s="32">
        <v>21</v>
      </c>
      <c r="J234" s="33">
        <v>47.4</v>
      </c>
      <c r="K234" s="34" t="s">
        <v>882</v>
      </c>
      <c r="L234" s="31">
        <v>124</v>
      </c>
      <c r="M234" s="35">
        <v>15</v>
      </c>
      <c r="N234" s="36">
        <v>19.600000000000001</v>
      </c>
      <c r="O234" s="37" t="s">
        <v>355</v>
      </c>
      <c r="P234" s="38" t="s">
        <v>164</v>
      </c>
      <c r="Q234" s="35" t="s">
        <v>18</v>
      </c>
      <c r="R234" s="36" t="s">
        <v>128</v>
      </c>
    </row>
    <row r="235" spans="1:20" ht="27.6" customHeight="1">
      <c r="A235" s="25" t="s">
        <v>343</v>
      </c>
      <c r="B235" s="26">
        <v>11</v>
      </c>
      <c r="C235" s="27" t="s">
        <v>344</v>
      </c>
      <c r="D235" s="28" t="s">
        <v>154</v>
      </c>
      <c r="E235" s="29">
        <v>6</v>
      </c>
      <c r="F235" s="97" t="s">
        <v>357</v>
      </c>
      <c r="G235" s="242" t="s">
        <v>883</v>
      </c>
      <c r="H235" s="31">
        <v>24</v>
      </c>
      <c r="I235" s="32">
        <v>21</v>
      </c>
      <c r="J235" s="33">
        <v>51.7</v>
      </c>
      <c r="K235" s="34" t="s">
        <v>884</v>
      </c>
      <c r="L235" s="31">
        <v>124</v>
      </c>
      <c r="M235" s="35">
        <v>15</v>
      </c>
      <c r="N235" s="36">
        <v>16.399999999999999</v>
      </c>
      <c r="O235" s="37" t="s">
        <v>130</v>
      </c>
      <c r="P235" s="38" t="s">
        <v>346</v>
      </c>
      <c r="Q235" s="35" t="s">
        <v>18</v>
      </c>
      <c r="R235" s="36" t="s">
        <v>358</v>
      </c>
    </row>
    <row r="236" spans="1:20" ht="27.6" customHeight="1">
      <c r="A236" s="25" t="s">
        <v>343</v>
      </c>
      <c r="B236" s="26">
        <v>11</v>
      </c>
      <c r="C236" s="27" t="s">
        <v>344</v>
      </c>
      <c r="D236" s="28" t="s">
        <v>154</v>
      </c>
      <c r="E236" s="29">
        <v>7</v>
      </c>
      <c r="F236" s="97" t="s">
        <v>359</v>
      </c>
      <c r="G236" s="242" t="s">
        <v>885</v>
      </c>
      <c r="H236" s="31">
        <v>24</v>
      </c>
      <c r="I236" s="32">
        <v>22</v>
      </c>
      <c r="J236" s="33">
        <v>24.4</v>
      </c>
      <c r="K236" s="34" t="s">
        <v>886</v>
      </c>
      <c r="L236" s="31">
        <v>124</v>
      </c>
      <c r="M236" s="35">
        <v>15</v>
      </c>
      <c r="N236" s="36">
        <v>20.5</v>
      </c>
      <c r="O236" s="37" t="s">
        <v>130</v>
      </c>
      <c r="P236" s="38" t="s">
        <v>346</v>
      </c>
      <c r="Q236" s="35" t="s">
        <v>18</v>
      </c>
      <c r="R236" s="36" t="s">
        <v>347</v>
      </c>
    </row>
    <row r="237" spans="1:20" ht="27.6" customHeight="1">
      <c r="A237" s="25" t="s">
        <v>343</v>
      </c>
      <c r="B237" s="26">
        <v>11</v>
      </c>
      <c r="C237" s="27" t="s">
        <v>344</v>
      </c>
      <c r="D237" s="28" t="s">
        <v>154</v>
      </c>
      <c r="E237" s="29">
        <v>8</v>
      </c>
      <c r="F237" s="97" t="s">
        <v>360</v>
      </c>
      <c r="G237" s="242" t="s">
        <v>887</v>
      </c>
      <c r="H237" s="31">
        <v>24</v>
      </c>
      <c r="I237" s="32">
        <v>23</v>
      </c>
      <c r="J237" s="33">
        <v>4.2</v>
      </c>
      <c r="K237" s="34" t="s">
        <v>888</v>
      </c>
      <c r="L237" s="31">
        <v>124</v>
      </c>
      <c r="M237" s="35">
        <v>15</v>
      </c>
      <c r="N237" s="36">
        <v>22.7</v>
      </c>
      <c r="O237" s="37" t="s">
        <v>130</v>
      </c>
      <c r="P237" s="38" t="s">
        <v>164</v>
      </c>
      <c r="Q237" s="35" t="s">
        <v>18</v>
      </c>
      <c r="R237" s="36" t="s">
        <v>347</v>
      </c>
    </row>
    <row r="238" spans="1:20" ht="27.6" customHeight="1">
      <c r="A238" s="25" t="s">
        <v>343</v>
      </c>
      <c r="B238" s="26">
        <v>11</v>
      </c>
      <c r="C238" s="27" t="s">
        <v>344</v>
      </c>
      <c r="D238" s="28" t="s">
        <v>154</v>
      </c>
      <c r="E238" s="29">
        <v>9</v>
      </c>
      <c r="F238" s="97" t="s">
        <v>361</v>
      </c>
      <c r="G238" s="242" t="s">
        <v>889</v>
      </c>
      <c r="H238" s="31">
        <v>24</v>
      </c>
      <c r="I238" s="32">
        <v>23</v>
      </c>
      <c r="J238" s="33">
        <v>48</v>
      </c>
      <c r="K238" s="34" t="s">
        <v>890</v>
      </c>
      <c r="L238" s="31">
        <v>124</v>
      </c>
      <c r="M238" s="35">
        <v>15</v>
      </c>
      <c r="N238" s="36">
        <v>41.7</v>
      </c>
      <c r="O238" s="37" t="s">
        <v>362</v>
      </c>
      <c r="P238" s="38" t="s">
        <v>346</v>
      </c>
      <c r="Q238" s="35" t="s">
        <v>18</v>
      </c>
      <c r="R238" s="36" t="s">
        <v>35</v>
      </c>
    </row>
    <row r="239" spans="1:20" ht="27.6" customHeight="1">
      <c r="A239" s="25" t="s">
        <v>343</v>
      </c>
      <c r="B239" s="26">
        <v>11</v>
      </c>
      <c r="C239" s="27" t="s">
        <v>344</v>
      </c>
      <c r="D239" s="28" t="s">
        <v>154</v>
      </c>
      <c r="E239" s="29">
        <v>10</v>
      </c>
      <c r="F239" s="97" t="s">
        <v>363</v>
      </c>
      <c r="G239" s="242" t="s">
        <v>891</v>
      </c>
      <c r="H239" s="31">
        <v>24</v>
      </c>
      <c r="I239" s="32">
        <v>24</v>
      </c>
      <c r="J239" s="33">
        <v>13.7</v>
      </c>
      <c r="K239" s="34" t="s">
        <v>892</v>
      </c>
      <c r="L239" s="31">
        <v>124</v>
      </c>
      <c r="M239" s="35">
        <v>15</v>
      </c>
      <c r="N239" s="36">
        <v>47.1</v>
      </c>
      <c r="O239" s="37" t="s">
        <v>130</v>
      </c>
      <c r="P239" s="38" t="s">
        <v>346</v>
      </c>
      <c r="Q239" s="35" t="s">
        <v>18</v>
      </c>
      <c r="R239" s="36" t="s">
        <v>364</v>
      </c>
    </row>
    <row r="240" spans="1:20" ht="27.6" customHeight="1">
      <c r="A240" s="25" t="s">
        <v>343</v>
      </c>
      <c r="B240" s="26">
        <v>11</v>
      </c>
      <c r="C240" s="27" t="s">
        <v>344</v>
      </c>
      <c r="D240" s="28" t="s">
        <v>154</v>
      </c>
      <c r="E240" s="29">
        <v>11</v>
      </c>
      <c r="F240" s="97" t="s">
        <v>365</v>
      </c>
      <c r="G240" s="242" t="s">
        <v>893</v>
      </c>
      <c r="H240" s="31">
        <v>24</v>
      </c>
      <c r="I240" s="32">
        <v>24</v>
      </c>
      <c r="J240" s="33">
        <v>35.6</v>
      </c>
      <c r="K240" s="34" t="s">
        <v>894</v>
      </c>
      <c r="L240" s="31">
        <v>124</v>
      </c>
      <c r="M240" s="35">
        <v>15</v>
      </c>
      <c r="N240" s="36">
        <v>47.9</v>
      </c>
      <c r="O240" s="37" t="s">
        <v>355</v>
      </c>
      <c r="P240" s="38" t="s">
        <v>346</v>
      </c>
      <c r="Q240" s="35" t="s">
        <v>18</v>
      </c>
      <c r="R240" s="36" t="s">
        <v>128</v>
      </c>
    </row>
    <row r="241" spans="1:18" ht="27.6" customHeight="1">
      <c r="A241" s="25" t="s">
        <v>343</v>
      </c>
      <c r="B241" s="26">
        <v>11</v>
      </c>
      <c r="C241" s="27" t="s">
        <v>344</v>
      </c>
      <c r="D241" s="28" t="s">
        <v>154</v>
      </c>
      <c r="E241" s="29">
        <v>12</v>
      </c>
      <c r="F241" s="97" t="s">
        <v>366</v>
      </c>
      <c r="G241" s="242" t="s">
        <v>895</v>
      </c>
      <c r="H241" s="31">
        <v>24</v>
      </c>
      <c r="I241" s="32">
        <v>25</v>
      </c>
      <c r="J241" s="33">
        <v>40</v>
      </c>
      <c r="K241" s="34" t="s">
        <v>886</v>
      </c>
      <c r="L241" s="31">
        <v>124</v>
      </c>
      <c r="M241" s="35">
        <v>15</v>
      </c>
      <c r="N241" s="36">
        <v>20.5</v>
      </c>
      <c r="O241" s="37" t="s">
        <v>130</v>
      </c>
      <c r="P241" s="38" t="s">
        <v>346</v>
      </c>
      <c r="Q241" s="35" t="s">
        <v>18</v>
      </c>
      <c r="R241" s="36" t="s">
        <v>367</v>
      </c>
    </row>
    <row r="242" spans="1:18" ht="27.6" customHeight="1">
      <c r="A242" s="25" t="s">
        <v>343</v>
      </c>
      <c r="B242" s="26">
        <v>11</v>
      </c>
      <c r="C242" s="27" t="s">
        <v>344</v>
      </c>
      <c r="D242" s="28" t="s">
        <v>154</v>
      </c>
      <c r="E242" s="29">
        <v>13</v>
      </c>
      <c r="F242" s="97" t="s">
        <v>368</v>
      </c>
      <c r="G242" s="242" t="s">
        <v>896</v>
      </c>
      <c r="H242" s="31">
        <v>24</v>
      </c>
      <c r="I242" s="32">
        <v>25</v>
      </c>
      <c r="J242" s="33">
        <v>49.4</v>
      </c>
      <c r="K242" s="34" t="s">
        <v>897</v>
      </c>
      <c r="L242" s="31">
        <v>124</v>
      </c>
      <c r="M242" s="35">
        <v>15</v>
      </c>
      <c r="N242" s="36">
        <v>32.6</v>
      </c>
      <c r="O242" s="37" t="s">
        <v>362</v>
      </c>
      <c r="P242" s="38" t="s">
        <v>346</v>
      </c>
      <c r="Q242" s="35" t="s">
        <v>18</v>
      </c>
      <c r="R242" s="36" t="s">
        <v>369</v>
      </c>
    </row>
    <row r="243" spans="1:18" ht="27.6" customHeight="1">
      <c r="A243" s="25" t="s">
        <v>343</v>
      </c>
      <c r="B243" s="26">
        <v>11</v>
      </c>
      <c r="C243" s="27" t="s">
        <v>344</v>
      </c>
      <c r="D243" s="28" t="s">
        <v>154</v>
      </c>
      <c r="E243" s="29">
        <v>14</v>
      </c>
      <c r="F243" s="97" t="s">
        <v>370</v>
      </c>
      <c r="G243" s="242" t="s">
        <v>898</v>
      </c>
      <c r="H243" s="31">
        <v>24</v>
      </c>
      <c r="I243" s="32">
        <v>26</v>
      </c>
      <c r="J243" s="33">
        <v>40.299999999999997</v>
      </c>
      <c r="K243" s="34" t="s">
        <v>899</v>
      </c>
      <c r="L243" s="31">
        <v>124</v>
      </c>
      <c r="M243" s="35">
        <v>15</v>
      </c>
      <c r="N243" s="36">
        <v>40.200000000000003</v>
      </c>
      <c r="O243" s="37" t="s">
        <v>130</v>
      </c>
      <c r="P243" s="38" t="s">
        <v>371</v>
      </c>
      <c r="Q243" s="35" t="s">
        <v>18</v>
      </c>
      <c r="R243" s="36" t="s">
        <v>372</v>
      </c>
    </row>
    <row r="244" spans="1:18" ht="27.6" customHeight="1">
      <c r="A244" s="25" t="s">
        <v>343</v>
      </c>
      <c r="B244" s="26">
        <v>11</v>
      </c>
      <c r="C244" s="27" t="s">
        <v>344</v>
      </c>
      <c r="D244" s="28" t="s">
        <v>154</v>
      </c>
      <c r="E244" s="29">
        <v>15</v>
      </c>
      <c r="F244" s="97" t="s">
        <v>373</v>
      </c>
      <c r="G244" s="242" t="s">
        <v>900</v>
      </c>
      <c r="H244" s="31">
        <v>24</v>
      </c>
      <c r="I244" s="32">
        <v>27</v>
      </c>
      <c r="J244" s="33">
        <v>39.200000000000003</v>
      </c>
      <c r="K244" s="34" t="s">
        <v>901</v>
      </c>
      <c r="L244" s="31">
        <v>124</v>
      </c>
      <c r="M244" s="35">
        <v>15</v>
      </c>
      <c r="N244" s="36">
        <v>39.700000000000003</v>
      </c>
      <c r="O244" s="37" t="s">
        <v>130</v>
      </c>
      <c r="P244" s="38" t="s">
        <v>374</v>
      </c>
      <c r="Q244" s="35" t="s">
        <v>18</v>
      </c>
      <c r="R244" s="36" t="s">
        <v>133</v>
      </c>
    </row>
    <row r="245" spans="1:18" ht="27.6" customHeight="1">
      <c r="A245" s="25" t="s">
        <v>343</v>
      </c>
      <c r="B245" s="26">
        <v>11</v>
      </c>
      <c r="C245" s="27" t="s">
        <v>344</v>
      </c>
      <c r="D245" s="28" t="s">
        <v>154</v>
      </c>
      <c r="E245" s="29">
        <v>16</v>
      </c>
      <c r="F245" s="97" t="s">
        <v>375</v>
      </c>
      <c r="G245" s="242" t="s">
        <v>902</v>
      </c>
      <c r="H245" s="31">
        <v>24</v>
      </c>
      <c r="I245" s="32">
        <v>28</v>
      </c>
      <c r="J245" s="33">
        <v>6.9</v>
      </c>
      <c r="K245" s="34" t="s">
        <v>903</v>
      </c>
      <c r="L245" s="31">
        <v>124</v>
      </c>
      <c r="M245" s="35">
        <v>15</v>
      </c>
      <c r="N245" s="36">
        <v>45.2</v>
      </c>
      <c r="O245" s="37" t="s">
        <v>362</v>
      </c>
      <c r="P245" s="38" t="s">
        <v>346</v>
      </c>
      <c r="Q245" s="35" t="s">
        <v>18</v>
      </c>
      <c r="R245" s="36" t="s">
        <v>35</v>
      </c>
    </row>
    <row r="246" spans="1:18" ht="27.6" customHeight="1">
      <c r="A246" s="25" t="s">
        <v>343</v>
      </c>
      <c r="B246" s="26">
        <v>11</v>
      </c>
      <c r="C246" s="27" t="s">
        <v>344</v>
      </c>
      <c r="D246" s="28" t="s">
        <v>154</v>
      </c>
      <c r="E246" s="29">
        <v>17</v>
      </c>
      <c r="F246" s="97" t="s">
        <v>376</v>
      </c>
      <c r="G246" s="242" t="s">
        <v>904</v>
      </c>
      <c r="H246" s="31">
        <v>24</v>
      </c>
      <c r="I246" s="32">
        <v>29</v>
      </c>
      <c r="J246" s="33">
        <v>7.6</v>
      </c>
      <c r="K246" s="34" t="s">
        <v>905</v>
      </c>
      <c r="L246" s="31">
        <v>124</v>
      </c>
      <c r="M246" s="35">
        <v>16</v>
      </c>
      <c r="N246" s="36">
        <v>40.700000000000003</v>
      </c>
      <c r="O246" s="37" t="s">
        <v>130</v>
      </c>
      <c r="P246" s="38" t="s">
        <v>346</v>
      </c>
      <c r="Q246" s="35" t="s">
        <v>18</v>
      </c>
      <c r="R246" s="36" t="s">
        <v>128</v>
      </c>
    </row>
    <row r="247" spans="1:18" ht="27.6" customHeight="1">
      <c r="A247" s="25" t="s">
        <v>343</v>
      </c>
      <c r="B247" s="26">
        <v>11</v>
      </c>
      <c r="C247" s="27" t="s">
        <v>344</v>
      </c>
      <c r="D247" s="28" t="s">
        <v>154</v>
      </c>
      <c r="E247" s="29">
        <v>18</v>
      </c>
      <c r="F247" s="97" t="s">
        <v>377</v>
      </c>
      <c r="G247" s="242" t="s">
        <v>906</v>
      </c>
      <c r="H247" s="31">
        <v>24</v>
      </c>
      <c r="I247" s="32">
        <v>29</v>
      </c>
      <c r="J247" s="33">
        <v>1.7</v>
      </c>
      <c r="K247" s="34" t="s">
        <v>907</v>
      </c>
      <c r="L247" s="31">
        <v>124</v>
      </c>
      <c r="M247" s="35">
        <v>17</v>
      </c>
      <c r="N247" s="36">
        <v>25.2</v>
      </c>
      <c r="O247" s="37" t="s">
        <v>130</v>
      </c>
      <c r="P247" s="38" t="s">
        <v>346</v>
      </c>
      <c r="Q247" s="35" t="s">
        <v>18</v>
      </c>
      <c r="R247" s="36" t="s">
        <v>133</v>
      </c>
    </row>
    <row r="248" spans="1:18" ht="27.6" customHeight="1">
      <c r="A248" s="25" t="s">
        <v>343</v>
      </c>
      <c r="B248" s="26">
        <v>11</v>
      </c>
      <c r="C248" s="27" t="s">
        <v>344</v>
      </c>
      <c r="D248" s="28" t="s">
        <v>154</v>
      </c>
      <c r="E248" s="29">
        <v>19</v>
      </c>
      <c r="F248" s="97" t="s">
        <v>378</v>
      </c>
      <c r="G248" s="242" t="s">
        <v>908</v>
      </c>
      <c r="H248" s="31">
        <v>24</v>
      </c>
      <c r="I248" s="32">
        <v>30</v>
      </c>
      <c r="J248" s="33">
        <v>57.3</v>
      </c>
      <c r="K248" s="34" t="s">
        <v>909</v>
      </c>
      <c r="L248" s="31">
        <v>124</v>
      </c>
      <c r="M248" s="35">
        <v>17</v>
      </c>
      <c r="N248" s="33">
        <v>55</v>
      </c>
      <c r="O248" s="37" t="s">
        <v>130</v>
      </c>
      <c r="P248" s="38" t="s">
        <v>374</v>
      </c>
      <c r="Q248" s="35" t="s">
        <v>18</v>
      </c>
      <c r="R248" s="36" t="s">
        <v>96</v>
      </c>
    </row>
    <row r="249" spans="1:18" ht="27.6" customHeight="1">
      <c r="A249" s="25" t="s">
        <v>343</v>
      </c>
      <c r="B249" s="26">
        <v>11</v>
      </c>
      <c r="C249" s="27" t="s">
        <v>344</v>
      </c>
      <c r="D249" s="28" t="s">
        <v>154</v>
      </c>
      <c r="E249" s="29">
        <v>20</v>
      </c>
      <c r="F249" s="97" t="s">
        <v>379</v>
      </c>
      <c r="G249" s="242" t="s">
        <v>910</v>
      </c>
      <c r="H249" s="31">
        <v>24</v>
      </c>
      <c r="I249" s="32">
        <v>31</v>
      </c>
      <c r="J249" s="33">
        <v>31.6</v>
      </c>
      <c r="K249" s="34" t="s">
        <v>911</v>
      </c>
      <c r="L249" s="31">
        <v>124</v>
      </c>
      <c r="M249" s="35">
        <v>18</v>
      </c>
      <c r="N249" s="36">
        <v>32.200000000000003</v>
      </c>
      <c r="O249" s="37" t="s">
        <v>355</v>
      </c>
      <c r="P249" s="38" t="s">
        <v>346</v>
      </c>
      <c r="Q249" s="35" t="s">
        <v>18</v>
      </c>
      <c r="R249" s="36" t="s">
        <v>128</v>
      </c>
    </row>
    <row r="250" spans="1:18" ht="27.6" customHeight="1">
      <c r="A250" s="25" t="s">
        <v>343</v>
      </c>
      <c r="B250" s="26">
        <v>11</v>
      </c>
      <c r="C250" s="27" t="s">
        <v>344</v>
      </c>
      <c r="D250" s="28" t="s">
        <v>154</v>
      </c>
      <c r="E250" s="29">
        <v>21</v>
      </c>
      <c r="F250" s="97" t="s">
        <v>380</v>
      </c>
      <c r="G250" s="242" t="s">
        <v>912</v>
      </c>
      <c r="H250" s="31">
        <v>24</v>
      </c>
      <c r="I250" s="32">
        <v>31</v>
      </c>
      <c r="J250" s="33">
        <v>52.6</v>
      </c>
      <c r="K250" s="34" t="s">
        <v>913</v>
      </c>
      <c r="L250" s="31">
        <v>124</v>
      </c>
      <c r="M250" s="35">
        <v>18</v>
      </c>
      <c r="N250" s="36">
        <v>36.700000000000003</v>
      </c>
      <c r="O250" s="37" t="s">
        <v>126</v>
      </c>
      <c r="P250" s="38" t="s">
        <v>374</v>
      </c>
      <c r="Q250" s="35" t="s">
        <v>18</v>
      </c>
      <c r="R250" s="36" t="s">
        <v>133</v>
      </c>
    </row>
    <row r="251" spans="1:18" ht="27.6" customHeight="1">
      <c r="A251" s="25" t="s">
        <v>343</v>
      </c>
      <c r="B251" s="26">
        <v>11</v>
      </c>
      <c r="C251" s="27" t="s">
        <v>344</v>
      </c>
      <c r="D251" s="28" t="s">
        <v>154</v>
      </c>
      <c r="E251" s="29">
        <v>22</v>
      </c>
      <c r="F251" s="97" t="s">
        <v>381</v>
      </c>
      <c r="G251" s="242" t="s">
        <v>914</v>
      </c>
      <c r="H251" s="31">
        <v>24</v>
      </c>
      <c r="I251" s="32">
        <v>32</v>
      </c>
      <c r="J251" s="33">
        <v>37.5</v>
      </c>
      <c r="K251" s="34" t="s">
        <v>915</v>
      </c>
      <c r="L251" s="31">
        <v>124</v>
      </c>
      <c r="M251" s="35">
        <v>18</v>
      </c>
      <c r="N251" s="36">
        <v>23.9</v>
      </c>
      <c r="O251" s="37" t="s">
        <v>130</v>
      </c>
      <c r="P251" s="38" t="s">
        <v>382</v>
      </c>
      <c r="Q251" s="35" t="s">
        <v>18</v>
      </c>
      <c r="R251" s="36" t="s">
        <v>347</v>
      </c>
    </row>
    <row r="252" spans="1:18" ht="27.6" customHeight="1">
      <c r="A252" s="25" t="s">
        <v>343</v>
      </c>
      <c r="B252" s="26">
        <v>11</v>
      </c>
      <c r="C252" s="27" t="s">
        <v>344</v>
      </c>
      <c r="D252" s="28" t="s">
        <v>154</v>
      </c>
      <c r="E252" s="29">
        <v>23</v>
      </c>
      <c r="F252" s="97" t="s">
        <v>383</v>
      </c>
      <c r="G252" s="242" t="s">
        <v>916</v>
      </c>
      <c r="H252" s="31">
        <v>24</v>
      </c>
      <c r="I252" s="32">
        <v>32</v>
      </c>
      <c r="J252" s="33">
        <v>56.3</v>
      </c>
      <c r="K252" s="34" t="s">
        <v>917</v>
      </c>
      <c r="L252" s="31">
        <v>124</v>
      </c>
      <c r="M252" s="35">
        <v>18</v>
      </c>
      <c r="N252" s="36">
        <v>56.7</v>
      </c>
      <c r="O252" s="37" t="s">
        <v>362</v>
      </c>
      <c r="P252" s="38" t="s">
        <v>184</v>
      </c>
      <c r="Q252" s="35" t="s">
        <v>18</v>
      </c>
      <c r="R252" s="36" t="s">
        <v>35</v>
      </c>
    </row>
    <row r="253" spans="1:18" ht="27.6" customHeight="1">
      <c r="A253" s="25" t="s">
        <v>343</v>
      </c>
      <c r="B253" s="26">
        <v>11</v>
      </c>
      <c r="C253" s="27" t="s">
        <v>344</v>
      </c>
      <c r="D253" s="28" t="s">
        <v>154</v>
      </c>
      <c r="E253" s="29">
        <v>24</v>
      </c>
      <c r="F253" s="97" t="s">
        <v>384</v>
      </c>
      <c r="G253" s="242" t="s">
        <v>918</v>
      </c>
      <c r="H253" s="31">
        <v>24</v>
      </c>
      <c r="I253" s="32">
        <v>33</v>
      </c>
      <c r="J253" s="33">
        <v>15.6</v>
      </c>
      <c r="K253" s="34" t="s">
        <v>919</v>
      </c>
      <c r="L253" s="31">
        <v>124</v>
      </c>
      <c r="M253" s="35">
        <v>19</v>
      </c>
      <c r="N253" s="36">
        <v>11.2</v>
      </c>
      <c r="O253" s="37" t="s">
        <v>130</v>
      </c>
      <c r="P253" s="38" t="s">
        <v>346</v>
      </c>
      <c r="Q253" s="35" t="s">
        <v>18</v>
      </c>
      <c r="R253" s="36" t="s">
        <v>358</v>
      </c>
    </row>
    <row r="254" spans="1:18" ht="27.6" customHeight="1">
      <c r="A254" s="25" t="s">
        <v>343</v>
      </c>
      <c r="B254" s="26">
        <v>11</v>
      </c>
      <c r="C254" s="27" t="s">
        <v>344</v>
      </c>
      <c r="D254" s="28" t="s">
        <v>154</v>
      </c>
      <c r="E254" s="29">
        <v>25</v>
      </c>
      <c r="F254" s="97" t="s">
        <v>385</v>
      </c>
      <c r="G254" s="242" t="s">
        <v>920</v>
      </c>
      <c r="H254" s="31">
        <v>24</v>
      </c>
      <c r="I254" s="32">
        <v>33</v>
      </c>
      <c r="J254" s="33">
        <v>36.799999999999997</v>
      </c>
      <c r="K254" s="34" t="s">
        <v>921</v>
      </c>
      <c r="L254" s="31">
        <v>124</v>
      </c>
      <c r="M254" s="35">
        <v>19</v>
      </c>
      <c r="N254" s="36">
        <v>34.9</v>
      </c>
      <c r="O254" s="37" t="s">
        <v>130</v>
      </c>
      <c r="P254" s="38" t="s">
        <v>346</v>
      </c>
      <c r="Q254" s="35" t="s">
        <v>18</v>
      </c>
      <c r="R254" s="36" t="s">
        <v>364</v>
      </c>
    </row>
    <row r="255" spans="1:18" ht="27.6" customHeight="1">
      <c r="A255" s="25" t="s">
        <v>343</v>
      </c>
      <c r="B255" s="26">
        <v>11</v>
      </c>
      <c r="C255" s="27" t="s">
        <v>344</v>
      </c>
      <c r="D255" s="28" t="s">
        <v>154</v>
      </c>
      <c r="E255" s="29">
        <v>26</v>
      </c>
      <c r="F255" s="97" t="s">
        <v>386</v>
      </c>
      <c r="G255" s="242" t="s">
        <v>922</v>
      </c>
      <c r="H255" s="31">
        <v>24</v>
      </c>
      <c r="I255" s="32">
        <v>33</v>
      </c>
      <c r="J255" s="33">
        <v>44.3</v>
      </c>
      <c r="K255" s="34" t="s">
        <v>923</v>
      </c>
      <c r="L255" s="31">
        <v>124</v>
      </c>
      <c r="M255" s="35">
        <v>20</v>
      </c>
      <c r="N255" s="36">
        <v>6.4</v>
      </c>
      <c r="O255" s="37" t="s">
        <v>362</v>
      </c>
      <c r="P255" s="38" t="s">
        <v>184</v>
      </c>
      <c r="Q255" s="35" t="s">
        <v>18</v>
      </c>
      <c r="R255" s="36" t="s">
        <v>35</v>
      </c>
    </row>
    <row r="256" spans="1:18" ht="27.6" customHeight="1">
      <c r="A256" s="25" t="s">
        <v>343</v>
      </c>
      <c r="B256" s="26">
        <v>11</v>
      </c>
      <c r="C256" s="27" t="s">
        <v>344</v>
      </c>
      <c r="D256" s="28" t="s">
        <v>154</v>
      </c>
      <c r="E256" s="29">
        <v>27</v>
      </c>
      <c r="F256" s="97" t="s">
        <v>387</v>
      </c>
      <c r="G256" s="242" t="s">
        <v>924</v>
      </c>
      <c r="H256" s="31">
        <v>24</v>
      </c>
      <c r="I256" s="32">
        <v>34</v>
      </c>
      <c r="J256" s="33">
        <v>8.1999999999999993</v>
      </c>
      <c r="K256" s="34" t="s">
        <v>925</v>
      </c>
      <c r="L256" s="31">
        <v>124</v>
      </c>
      <c r="M256" s="35">
        <v>20</v>
      </c>
      <c r="N256" s="36">
        <v>26.3</v>
      </c>
      <c r="O256" s="37" t="s">
        <v>130</v>
      </c>
      <c r="P256" s="38" t="s">
        <v>346</v>
      </c>
      <c r="Q256" s="35" t="s">
        <v>18</v>
      </c>
      <c r="R256" s="36" t="s">
        <v>128</v>
      </c>
    </row>
    <row r="257" spans="1:18" ht="27.6" customHeight="1">
      <c r="A257" s="25" t="s">
        <v>343</v>
      </c>
      <c r="B257" s="26">
        <v>11</v>
      </c>
      <c r="C257" s="27" t="s">
        <v>344</v>
      </c>
      <c r="D257" s="28" t="s">
        <v>154</v>
      </c>
      <c r="E257" s="29">
        <v>28</v>
      </c>
      <c r="F257" s="97" t="s">
        <v>388</v>
      </c>
      <c r="G257" s="242" t="s">
        <v>926</v>
      </c>
      <c r="H257" s="31">
        <v>24</v>
      </c>
      <c r="I257" s="32">
        <v>34</v>
      </c>
      <c r="J257" s="33">
        <v>55</v>
      </c>
      <c r="K257" s="34" t="s">
        <v>927</v>
      </c>
      <c r="L257" s="31">
        <v>124</v>
      </c>
      <c r="M257" s="35">
        <v>20</v>
      </c>
      <c r="N257" s="36">
        <v>57.9</v>
      </c>
      <c r="O257" s="37" t="s">
        <v>130</v>
      </c>
      <c r="P257" s="38" t="s">
        <v>346</v>
      </c>
      <c r="Q257" s="35" t="s">
        <v>18</v>
      </c>
      <c r="R257" s="36" t="s">
        <v>35</v>
      </c>
    </row>
    <row r="258" spans="1:18" ht="27.6" customHeight="1">
      <c r="A258" s="25" t="s">
        <v>343</v>
      </c>
      <c r="B258" s="26">
        <v>11</v>
      </c>
      <c r="C258" s="27" t="s">
        <v>344</v>
      </c>
      <c r="D258" s="28" t="s">
        <v>154</v>
      </c>
      <c r="E258" s="29">
        <v>29</v>
      </c>
      <c r="F258" s="97" t="s">
        <v>389</v>
      </c>
      <c r="G258" s="242" t="s">
        <v>928</v>
      </c>
      <c r="H258" s="31">
        <v>24</v>
      </c>
      <c r="I258" s="32">
        <v>35</v>
      </c>
      <c r="J258" s="33">
        <v>33.6</v>
      </c>
      <c r="K258" s="34" t="s">
        <v>929</v>
      </c>
      <c r="L258" s="31">
        <v>124</v>
      </c>
      <c r="M258" s="35">
        <v>20</v>
      </c>
      <c r="N258" s="36">
        <v>55.1</v>
      </c>
      <c r="O258" s="37" t="s">
        <v>130</v>
      </c>
      <c r="P258" s="38" t="s">
        <v>346</v>
      </c>
      <c r="Q258" s="35" t="s">
        <v>18</v>
      </c>
      <c r="R258" s="36" t="s">
        <v>390</v>
      </c>
    </row>
    <row r="259" spans="1:18" ht="27.6" customHeight="1">
      <c r="A259" s="25" t="s">
        <v>343</v>
      </c>
      <c r="B259" s="26">
        <v>11</v>
      </c>
      <c r="C259" s="27" t="s">
        <v>344</v>
      </c>
      <c r="D259" s="28" t="s">
        <v>154</v>
      </c>
      <c r="E259" s="29">
        <v>30</v>
      </c>
      <c r="F259" s="97" t="s">
        <v>391</v>
      </c>
      <c r="G259" s="242" t="s">
        <v>930</v>
      </c>
      <c r="H259" s="31">
        <v>24</v>
      </c>
      <c r="I259" s="32">
        <v>36</v>
      </c>
      <c r="J259" s="33">
        <v>14.2</v>
      </c>
      <c r="K259" s="34" t="s">
        <v>931</v>
      </c>
      <c r="L259" s="31">
        <v>124</v>
      </c>
      <c r="M259" s="35">
        <v>20</v>
      </c>
      <c r="N259" s="33">
        <v>45</v>
      </c>
      <c r="O259" s="37" t="s">
        <v>355</v>
      </c>
      <c r="P259" s="38" t="s">
        <v>346</v>
      </c>
      <c r="Q259" s="35" t="s">
        <v>18</v>
      </c>
      <c r="R259" s="36" t="s">
        <v>133</v>
      </c>
    </row>
    <row r="260" spans="1:18" ht="27.6" customHeight="1">
      <c r="A260" s="25" t="s">
        <v>343</v>
      </c>
      <c r="B260" s="26">
        <v>11</v>
      </c>
      <c r="C260" s="27" t="s">
        <v>344</v>
      </c>
      <c r="D260" s="28" t="s">
        <v>154</v>
      </c>
      <c r="E260" s="29">
        <v>31</v>
      </c>
      <c r="F260" s="97" t="s">
        <v>392</v>
      </c>
      <c r="G260" s="242" t="s">
        <v>932</v>
      </c>
      <c r="H260" s="31">
        <v>24</v>
      </c>
      <c r="I260" s="32">
        <v>36</v>
      </c>
      <c r="J260" s="33">
        <v>14.8</v>
      </c>
      <c r="K260" s="34" t="s">
        <v>933</v>
      </c>
      <c r="L260" s="31">
        <v>124</v>
      </c>
      <c r="M260" s="35">
        <v>20</v>
      </c>
      <c r="N260" s="36">
        <v>31.7</v>
      </c>
      <c r="O260" s="37" t="s">
        <v>130</v>
      </c>
      <c r="P260" s="38" t="s">
        <v>374</v>
      </c>
      <c r="Q260" s="35" t="s">
        <v>18</v>
      </c>
      <c r="R260" s="36" t="s">
        <v>133</v>
      </c>
    </row>
    <row r="261" spans="1:18" ht="27.6" customHeight="1">
      <c r="A261" s="25" t="s">
        <v>343</v>
      </c>
      <c r="B261" s="26">
        <v>11</v>
      </c>
      <c r="C261" s="27" t="s">
        <v>344</v>
      </c>
      <c r="D261" s="28" t="s">
        <v>154</v>
      </c>
      <c r="E261" s="29">
        <v>32</v>
      </c>
      <c r="F261" s="97" t="s">
        <v>393</v>
      </c>
      <c r="G261" s="242" t="s">
        <v>934</v>
      </c>
      <c r="H261" s="31">
        <v>24</v>
      </c>
      <c r="I261" s="32">
        <v>36</v>
      </c>
      <c r="J261" s="33">
        <v>44.2</v>
      </c>
      <c r="K261" s="34" t="s">
        <v>935</v>
      </c>
      <c r="L261" s="31">
        <v>124</v>
      </c>
      <c r="M261" s="35">
        <v>19</v>
      </c>
      <c r="N261" s="36">
        <v>53.4</v>
      </c>
      <c r="O261" s="37" t="s">
        <v>130</v>
      </c>
      <c r="P261" s="38" t="s">
        <v>346</v>
      </c>
      <c r="Q261" s="35" t="s">
        <v>18</v>
      </c>
      <c r="R261" s="36" t="s">
        <v>394</v>
      </c>
    </row>
    <row r="262" spans="1:18" ht="27.6" customHeight="1" thickBot="1">
      <c r="A262" s="46" t="s">
        <v>343</v>
      </c>
      <c r="B262" s="47">
        <v>11</v>
      </c>
      <c r="C262" s="48" t="s">
        <v>344</v>
      </c>
      <c r="D262" s="49" t="s">
        <v>154</v>
      </c>
      <c r="E262" s="50">
        <v>33</v>
      </c>
      <c r="F262" s="98" t="s">
        <v>395</v>
      </c>
      <c r="G262" s="246" t="s">
        <v>936</v>
      </c>
      <c r="H262" s="99">
        <v>24</v>
      </c>
      <c r="I262" s="100">
        <v>36</v>
      </c>
      <c r="J262" s="101">
        <v>48.8</v>
      </c>
      <c r="K262" s="188" t="s">
        <v>937</v>
      </c>
      <c r="L262" s="99">
        <v>124</v>
      </c>
      <c r="M262" s="56">
        <v>19</v>
      </c>
      <c r="N262" s="53">
        <v>17.899999999999999</v>
      </c>
      <c r="O262" s="54" t="s">
        <v>362</v>
      </c>
      <c r="P262" s="55" t="s">
        <v>346</v>
      </c>
      <c r="Q262" s="56" t="s">
        <v>18</v>
      </c>
      <c r="R262" s="53" t="s">
        <v>112</v>
      </c>
    </row>
    <row r="263" spans="1:18" ht="27.6" customHeight="1" thickTop="1">
      <c r="A263" s="57" t="s">
        <v>396</v>
      </c>
      <c r="B263" s="58">
        <v>12</v>
      </c>
      <c r="C263" s="59" t="s">
        <v>397</v>
      </c>
      <c r="D263" s="64" t="s">
        <v>154</v>
      </c>
      <c r="E263" s="61">
        <v>1</v>
      </c>
      <c r="F263" s="102" t="s">
        <v>398</v>
      </c>
      <c r="G263" s="248" t="s">
        <v>938</v>
      </c>
      <c r="H263" s="103">
        <v>24</v>
      </c>
      <c r="I263" s="60">
        <v>36</v>
      </c>
      <c r="J263" s="104">
        <v>19.100000000000001</v>
      </c>
      <c r="K263" s="265" t="s">
        <v>939</v>
      </c>
      <c r="L263" s="103">
        <v>124</v>
      </c>
      <c r="M263" s="105">
        <v>18</v>
      </c>
      <c r="N263" s="65">
        <v>35.6</v>
      </c>
      <c r="O263" s="106" t="s">
        <v>355</v>
      </c>
      <c r="P263" s="107" t="s">
        <v>399</v>
      </c>
      <c r="Q263" s="105" t="s">
        <v>18</v>
      </c>
      <c r="R263" s="65" t="s">
        <v>133</v>
      </c>
    </row>
    <row r="264" spans="1:18" ht="27.6" customHeight="1">
      <c r="A264" s="25" t="s">
        <v>396</v>
      </c>
      <c r="B264" s="26">
        <v>12</v>
      </c>
      <c r="C264" s="27" t="s">
        <v>397</v>
      </c>
      <c r="D264" s="28" t="s">
        <v>154</v>
      </c>
      <c r="E264" s="29">
        <v>2</v>
      </c>
      <c r="F264" s="97" t="s">
        <v>400</v>
      </c>
      <c r="G264" s="242" t="s">
        <v>940</v>
      </c>
      <c r="H264" s="31">
        <v>24</v>
      </c>
      <c r="I264" s="32">
        <v>36</v>
      </c>
      <c r="J264" s="33">
        <v>0.1</v>
      </c>
      <c r="K264" s="34" t="s">
        <v>941</v>
      </c>
      <c r="L264" s="31">
        <v>124</v>
      </c>
      <c r="M264" s="35">
        <v>18</v>
      </c>
      <c r="N264" s="36">
        <v>23.2</v>
      </c>
      <c r="O264" s="37" t="s">
        <v>130</v>
      </c>
      <c r="P264" s="38" t="s">
        <v>374</v>
      </c>
      <c r="Q264" s="35" t="s">
        <v>18</v>
      </c>
      <c r="R264" s="36" t="s">
        <v>401</v>
      </c>
    </row>
    <row r="265" spans="1:18" ht="27.6" customHeight="1">
      <c r="A265" s="25" t="s">
        <v>396</v>
      </c>
      <c r="B265" s="26">
        <v>12</v>
      </c>
      <c r="C265" s="27" t="s">
        <v>397</v>
      </c>
      <c r="D265" s="28" t="s">
        <v>154</v>
      </c>
      <c r="E265" s="29">
        <v>3</v>
      </c>
      <c r="F265" s="97" t="s">
        <v>402</v>
      </c>
      <c r="G265" s="242" t="s">
        <v>942</v>
      </c>
      <c r="H265" s="31">
        <v>24</v>
      </c>
      <c r="I265" s="32">
        <v>35</v>
      </c>
      <c r="J265" s="33">
        <v>1.4</v>
      </c>
      <c r="K265" s="34" t="s">
        <v>943</v>
      </c>
      <c r="L265" s="31">
        <v>124</v>
      </c>
      <c r="M265" s="35">
        <v>18</v>
      </c>
      <c r="N265" s="36">
        <v>0.1</v>
      </c>
      <c r="O265" s="37" t="s">
        <v>130</v>
      </c>
      <c r="P265" s="38" t="s">
        <v>374</v>
      </c>
      <c r="Q265" s="35" t="s">
        <v>18</v>
      </c>
      <c r="R265" s="36" t="s">
        <v>401</v>
      </c>
    </row>
    <row r="266" spans="1:18" ht="27.6" customHeight="1">
      <c r="A266" s="25" t="s">
        <v>396</v>
      </c>
      <c r="B266" s="26">
        <v>12</v>
      </c>
      <c r="C266" s="27" t="s">
        <v>397</v>
      </c>
      <c r="D266" s="28" t="s">
        <v>154</v>
      </c>
      <c r="E266" s="29">
        <v>4</v>
      </c>
      <c r="F266" s="97" t="s">
        <v>403</v>
      </c>
      <c r="G266" s="242" t="s">
        <v>944</v>
      </c>
      <c r="H266" s="31">
        <v>24</v>
      </c>
      <c r="I266" s="32">
        <v>34</v>
      </c>
      <c r="J266" s="33">
        <v>19.100000000000001</v>
      </c>
      <c r="K266" s="34" t="s">
        <v>945</v>
      </c>
      <c r="L266" s="31">
        <v>124</v>
      </c>
      <c r="M266" s="35">
        <v>17</v>
      </c>
      <c r="N266" s="36">
        <v>31.8</v>
      </c>
      <c r="O266" s="37" t="s">
        <v>130</v>
      </c>
      <c r="P266" s="38" t="s">
        <v>374</v>
      </c>
      <c r="Q266" s="35" t="s">
        <v>18</v>
      </c>
      <c r="R266" s="36" t="s">
        <v>96</v>
      </c>
    </row>
    <row r="267" spans="1:18" ht="27.6" customHeight="1">
      <c r="A267" s="25" t="s">
        <v>396</v>
      </c>
      <c r="B267" s="26">
        <v>12</v>
      </c>
      <c r="C267" s="27" t="s">
        <v>397</v>
      </c>
      <c r="D267" s="28" t="s">
        <v>154</v>
      </c>
      <c r="E267" s="29">
        <v>5</v>
      </c>
      <c r="F267" s="97" t="s">
        <v>404</v>
      </c>
      <c r="G267" s="242" t="s">
        <v>946</v>
      </c>
      <c r="H267" s="31">
        <v>24</v>
      </c>
      <c r="I267" s="32">
        <v>33</v>
      </c>
      <c r="J267" s="33">
        <v>48</v>
      </c>
      <c r="K267" s="34" t="s">
        <v>947</v>
      </c>
      <c r="L267" s="31">
        <v>124</v>
      </c>
      <c r="M267" s="35">
        <v>16</v>
      </c>
      <c r="N267" s="36">
        <v>55.5</v>
      </c>
      <c r="O267" s="37" t="s">
        <v>175</v>
      </c>
      <c r="P267" s="38" t="s">
        <v>346</v>
      </c>
      <c r="Q267" s="35" t="s">
        <v>18</v>
      </c>
      <c r="R267" s="36" t="s">
        <v>405</v>
      </c>
    </row>
    <row r="268" spans="1:18" ht="27.6" customHeight="1">
      <c r="A268" s="25" t="s">
        <v>396</v>
      </c>
      <c r="B268" s="26">
        <v>12</v>
      </c>
      <c r="C268" s="27" t="s">
        <v>397</v>
      </c>
      <c r="D268" s="28" t="s">
        <v>154</v>
      </c>
      <c r="E268" s="29">
        <v>6</v>
      </c>
      <c r="F268" s="97" t="s">
        <v>406</v>
      </c>
      <c r="G268" s="242" t="s">
        <v>948</v>
      </c>
      <c r="H268" s="31">
        <v>24</v>
      </c>
      <c r="I268" s="32">
        <v>33</v>
      </c>
      <c r="J268" s="33">
        <v>0.4</v>
      </c>
      <c r="K268" s="34" t="s">
        <v>949</v>
      </c>
      <c r="L268" s="31">
        <v>124</v>
      </c>
      <c r="M268" s="35">
        <v>17</v>
      </c>
      <c r="N268" s="33">
        <v>7</v>
      </c>
      <c r="O268" s="37" t="s">
        <v>130</v>
      </c>
      <c r="P268" s="38" t="s">
        <v>371</v>
      </c>
      <c r="Q268" s="35" t="s">
        <v>18</v>
      </c>
      <c r="R268" s="36" t="s">
        <v>96</v>
      </c>
    </row>
    <row r="269" spans="1:18" ht="27.6" customHeight="1">
      <c r="A269" s="25" t="s">
        <v>396</v>
      </c>
      <c r="B269" s="26">
        <v>12</v>
      </c>
      <c r="C269" s="27" t="s">
        <v>397</v>
      </c>
      <c r="D269" s="28" t="s">
        <v>154</v>
      </c>
      <c r="E269" s="29">
        <v>7</v>
      </c>
      <c r="F269" s="97" t="s">
        <v>407</v>
      </c>
      <c r="G269" s="242" t="s">
        <v>950</v>
      </c>
      <c r="H269" s="31">
        <v>24</v>
      </c>
      <c r="I269" s="32">
        <v>31</v>
      </c>
      <c r="J269" s="33">
        <v>13</v>
      </c>
      <c r="K269" s="34" t="s">
        <v>951</v>
      </c>
      <c r="L269" s="31">
        <v>124</v>
      </c>
      <c r="M269" s="35">
        <v>15</v>
      </c>
      <c r="N269" s="36">
        <v>22.9</v>
      </c>
      <c r="O269" s="37" t="s">
        <v>130</v>
      </c>
      <c r="P269" s="38" t="s">
        <v>374</v>
      </c>
      <c r="Q269" s="35" t="s">
        <v>18</v>
      </c>
      <c r="R269" s="36" t="s">
        <v>79</v>
      </c>
    </row>
    <row r="270" spans="1:18" ht="27.6" customHeight="1">
      <c r="A270" s="25" t="s">
        <v>396</v>
      </c>
      <c r="B270" s="26">
        <v>12</v>
      </c>
      <c r="C270" s="27" t="s">
        <v>397</v>
      </c>
      <c r="D270" s="28" t="s">
        <v>154</v>
      </c>
      <c r="E270" s="29">
        <v>8</v>
      </c>
      <c r="F270" s="97" t="s">
        <v>408</v>
      </c>
      <c r="G270" s="242" t="s">
        <v>952</v>
      </c>
      <c r="H270" s="31">
        <v>24</v>
      </c>
      <c r="I270" s="32">
        <v>30</v>
      </c>
      <c r="J270" s="33">
        <v>34.299999999999997</v>
      </c>
      <c r="K270" s="34" t="s">
        <v>953</v>
      </c>
      <c r="L270" s="31">
        <v>124</v>
      </c>
      <c r="M270" s="35">
        <v>14</v>
      </c>
      <c r="N270" s="36">
        <v>26.9</v>
      </c>
      <c r="O270" s="37" t="s">
        <v>130</v>
      </c>
      <c r="P270" s="38" t="s">
        <v>374</v>
      </c>
      <c r="Q270" s="35" t="s">
        <v>18</v>
      </c>
      <c r="R270" s="36" t="s">
        <v>79</v>
      </c>
    </row>
    <row r="271" spans="1:18" ht="27.6" customHeight="1">
      <c r="A271" s="25" t="s">
        <v>396</v>
      </c>
      <c r="B271" s="26">
        <v>12</v>
      </c>
      <c r="C271" s="27" t="s">
        <v>397</v>
      </c>
      <c r="D271" s="28" t="s">
        <v>154</v>
      </c>
      <c r="E271" s="29">
        <v>9</v>
      </c>
      <c r="F271" s="97" t="s">
        <v>409</v>
      </c>
      <c r="G271" s="242" t="s">
        <v>954</v>
      </c>
      <c r="H271" s="31">
        <v>24</v>
      </c>
      <c r="I271" s="32">
        <v>30</v>
      </c>
      <c r="J271" s="33">
        <v>11.5</v>
      </c>
      <c r="K271" s="34" t="s">
        <v>955</v>
      </c>
      <c r="L271" s="31">
        <v>124</v>
      </c>
      <c r="M271" s="35">
        <v>13</v>
      </c>
      <c r="N271" s="36">
        <v>51.8</v>
      </c>
      <c r="O271" s="37" t="s">
        <v>130</v>
      </c>
      <c r="P271" s="38" t="s">
        <v>374</v>
      </c>
      <c r="Q271" s="35" t="s">
        <v>18</v>
      </c>
      <c r="R271" s="36" t="s">
        <v>85</v>
      </c>
    </row>
    <row r="272" spans="1:18" ht="27.6" customHeight="1">
      <c r="A272" s="25" t="s">
        <v>396</v>
      </c>
      <c r="B272" s="26">
        <v>12</v>
      </c>
      <c r="C272" s="27" t="s">
        <v>397</v>
      </c>
      <c r="D272" s="28" t="s">
        <v>154</v>
      </c>
      <c r="E272" s="29">
        <v>10</v>
      </c>
      <c r="F272" s="97" t="s">
        <v>410</v>
      </c>
      <c r="G272" s="242" t="s">
        <v>956</v>
      </c>
      <c r="H272" s="31">
        <v>24</v>
      </c>
      <c r="I272" s="32">
        <v>29</v>
      </c>
      <c r="J272" s="33">
        <v>57.6</v>
      </c>
      <c r="K272" s="34" t="s">
        <v>957</v>
      </c>
      <c r="L272" s="31">
        <v>124</v>
      </c>
      <c r="M272" s="35">
        <v>13</v>
      </c>
      <c r="N272" s="36">
        <v>38.200000000000003</v>
      </c>
      <c r="O272" s="37" t="s">
        <v>130</v>
      </c>
      <c r="P272" s="38" t="s">
        <v>346</v>
      </c>
      <c r="Q272" s="35" t="s">
        <v>18</v>
      </c>
      <c r="R272" s="36" t="s">
        <v>96</v>
      </c>
    </row>
    <row r="273" spans="1:18" ht="27.6" customHeight="1">
      <c r="A273" s="25" t="s">
        <v>396</v>
      </c>
      <c r="B273" s="26">
        <v>12</v>
      </c>
      <c r="C273" s="27" t="s">
        <v>397</v>
      </c>
      <c r="D273" s="28" t="s">
        <v>154</v>
      </c>
      <c r="E273" s="29">
        <v>11</v>
      </c>
      <c r="F273" s="97" t="s">
        <v>411</v>
      </c>
      <c r="G273" s="242" t="s">
        <v>958</v>
      </c>
      <c r="H273" s="31">
        <v>24</v>
      </c>
      <c r="I273" s="32">
        <v>29</v>
      </c>
      <c r="J273" s="33">
        <v>32.1</v>
      </c>
      <c r="K273" s="34" t="s">
        <v>959</v>
      </c>
      <c r="L273" s="31">
        <v>124</v>
      </c>
      <c r="M273" s="35">
        <v>13</v>
      </c>
      <c r="N273" s="36">
        <v>7.7</v>
      </c>
      <c r="O273" s="37" t="s">
        <v>355</v>
      </c>
      <c r="P273" s="38" t="s">
        <v>382</v>
      </c>
      <c r="Q273" s="35" t="s">
        <v>18</v>
      </c>
      <c r="R273" s="36" t="s">
        <v>347</v>
      </c>
    </row>
    <row r="274" spans="1:18" ht="27.6" customHeight="1">
      <c r="A274" s="25" t="s">
        <v>396</v>
      </c>
      <c r="B274" s="26">
        <v>12</v>
      </c>
      <c r="C274" s="27" t="s">
        <v>397</v>
      </c>
      <c r="D274" s="28" t="s">
        <v>154</v>
      </c>
      <c r="E274" s="29">
        <v>12</v>
      </c>
      <c r="F274" s="97" t="s">
        <v>412</v>
      </c>
      <c r="G274" s="242" t="s">
        <v>960</v>
      </c>
      <c r="H274" s="31">
        <v>24</v>
      </c>
      <c r="I274" s="32">
        <v>28</v>
      </c>
      <c r="J274" s="33">
        <v>43.3</v>
      </c>
      <c r="K274" s="34" t="s">
        <v>961</v>
      </c>
      <c r="L274" s="31">
        <v>124</v>
      </c>
      <c r="M274" s="35">
        <v>13</v>
      </c>
      <c r="N274" s="36">
        <v>8.1999999999999993</v>
      </c>
      <c r="O274" s="37" t="s">
        <v>349</v>
      </c>
      <c r="P274" s="38" t="s">
        <v>346</v>
      </c>
      <c r="Q274" s="35" t="s">
        <v>18</v>
      </c>
      <c r="R274" s="36" t="s">
        <v>405</v>
      </c>
    </row>
    <row r="275" spans="1:18" ht="27.6" customHeight="1">
      <c r="A275" s="25" t="s">
        <v>396</v>
      </c>
      <c r="B275" s="26">
        <v>12</v>
      </c>
      <c r="C275" s="27" t="s">
        <v>397</v>
      </c>
      <c r="D275" s="28" t="s">
        <v>154</v>
      </c>
      <c r="E275" s="29">
        <v>13</v>
      </c>
      <c r="F275" s="97" t="s">
        <v>413</v>
      </c>
      <c r="G275" s="242" t="s">
        <v>962</v>
      </c>
      <c r="H275" s="31">
        <v>24</v>
      </c>
      <c r="I275" s="32">
        <v>28</v>
      </c>
      <c r="J275" s="33">
        <v>9.4</v>
      </c>
      <c r="K275" s="34" t="s">
        <v>963</v>
      </c>
      <c r="L275" s="31">
        <v>124</v>
      </c>
      <c r="M275" s="35">
        <v>13</v>
      </c>
      <c r="N275" s="36">
        <v>9.1</v>
      </c>
      <c r="O275" s="37" t="s">
        <v>349</v>
      </c>
      <c r="P275" s="38" t="s">
        <v>346</v>
      </c>
      <c r="Q275" s="35" t="s">
        <v>18</v>
      </c>
      <c r="R275" s="36" t="s">
        <v>401</v>
      </c>
    </row>
    <row r="276" spans="1:18" ht="27.6" customHeight="1">
      <c r="A276" s="25" t="s">
        <v>396</v>
      </c>
      <c r="B276" s="26">
        <v>12</v>
      </c>
      <c r="C276" s="27" t="s">
        <v>397</v>
      </c>
      <c r="D276" s="28" t="s">
        <v>154</v>
      </c>
      <c r="E276" s="29">
        <v>14</v>
      </c>
      <c r="F276" s="97" t="s">
        <v>414</v>
      </c>
      <c r="G276" s="242" t="s">
        <v>964</v>
      </c>
      <c r="H276" s="31">
        <v>24</v>
      </c>
      <c r="I276" s="32">
        <v>27</v>
      </c>
      <c r="J276" s="33">
        <v>41.7</v>
      </c>
      <c r="K276" s="34" t="s">
        <v>965</v>
      </c>
      <c r="L276" s="31">
        <v>124</v>
      </c>
      <c r="M276" s="35">
        <v>12</v>
      </c>
      <c r="N276" s="36">
        <v>31</v>
      </c>
      <c r="O276" s="37" t="s">
        <v>349</v>
      </c>
      <c r="P276" s="38" t="s">
        <v>374</v>
      </c>
      <c r="Q276" s="35" t="s">
        <v>18</v>
      </c>
      <c r="R276" s="36" t="s">
        <v>85</v>
      </c>
    </row>
    <row r="277" spans="1:18" ht="27.6" customHeight="1">
      <c r="A277" s="25" t="s">
        <v>396</v>
      </c>
      <c r="B277" s="26">
        <v>12</v>
      </c>
      <c r="C277" s="27" t="s">
        <v>397</v>
      </c>
      <c r="D277" s="28" t="s">
        <v>154</v>
      </c>
      <c r="E277" s="29">
        <v>15</v>
      </c>
      <c r="F277" s="97" t="s">
        <v>415</v>
      </c>
      <c r="G277" s="242" t="s">
        <v>966</v>
      </c>
      <c r="H277" s="31">
        <v>24</v>
      </c>
      <c r="I277" s="32">
        <v>27</v>
      </c>
      <c r="J277" s="33">
        <v>33.700000000000003</v>
      </c>
      <c r="K277" s="34" t="s">
        <v>967</v>
      </c>
      <c r="L277" s="31">
        <v>124</v>
      </c>
      <c r="M277" s="35">
        <v>12</v>
      </c>
      <c r="N277" s="36">
        <v>3.7</v>
      </c>
      <c r="O277" s="37" t="s">
        <v>349</v>
      </c>
      <c r="P277" s="38" t="s">
        <v>156</v>
      </c>
      <c r="Q277" s="35" t="s">
        <v>18</v>
      </c>
      <c r="R277" s="36" t="s">
        <v>75</v>
      </c>
    </row>
    <row r="278" spans="1:18" ht="27.6" customHeight="1">
      <c r="A278" s="25" t="s">
        <v>396</v>
      </c>
      <c r="B278" s="26">
        <v>12</v>
      </c>
      <c r="C278" s="27" t="s">
        <v>397</v>
      </c>
      <c r="D278" s="28" t="s">
        <v>154</v>
      </c>
      <c r="E278" s="29">
        <v>16</v>
      </c>
      <c r="F278" s="97" t="s">
        <v>416</v>
      </c>
      <c r="G278" s="242" t="s">
        <v>968</v>
      </c>
      <c r="H278" s="31">
        <v>24</v>
      </c>
      <c r="I278" s="32">
        <v>27</v>
      </c>
      <c r="J278" s="33">
        <v>12.8</v>
      </c>
      <c r="K278" s="34" t="s">
        <v>969</v>
      </c>
      <c r="L278" s="31">
        <v>124</v>
      </c>
      <c r="M278" s="35">
        <v>11</v>
      </c>
      <c r="N278" s="36">
        <v>2.7</v>
      </c>
      <c r="O278" s="37" t="s">
        <v>130</v>
      </c>
      <c r="P278" s="38" t="s">
        <v>374</v>
      </c>
      <c r="Q278" s="35" t="s">
        <v>18</v>
      </c>
      <c r="R278" s="36" t="s">
        <v>133</v>
      </c>
    </row>
    <row r="279" spans="1:18" ht="27.6" customHeight="1">
      <c r="A279" s="25" t="s">
        <v>396</v>
      </c>
      <c r="B279" s="26">
        <v>12</v>
      </c>
      <c r="C279" s="27" t="s">
        <v>397</v>
      </c>
      <c r="D279" s="28" t="s">
        <v>154</v>
      </c>
      <c r="E279" s="29">
        <v>17</v>
      </c>
      <c r="F279" s="97" t="s">
        <v>417</v>
      </c>
      <c r="G279" s="242" t="s">
        <v>970</v>
      </c>
      <c r="H279" s="31">
        <v>24</v>
      </c>
      <c r="I279" s="32">
        <v>27</v>
      </c>
      <c r="J279" s="33">
        <v>2.6</v>
      </c>
      <c r="K279" s="34" t="s">
        <v>971</v>
      </c>
      <c r="L279" s="31">
        <v>124</v>
      </c>
      <c r="M279" s="35">
        <v>10</v>
      </c>
      <c r="N279" s="36">
        <v>22.9</v>
      </c>
      <c r="O279" s="37" t="s">
        <v>349</v>
      </c>
      <c r="P279" s="38" t="s">
        <v>346</v>
      </c>
      <c r="Q279" s="35" t="s">
        <v>18</v>
      </c>
      <c r="R279" s="36" t="s">
        <v>75</v>
      </c>
    </row>
    <row r="280" spans="1:18" ht="27.6" customHeight="1">
      <c r="A280" s="25" t="s">
        <v>396</v>
      </c>
      <c r="B280" s="26">
        <v>12</v>
      </c>
      <c r="C280" s="27" t="s">
        <v>397</v>
      </c>
      <c r="D280" s="28" t="s">
        <v>154</v>
      </c>
      <c r="E280" s="29">
        <v>18</v>
      </c>
      <c r="F280" s="97" t="s">
        <v>418</v>
      </c>
      <c r="G280" s="242" t="s">
        <v>972</v>
      </c>
      <c r="H280" s="31">
        <v>24</v>
      </c>
      <c r="I280" s="32">
        <v>27</v>
      </c>
      <c r="J280" s="33">
        <v>5.4</v>
      </c>
      <c r="K280" s="34" t="s">
        <v>973</v>
      </c>
      <c r="L280" s="31">
        <v>124</v>
      </c>
      <c r="M280" s="35">
        <v>10</v>
      </c>
      <c r="N280" s="36">
        <v>7.1</v>
      </c>
      <c r="O280" s="37" t="s">
        <v>130</v>
      </c>
      <c r="P280" s="38" t="s">
        <v>346</v>
      </c>
      <c r="Q280" s="35" t="s">
        <v>18</v>
      </c>
      <c r="R280" s="36" t="s">
        <v>133</v>
      </c>
    </row>
    <row r="281" spans="1:18" ht="27.6" customHeight="1">
      <c r="A281" s="25" t="s">
        <v>396</v>
      </c>
      <c r="B281" s="26">
        <v>12</v>
      </c>
      <c r="C281" s="27" t="s">
        <v>397</v>
      </c>
      <c r="D281" s="28" t="s">
        <v>154</v>
      </c>
      <c r="E281" s="29">
        <v>19</v>
      </c>
      <c r="F281" s="97" t="s">
        <v>419</v>
      </c>
      <c r="G281" s="242" t="s">
        <v>974</v>
      </c>
      <c r="H281" s="31">
        <v>24</v>
      </c>
      <c r="I281" s="32">
        <v>27</v>
      </c>
      <c r="J281" s="33">
        <v>25.6</v>
      </c>
      <c r="K281" s="34" t="s">
        <v>975</v>
      </c>
      <c r="L281" s="31">
        <v>124</v>
      </c>
      <c r="M281" s="35">
        <v>9</v>
      </c>
      <c r="N281" s="36">
        <v>18.899999999999999</v>
      </c>
      <c r="O281" s="37" t="s">
        <v>130</v>
      </c>
      <c r="P281" s="38" t="s">
        <v>346</v>
      </c>
      <c r="Q281" s="35" t="s">
        <v>18</v>
      </c>
      <c r="R281" s="36" t="s">
        <v>358</v>
      </c>
    </row>
    <row r="282" spans="1:18" ht="27.6" customHeight="1">
      <c r="A282" s="25" t="s">
        <v>396</v>
      </c>
      <c r="B282" s="26">
        <v>12</v>
      </c>
      <c r="C282" s="27" t="s">
        <v>397</v>
      </c>
      <c r="D282" s="28" t="s">
        <v>154</v>
      </c>
      <c r="E282" s="29">
        <v>20</v>
      </c>
      <c r="F282" s="97" t="s">
        <v>420</v>
      </c>
      <c r="G282" s="242" t="s">
        <v>976</v>
      </c>
      <c r="H282" s="31">
        <v>24</v>
      </c>
      <c r="I282" s="32">
        <v>27</v>
      </c>
      <c r="J282" s="33">
        <v>49.8</v>
      </c>
      <c r="K282" s="34" t="s">
        <v>977</v>
      </c>
      <c r="L282" s="31">
        <v>124</v>
      </c>
      <c r="M282" s="35">
        <v>8</v>
      </c>
      <c r="N282" s="33">
        <v>58</v>
      </c>
      <c r="O282" s="37" t="s">
        <v>130</v>
      </c>
      <c r="P282" s="38" t="s">
        <v>346</v>
      </c>
      <c r="Q282" s="35" t="s">
        <v>18</v>
      </c>
      <c r="R282" s="36" t="s">
        <v>358</v>
      </c>
    </row>
    <row r="283" spans="1:18" ht="27.6" customHeight="1">
      <c r="A283" s="25" t="s">
        <v>396</v>
      </c>
      <c r="B283" s="26">
        <v>12</v>
      </c>
      <c r="C283" s="27" t="s">
        <v>397</v>
      </c>
      <c r="D283" s="28" t="s">
        <v>154</v>
      </c>
      <c r="E283" s="29">
        <v>21</v>
      </c>
      <c r="F283" s="97" t="s">
        <v>421</v>
      </c>
      <c r="G283" s="242" t="s">
        <v>978</v>
      </c>
      <c r="H283" s="31">
        <v>24</v>
      </c>
      <c r="I283" s="32">
        <v>28</v>
      </c>
      <c r="J283" s="33">
        <v>7.6</v>
      </c>
      <c r="K283" s="34" t="s">
        <v>979</v>
      </c>
      <c r="L283" s="31">
        <v>124</v>
      </c>
      <c r="M283" s="35">
        <v>8</v>
      </c>
      <c r="N283" s="36">
        <v>50.2</v>
      </c>
      <c r="O283" s="37" t="s">
        <v>362</v>
      </c>
      <c r="P283" s="38" t="s">
        <v>346</v>
      </c>
      <c r="Q283" s="35" t="s">
        <v>18</v>
      </c>
      <c r="R283" s="36" t="s">
        <v>75</v>
      </c>
    </row>
    <row r="284" spans="1:18" ht="27.6" customHeight="1">
      <c r="A284" s="25" t="s">
        <v>396</v>
      </c>
      <c r="B284" s="26">
        <v>12</v>
      </c>
      <c r="C284" s="27" t="s">
        <v>397</v>
      </c>
      <c r="D284" s="28" t="s">
        <v>154</v>
      </c>
      <c r="E284" s="29">
        <v>22</v>
      </c>
      <c r="F284" s="97" t="s">
        <v>422</v>
      </c>
      <c r="G284" s="242" t="s">
        <v>980</v>
      </c>
      <c r="H284" s="31">
        <v>24</v>
      </c>
      <c r="I284" s="32">
        <v>28</v>
      </c>
      <c r="J284" s="33">
        <v>10.5</v>
      </c>
      <c r="K284" s="34" t="s">
        <v>981</v>
      </c>
      <c r="L284" s="31">
        <v>124</v>
      </c>
      <c r="M284" s="35">
        <v>8</v>
      </c>
      <c r="N284" s="36">
        <v>43.9</v>
      </c>
      <c r="O284" s="37" t="s">
        <v>362</v>
      </c>
      <c r="P284" s="38" t="s">
        <v>374</v>
      </c>
      <c r="Q284" s="35" t="s">
        <v>18</v>
      </c>
      <c r="R284" s="36" t="s">
        <v>75</v>
      </c>
    </row>
    <row r="285" spans="1:18" ht="27.6" customHeight="1">
      <c r="A285" s="25" t="s">
        <v>396</v>
      </c>
      <c r="B285" s="26">
        <v>12</v>
      </c>
      <c r="C285" s="27" t="s">
        <v>397</v>
      </c>
      <c r="D285" s="28" t="s">
        <v>154</v>
      </c>
      <c r="E285" s="29">
        <v>23</v>
      </c>
      <c r="F285" s="97" t="s">
        <v>423</v>
      </c>
      <c r="G285" s="242" t="s">
        <v>982</v>
      </c>
      <c r="H285" s="31">
        <v>24</v>
      </c>
      <c r="I285" s="32">
        <v>28</v>
      </c>
      <c r="J285" s="33">
        <v>21.9</v>
      </c>
      <c r="K285" s="34" t="s">
        <v>983</v>
      </c>
      <c r="L285" s="31">
        <v>124</v>
      </c>
      <c r="M285" s="35">
        <v>8</v>
      </c>
      <c r="N285" s="36">
        <v>40.799999999999997</v>
      </c>
      <c r="O285" s="37" t="s">
        <v>355</v>
      </c>
      <c r="P285" s="38" t="s">
        <v>346</v>
      </c>
      <c r="Q285" s="35" t="s">
        <v>18</v>
      </c>
      <c r="R285" s="36" t="s">
        <v>358</v>
      </c>
    </row>
    <row r="286" spans="1:18" ht="27.6" customHeight="1">
      <c r="A286" s="25" t="s">
        <v>396</v>
      </c>
      <c r="B286" s="26">
        <v>12</v>
      </c>
      <c r="C286" s="27" t="s">
        <v>397</v>
      </c>
      <c r="D286" s="28" t="s">
        <v>154</v>
      </c>
      <c r="E286" s="29">
        <v>24</v>
      </c>
      <c r="F286" s="97" t="s">
        <v>424</v>
      </c>
      <c r="G286" s="242" t="s">
        <v>984</v>
      </c>
      <c r="H286" s="31">
        <v>24</v>
      </c>
      <c r="I286" s="32">
        <v>28</v>
      </c>
      <c r="J286" s="33">
        <v>52.2</v>
      </c>
      <c r="K286" s="34" t="s">
        <v>985</v>
      </c>
      <c r="L286" s="31">
        <v>124</v>
      </c>
      <c r="M286" s="35">
        <v>8</v>
      </c>
      <c r="N286" s="36">
        <v>4.5</v>
      </c>
      <c r="O286" s="37" t="s">
        <v>130</v>
      </c>
      <c r="P286" s="38" t="s">
        <v>346</v>
      </c>
      <c r="Q286" s="35" t="s">
        <v>18</v>
      </c>
      <c r="R286" s="36" t="s">
        <v>358</v>
      </c>
    </row>
    <row r="287" spans="1:18" ht="27.6" customHeight="1">
      <c r="A287" s="25" t="s">
        <v>396</v>
      </c>
      <c r="B287" s="26">
        <v>12</v>
      </c>
      <c r="C287" s="27" t="s">
        <v>397</v>
      </c>
      <c r="D287" s="28" t="s">
        <v>154</v>
      </c>
      <c r="E287" s="29">
        <v>25</v>
      </c>
      <c r="F287" s="97" t="s">
        <v>425</v>
      </c>
      <c r="G287" s="242" t="s">
        <v>986</v>
      </c>
      <c r="H287" s="31">
        <v>24</v>
      </c>
      <c r="I287" s="32">
        <v>29</v>
      </c>
      <c r="J287" s="33">
        <v>4.2</v>
      </c>
      <c r="K287" s="34" t="s">
        <v>987</v>
      </c>
      <c r="L287" s="31">
        <v>124</v>
      </c>
      <c r="M287" s="35">
        <v>7</v>
      </c>
      <c r="N287" s="36">
        <v>25.6</v>
      </c>
      <c r="O287" s="37" t="s">
        <v>349</v>
      </c>
      <c r="P287" s="38" t="s">
        <v>346</v>
      </c>
      <c r="Q287" s="35" t="s">
        <v>18</v>
      </c>
      <c r="R287" s="36" t="s">
        <v>75</v>
      </c>
    </row>
    <row r="288" spans="1:18" ht="27.6" customHeight="1">
      <c r="A288" s="25" t="s">
        <v>396</v>
      </c>
      <c r="B288" s="26">
        <v>12</v>
      </c>
      <c r="C288" s="27" t="s">
        <v>397</v>
      </c>
      <c r="D288" s="28" t="s">
        <v>154</v>
      </c>
      <c r="E288" s="29">
        <v>26</v>
      </c>
      <c r="F288" s="97" t="s">
        <v>426</v>
      </c>
      <c r="G288" s="242" t="s">
        <v>988</v>
      </c>
      <c r="H288" s="31">
        <v>24</v>
      </c>
      <c r="I288" s="32">
        <v>29</v>
      </c>
      <c r="J288" s="33">
        <v>3.1</v>
      </c>
      <c r="K288" s="34" t="s">
        <v>989</v>
      </c>
      <c r="L288" s="31">
        <v>124</v>
      </c>
      <c r="M288" s="35">
        <v>7</v>
      </c>
      <c r="N288" s="36">
        <v>6.8</v>
      </c>
      <c r="O288" s="37" t="s">
        <v>355</v>
      </c>
      <c r="P288" s="38" t="s">
        <v>374</v>
      </c>
      <c r="Q288" s="35" t="s">
        <v>18</v>
      </c>
      <c r="R288" s="36" t="s">
        <v>353</v>
      </c>
    </row>
    <row r="289" spans="1:18" ht="27.6" customHeight="1">
      <c r="A289" s="25" t="s">
        <v>396</v>
      </c>
      <c r="B289" s="26">
        <v>12</v>
      </c>
      <c r="C289" s="27" t="s">
        <v>397</v>
      </c>
      <c r="D289" s="28" t="s">
        <v>154</v>
      </c>
      <c r="E289" s="29">
        <v>27</v>
      </c>
      <c r="F289" s="97" t="s">
        <v>427</v>
      </c>
      <c r="G289" s="242" t="s">
        <v>990</v>
      </c>
      <c r="H289" s="31">
        <v>24</v>
      </c>
      <c r="I289" s="32">
        <v>28</v>
      </c>
      <c r="J289" s="33">
        <v>32.299999999999997</v>
      </c>
      <c r="K289" s="34" t="s">
        <v>991</v>
      </c>
      <c r="L289" s="31">
        <v>124</v>
      </c>
      <c r="M289" s="35">
        <v>6</v>
      </c>
      <c r="N289" s="36">
        <v>41.6</v>
      </c>
      <c r="O289" s="37" t="s">
        <v>355</v>
      </c>
      <c r="P289" s="38" t="s">
        <v>346</v>
      </c>
      <c r="Q289" s="35" t="s">
        <v>18</v>
      </c>
      <c r="R289" s="36" t="s">
        <v>394</v>
      </c>
    </row>
    <row r="290" spans="1:18" ht="27.6" customHeight="1">
      <c r="A290" s="25" t="s">
        <v>396</v>
      </c>
      <c r="B290" s="26">
        <v>12</v>
      </c>
      <c r="C290" s="27" t="s">
        <v>397</v>
      </c>
      <c r="D290" s="28" t="s">
        <v>154</v>
      </c>
      <c r="E290" s="29">
        <v>28</v>
      </c>
      <c r="F290" s="97" t="s">
        <v>428</v>
      </c>
      <c r="G290" s="242" t="s">
        <v>992</v>
      </c>
      <c r="H290" s="31">
        <v>24</v>
      </c>
      <c r="I290" s="32">
        <v>28</v>
      </c>
      <c r="J290" s="33">
        <v>11.6</v>
      </c>
      <c r="K290" s="34" t="s">
        <v>993</v>
      </c>
      <c r="L290" s="31">
        <v>124</v>
      </c>
      <c r="M290" s="35">
        <v>6</v>
      </c>
      <c r="N290" s="36">
        <v>54.3</v>
      </c>
      <c r="O290" s="37" t="s">
        <v>130</v>
      </c>
      <c r="P290" s="38" t="s">
        <v>374</v>
      </c>
      <c r="Q290" s="35" t="s">
        <v>18</v>
      </c>
      <c r="R290" s="36" t="s">
        <v>112</v>
      </c>
    </row>
    <row r="291" spans="1:18" ht="27.6" customHeight="1">
      <c r="A291" s="25" t="s">
        <v>396</v>
      </c>
      <c r="B291" s="26">
        <v>12</v>
      </c>
      <c r="C291" s="27" t="s">
        <v>397</v>
      </c>
      <c r="D291" s="28" t="s">
        <v>154</v>
      </c>
      <c r="E291" s="29">
        <v>29</v>
      </c>
      <c r="F291" s="97" t="s">
        <v>429</v>
      </c>
      <c r="G291" s="242" t="s">
        <v>994</v>
      </c>
      <c r="H291" s="31">
        <v>24</v>
      </c>
      <c r="I291" s="32">
        <v>27</v>
      </c>
      <c r="J291" s="33">
        <v>27.2</v>
      </c>
      <c r="K291" s="34" t="s">
        <v>995</v>
      </c>
      <c r="L291" s="31">
        <v>124</v>
      </c>
      <c r="M291" s="35">
        <v>6</v>
      </c>
      <c r="N291" s="36">
        <v>40.700000000000003</v>
      </c>
      <c r="O291" s="37" t="s">
        <v>130</v>
      </c>
      <c r="P291" s="38" t="s">
        <v>374</v>
      </c>
      <c r="Q291" s="35" t="s">
        <v>18</v>
      </c>
      <c r="R291" s="36" t="s">
        <v>430</v>
      </c>
    </row>
    <row r="292" spans="1:18" ht="27.6" customHeight="1">
      <c r="A292" s="25" t="s">
        <v>396</v>
      </c>
      <c r="B292" s="26">
        <v>12</v>
      </c>
      <c r="C292" s="27" t="s">
        <v>397</v>
      </c>
      <c r="D292" s="28" t="s">
        <v>154</v>
      </c>
      <c r="E292" s="29">
        <v>30</v>
      </c>
      <c r="F292" s="97" t="s">
        <v>431</v>
      </c>
      <c r="G292" s="242" t="s">
        <v>996</v>
      </c>
      <c r="H292" s="31">
        <v>24</v>
      </c>
      <c r="I292" s="32">
        <v>27</v>
      </c>
      <c r="J292" s="33">
        <v>28.9</v>
      </c>
      <c r="K292" s="34" t="s">
        <v>997</v>
      </c>
      <c r="L292" s="31">
        <v>124</v>
      </c>
      <c r="M292" s="35">
        <v>6</v>
      </c>
      <c r="N292" s="36">
        <v>20.100000000000001</v>
      </c>
      <c r="O292" s="37" t="s">
        <v>349</v>
      </c>
      <c r="P292" s="38" t="s">
        <v>156</v>
      </c>
      <c r="Q292" s="35" t="s">
        <v>18</v>
      </c>
      <c r="R292" s="36" t="s">
        <v>75</v>
      </c>
    </row>
    <row r="293" spans="1:18" ht="27.6" customHeight="1">
      <c r="A293" s="25" t="s">
        <v>396</v>
      </c>
      <c r="B293" s="26">
        <v>12</v>
      </c>
      <c r="C293" s="27" t="s">
        <v>397</v>
      </c>
      <c r="D293" s="28" t="s">
        <v>154</v>
      </c>
      <c r="E293" s="29">
        <v>31</v>
      </c>
      <c r="F293" s="97" t="s">
        <v>432</v>
      </c>
      <c r="G293" s="242" t="s">
        <v>998</v>
      </c>
      <c r="H293" s="31">
        <v>24</v>
      </c>
      <c r="I293" s="32">
        <v>27</v>
      </c>
      <c r="J293" s="33">
        <v>17.2</v>
      </c>
      <c r="K293" s="34" t="s">
        <v>999</v>
      </c>
      <c r="L293" s="31">
        <v>124</v>
      </c>
      <c r="M293" s="35">
        <v>5</v>
      </c>
      <c r="N293" s="36">
        <v>19.7</v>
      </c>
      <c r="O293" s="37" t="s">
        <v>349</v>
      </c>
      <c r="P293" s="38" t="s">
        <v>156</v>
      </c>
      <c r="Q293" s="35" t="s">
        <v>18</v>
      </c>
      <c r="R293" s="36" t="s">
        <v>75</v>
      </c>
    </row>
    <row r="294" spans="1:18" ht="27.6" customHeight="1">
      <c r="A294" s="25" t="s">
        <v>396</v>
      </c>
      <c r="B294" s="26">
        <v>12</v>
      </c>
      <c r="C294" s="27" t="s">
        <v>397</v>
      </c>
      <c r="D294" s="28" t="s">
        <v>154</v>
      </c>
      <c r="E294" s="29">
        <v>32</v>
      </c>
      <c r="F294" s="97" t="s">
        <v>433</v>
      </c>
      <c r="G294" s="242" t="s">
        <v>1000</v>
      </c>
      <c r="H294" s="31">
        <v>24</v>
      </c>
      <c r="I294" s="32">
        <v>27</v>
      </c>
      <c r="J294" s="33">
        <v>4.0999999999999996</v>
      </c>
      <c r="K294" s="34" t="s">
        <v>1001</v>
      </c>
      <c r="L294" s="31">
        <v>124</v>
      </c>
      <c r="M294" s="35">
        <v>4</v>
      </c>
      <c r="N294" s="36">
        <v>33.299999999999997</v>
      </c>
      <c r="O294" s="37" t="s">
        <v>349</v>
      </c>
      <c r="P294" s="38" t="s">
        <v>156</v>
      </c>
      <c r="Q294" s="35" t="s">
        <v>18</v>
      </c>
      <c r="R294" s="36" t="s">
        <v>75</v>
      </c>
    </row>
    <row r="295" spans="1:18" ht="27.6" customHeight="1">
      <c r="A295" s="25" t="s">
        <v>396</v>
      </c>
      <c r="B295" s="26">
        <v>12</v>
      </c>
      <c r="C295" s="27" t="s">
        <v>397</v>
      </c>
      <c r="D295" s="28" t="s">
        <v>154</v>
      </c>
      <c r="E295" s="29">
        <v>33</v>
      </c>
      <c r="F295" s="97" t="s">
        <v>434</v>
      </c>
      <c r="G295" s="242" t="s">
        <v>1002</v>
      </c>
      <c r="H295" s="31">
        <v>24</v>
      </c>
      <c r="I295" s="32">
        <v>26</v>
      </c>
      <c r="J295" s="33">
        <v>41</v>
      </c>
      <c r="K295" s="34" t="s">
        <v>1003</v>
      </c>
      <c r="L295" s="31">
        <v>124</v>
      </c>
      <c r="M295" s="35">
        <v>4</v>
      </c>
      <c r="N295" s="36">
        <v>30.1</v>
      </c>
      <c r="O295" s="37" t="s">
        <v>349</v>
      </c>
      <c r="P295" s="38" t="s">
        <v>346</v>
      </c>
      <c r="Q295" s="35" t="s">
        <v>18</v>
      </c>
      <c r="R295" s="36" t="s">
        <v>75</v>
      </c>
    </row>
    <row r="296" spans="1:18" ht="27.6" customHeight="1">
      <c r="A296" s="25" t="s">
        <v>396</v>
      </c>
      <c r="B296" s="26">
        <v>12</v>
      </c>
      <c r="C296" s="27" t="s">
        <v>397</v>
      </c>
      <c r="D296" s="28" t="s">
        <v>154</v>
      </c>
      <c r="E296" s="29">
        <v>34</v>
      </c>
      <c r="F296" s="97" t="s">
        <v>435</v>
      </c>
      <c r="G296" s="242" t="s">
        <v>1004</v>
      </c>
      <c r="H296" s="31">
        <v>24</v>
      </c>
      <c r="I296" s="32">
        <v>26</v>
      </c>
      <c r="J296" s="33">
        <v>1</v>
      </c>
      <c r="K296" s="34" t="s">
        <v>1005</v>
      </c>
      <c r="L296" s="31">
        <v>124</v>
      </c>
      <c r="M296" s="35">
        <v>4</v>
      </c>
      <c r="N296" s="36">
        <v>11.8</v>
      </c>
      <c r="O296" s="37" t="s">
        <v>349</v>
      </c>
      <c r="P296" s="38" t="s">
        <v>156</v>
      </c>
      <c r="Q296" s="35" t="s">
        <v>18</v>
      </c>
      <c r="R296" s="36" t="s">
        <v>75</v>
      </c>
    </row>
    <row r="297" spans="1:18" ht="27.6" customHeight="1">
      <c r="A297" s="25" t="s">
        <v>396</v>
      </c>
      <c r="B297" s="26">
        <v>12</v>
      </c>
      <c r="C297" s="27" t="s">
        <v>397</v>
      </c>
      <c r="D297" s="28" t="s">
        <v>154</v>
      </c>
      <c r="E297" s="29">
        <v>35</v>
      </c>
      <c r="F297" s="97" t="s">
        <v>436</v>
      </c>
      <c r="G297" s="242" t="s">
        <v>1006</v>
      </c>
      <c r="H297" s="31">
        <v>24</v>
      </c>
      <c r="I297" s="32">
        <v>25</v>
      </c>
      <c r="J297" s="33">
        <v>38.9</v>
      </c>
      <c r="K297" s="34" t="s">
        <v>1007</v>
      </c>
      <c r="L297" s="31">
        <v>124</v>
      </c>
      <c r="M297" s="35">
        <v>4</v>
      </c>
      <c r="N297" s="36">
        <v>13.6</v>
      </c>
      <c r="O297" s="37" t="s">
        <v>349</v>
      </c>
      <c r="P297" s="38" t="s">
        <v>156</v>
      </c>
      <c r="Q297" s="35" t="s">
        <v>18</v>
      </c>
      <c r="R297" s="36" t="s">
        <v>75</v>
      </c>
    </row>
    <row r="298" spans="1:18" ht="27.6" customHeight="1">
      <c r="A298" s="25" t="s">
        <v>396</v>
      </c>
      <c r="B298" s="26">
        <v>12</v>
      </c>
      <c r="C298" s="27" t="s">
        <v>397</v>
      </c>
      <c r="D298" s="28" t="s">
        <v>154</v>
      </c>
      <c r="E298" s="29">
        <v>36</v>
      </c>
      <c r="F298" s="97" t="s">
        <v>437</v>
      </c>
      <c r="G298" s="242" t="s">
        <v>1008</v>
      </c>
      <c r="H298" s="31">
        <v>24</v>
      </c>
      <c r="I298" s="32">
        <v>25</v>
      </c>
      <c r="J298" s="33">
        <v>20.5</v>
      </c>
      <c r="K298" s="34" t="s">
        <v>1009</v>
      </c>
      <c r="L298" s="31">
        <v>124</v>
      </c>
      <c r="M298" s="35">
        <v>4</v>
      </c>
      <c r="N298" s="36">
        <v>36.1</v>
      </c>
      <c r="O298" s="37" t="s">
        <v>355</v>
      </c>
      <c r="P298" s="38" t="s">
        <v>374</v>
      </c>
      <c r="Q298" s="35" t="s">
        <v>18</v>
      </c>
      <c r="R298" s="36" t="s">
        <v>85</v>
      </c>
    </row>
    <row r="299" spans="1:18" ht="27.6" customHeight="1">
      <c r="A299" s="25" t="s">
        <v>396</v>
      </c>
      <c r="B299" s="26">
        <v>12</v>
      </c>
      <c r="C299" s="27" t="s">
        <v>397</v>
      </c>
      <c r="D299" s="28" t="s">
        <v>154</v>
      </c>
      <c r="E299" s="29">
        <v>37</v>
      </c>
      <c r="F299" s="97" t="s">
        <v>438</v>
      </c>
      <c r="G299" s="242" t="s">
        <v>1010</v>
      </c>
      <c r="H299" s="31">
        <v>24</v>
      </c>
      <c r="I299" s="32">
        <v>25</v>
      </c>
      <c r="J299" s="33">
        <v>15.1</v>
      </c>
      <c r="K299" s="34" t="s">
        <v>1011</v>
      </c>
      <c r="L299" s="31">
        <v>124</v>
      </c>
      <c r="M299" s="35">
        <v>5</v>
      </c>
      <c r="N299" s="36">
        <v>23.7</v>
      </c>
      <c r="O299" s="37" t="s">
        <v>130</v>
      </c>
      <c r="P299" s="38" t="s">
        <v>371</v>
      </c>
      <c r="Q299" s="35" t="s">
        <v>18</v>
      </c>
      <c r="R299" s="36" t="s">
        <v>439</v>
      </c>
    </row>
    <row r="300" spans="1:18" ht="27.6" customHeight="1">
      <c r="A300" s="25" t="s">
        <v>396</v>
      </c>
      <c r="B300" s="26">
        <v>12</v>
      </c>
      <c r="C300" s="27" t="s">
        <v>397</v>
      </c>
      <c r="D300" s="28" t="s">
        <v>154</v>
      </c>
      <c r="E300" s="29">
        <v>38</v>
      </c>
      <c r="F300" s="97" t="s">
        <v>440</v>
      </c>
      <c r="G300" s="242" t="s">
        <v>1012</v>
      </c>
      <c r="H300" s="31">
        <v>24</v>
      </c>
      <c r="I300" s="32">
        <v>22</v>
      </c>
      <c r="J300" s="33">
        <v>51</v>
      </c>
      <c r="K300" s="34" t="s">
        <v>1013</v>
      </c>
      <c r="L300" s="31">
        <v>124</v>
      </c>
      <c r="M300" s="35">
        <v>7</v>
      </c>
      <c r="N300" s="36">
        <v>0.9</v>
      </c>
      <c r="O300" s="37" t="s">
        <v>349</v>
      </c>
      <c r="P300" s="38" t="s">
        <v>374</v>
      </c>
      <c r="Q300" s="35" t="s">
        <v>18</v>
      </c>
      <c r="R300" s="36" t="s">
        <v>364</v>
      </c>
    </row>
    <row r="301" spans="1:18" ht="27.6" customHeight="1">
      <c r="A301" s="25" t="s">
        <v>396</v>
      </c>
      <c r="B301" s="26">
        <v>12</v>
      </c>
      <c r="C301" s="27" t="s">
        <v>397</v>
      </c>
      <c r="D301" s="28" t="s">
        <v>154</v>
      </c>
      <c r="E301" s="29">
        <v>39</v>
      </c>
      <c r="F301" s="97" t="s">
        <v>441</v>
      </c>
      <c r="G301" s="242" t="s">
        <v>1014</v>
      </c>
      <c r="H301" s="31">
        <v>24</v>
      </c>
      <c r="I301" s="32">
        <v>21</v>
      </c>
      <c r="J301" s="33">
        <v>51.4</v>
      </c>
      <c r="K301" s="34" t="s">
        <v>1015</v>
      </c>
      <c r="L301" s="31">
        <v>124</v>
      </c>
      <c r="M301" s="35">
        <v>6</v>
      </c>
      <c r="N301" s="36">
        <v>33.4</v>
      </c>
      <c r="O301" s="37" t="s">
        <v>349</v>
      </c>
      <c r="P301" s="38" t="s">
        <v>184</v>
      </c>
      <c r="Q301" s="35" t="s">
        <v>18</v>
      </c>
      <c r="R301" s="36" t="s">
        <v>85</v>
      </c>
    </row>
    <row r="302" spans="1:18" ht="27.6" customHeight="1">
      <c r="A302" s="25" t="s">
        <v>396</v>
      </c>
      <c r="B302" s="26">
        <v>12</v>
      </c>
      <c r="C302" s="27" t="s">
        <v>397</v>
      </c>
      <c r="D302" s="28" t="s">
        <v>154</v>
      </c>
      <c r="E302" s="29">
        <v>40</v>
      </c>
      <c r="F302" s="97" t="s">
        <v>442</v>
      </c>
      <c r="G302" s="242" t="s">
        <v>1016</v>
      </c>
      <c r="H302" s="31">
        <v>24</v>
      </c>
      <c r="I302" s="32">
        <v>19</v>
      </c>
      <c r="J302" s="33">
        <v>40.4</v>
      </c>
      <c r="K302" s="34" t="s">
        <v>1017</v>
      </c>
      <c r="L302" s="31">
        <v>124</v>
      </c>
      <c r="M302" s="35">
        <v>10</v>
      </c>
      <c r="N302" s="36">
        <v>33.1</v>
      </c>
      <c r="O302" s="37" t="s">
        <v>130</v>
      </c>
      <c r="P302" s="38" t="s">
        <v>443</v>
      </c>
      <c r="Q302" s="35" t="s">
        <v>18</v>
      </c>
      <c r="R302" s="36" t="s">
        <v>364</v>
      </c>
    </row>
    <row r="303" spans="1:18" ht="27.6" customHeight="1">
      <c r="A303" s="25" t="s">
        <v>396</v>
      </c>
      <c r="B303" s="26">
        <v>12</v>
      </c>
      <c r="C303" s="27" t="s">
        <v>397</v>
      </c>
      <c r="D303" s="28" t="s">
        <v>154</v>
      </c>
      <c r="E303" s="29">
        <v>41</v>
      </c>
      <c r="F303" s="97" t="s">
        <v>444</v>
      </c>
      <c r="G303" s="242" t="s">
        <v>1018</v>
      </c>
      <c r="H303" s="31">
        <v>24</v>
      </c>
      <c r="I303" s="32">
        <v>25</v>
      </c>
      <c r="J303" s="33">
        <v>33.9</v>
      </c>
      <c r="K303" s="34" t="s">
        <v>1019</v>
      </c>
      <c r="L303" s="31">
        <v>124</v>
      </c>
      <c r="M303" s="35">
        <v>6</v>
      </c>
      <c r="N303" s="36">
        <v>41.9</v>
      </c>
      <c r="O303" s="37" t="s">
        <v>349</v>
      </c>
      <c r="P303" s="38" t="s">
        <v>374</v>
      </c>
      <c r="Q303" s="35" t="s">
        <v>18</v>
      </c>
      <c r="R303" s="36" t="s">
        <v>372</v>
      </c>
    </row>
    <row r="304" spans="1:18" ht="27.6" customHeight="1">
      <c r="A304" s="25" t="s">
        <v>396</v>
      </c>
      <c r="B304" s="26">
        <v>12</v>
      </c>
      <c r="C304" s="27" t="s">
        <v>397</v>
      </c>
      <c r="D304" s="28" t="s">
        <v>154</v>
      </c>
      <c r="E304" s="29">
        <v>42</v>
      </c>
      <c r="F304" s="97" t="s">
        <v>445</v>
      </c>
      <c r="G304" s="242" t="s">
        <v>1020</v>
      </c>
      <c r="H304" s="31">
        <v>24</v>
      </c>
      <c r="I304" s="32">
        <v>24</v>
      </c>
      <c r="J304" s="33">
        <v>31.8</v>
      </c>
      <c r="K304" s="34" t="s">
        <v>1021</v>
      </c>
      <c r="L304" s="31">
        <v>124</v>
      </c>
      <c r="M304" s="35">
        <v>8</v>
      </c>
      <c r="N304" s="36">
        <v>11.1</v>
      </c>
      <c r="O304" s="37" t="s">
        <v>130</v>
      </c>
      <c r="P304" s="38" t="s">
        <v>446</v>
      </c>
      <c r="Q304" s="35" t="s">
        <v>18</v>
      </c>
      <c r="R304" s="36" t="s">
        <v>128</v>
      </c>
    </row>
    <row r="305" spans="1:18" ht="27.6" customHeight="1">
      <c r="A305" s="25" t="s">
        <v>396</v>
      </c>
      <c r="B305" s="26">
        <v>12</v>
      </c>
      <c r="C305" s="27" t="s">
        <v>397</v>
      </c>
      <c r="D305" s="28" t="s">
        <v>154</v>
      </c>
      <c r="E305" s="29">
        <v>43</v>
      </c>
      <c r="F305" s="97" t="s">
        <v>447</v>
      </c>
      <c r="G305" s="242"/>
      <c r="H305" s="31">
        <v>24</v>
      </c>
      <c r="I305" s="32">
        <v>32</v>
      </c>
      <c r="J305" s="33">
        <v>29.3</v>
      </c>
      <c r="K305" s="34"/>
      <c r="L305" s="31">
        <v>124</v>
      </c>
      <c r="M305" s="35">
        <v>16</v>
      </c>
      <c r="N305" s="33">
        <v>56.2</v>
      </c>
      <c r="O305" s="37" t="s">
        <v>448</v>
      </c>
      <c r="P305" s="38" t="s">
        <v>449</v>
      </c>
      <c r="Q305" s="35" t="s">
        <v>18</v>
      </c>
      <c r="R305" s="36" t="s">
        <v>364</v>
      </c>
    </row>
    <row r="306" spans="1:18" ht="27.6" customHeight="1" thickBot="1">
      <c r="A306" s="71" t="s">
        <v>396</v>
      </c>
      <c r="B306" s="72">
        <v>12</v>
      </c>
      <c r="C306" s="73" t="s">
        <v>397</v>
      </c>
      <c r="D306" s="121" t="s">
        <v>154</v>
      </c>
      <c r="E306" s="75">
        <v>44</v>
      </c>
      <c r="F306" s="147" t="s">
        <v>450</v>
      </c>
      <c r="G306" s="256"/>
      <c r="H306" s="77">
        <v>24</v>
      </c>
      <c r="I306" s="74">
        <v>31</v>
      </c>
      <c r="J306" s="122">
        <v>58</v>
      </c>
      <c r="K306" s="178"/>
      <c r="L306" s="77">
        <v>124</v>
      </c>
      <c r="M306" s="123">
        <v>15</v>
      </c>
      <c r="N306" s="122">
        <v>37.700000000000003</v>
      </c>
      <c r="O306" s="124" t="s">
        <v>175</v>
      </c>
      <c r="P306" s="125" t="s">
        <v>251</v>
      </c>
      <c r="Q306" s="123" t="s">
        <v>18</v>
      </c>
      <c r="R306" s="82" t="s">
        <v>112</v>
      </c>
    </row>
    <row r="307" spans="1:18" ht="27.6" customHeight="1" thickTop="1">
      <c r="A307" s="89" t="s">
        <v>1430</v>
      </c>
      <c r="B307" s="179">
        <v>13</v>
      </c>
      <c r="C307" s="85" t="s">
        <v>1431</v>
      </c>
      <c r="D307" s="90" t="s">
        <v>154</v>
      </c>
      <c r="E307" s="180">
        <v>27</v>
      </c>
      <c r="F307" s="181" t="s">
        <v>451</v>
      </c>
      <c r="G307" s="266" t="s">
        <v>1432</v>
      </c>
      <c r="H307" s="89">
        <v>24</v>
      </c>
      <c r="I307" s="90">
        <v>20</v>
      </c>
      <c r="J307" s="91">
        <v>43.472000000000001</v>
      </c>
      <c r="K307" s="267" t="s">
        <v>1022</v>
      </c>
      <c r="L307" s="89">
        <v>124</v>
      </c>
      <c r="M307" s="92">
        <v>0</v>
      </c>
      <c r="N307" s="93">
        <v>23.553999999999998</v>
      </c>
      <c r="O307" s="94" t="s">
        <v>1433</v>
      </c>
      <c r="P307" s="95" t="s">
        <v>382</v>
      </c>
      <c r="Q307" s="92" t="s">
        <v>18</v>
      </c>
      <c r="R307" s="93" t="s">
        <v>133</v>
      </c>
    </row>
    <row r="308" spans="1:18" ht="27.6" customHeight="1">
      <c r="A308" s="31" t="s">
        <v>1430</v>
      </c>
      <c r="B308" s="182">
        <v>13</v>
      </c>
      <c r="C308" s="27" t="s">
        <v>1431</v>
      </c>
      <c r="D308" s="32" t="s">
        <v>154</v>
      </c>
      <c r="E308" s="183">
        <v>28</v>
      </c>
      <c r="F308" s="184" t="s">
        <v>452</v>
      </c>
      <c r="G308" s="268" t="s">
        <v>1434</v>
      </c>
      <c r="H308" s="31">
        <v>24</v>
      </c>
      <c r="I308" s="32">
        <v>21</v>
      </c>
      <c r="J308" s="33">
        <v>26.484000000000002</v>
      </c>
      <c r="K308" s="269" t="s">
        <v>1023</v>
      </c>
      <c r="L308" s="31">
        <v>123</v>
      </c>
      <c r="M308" s="35">
        <v>59</v>
      </c>
      <c r="N308" s="36">
        <v>51.701999999999998</v>
      </c>
      <c r="O308" s="37" t="s">
        <v>175</v>
      </c>
      <c r="P308" s="38" t="s">
        <v>371</v>
      </c>
      <c r="Q308" s="35" t="s">
        <v>18</v>
      </c>
      <c r="R308" s="36" t="s">
        <v>128</v>
      </c>
    </row>
    <row r="309" spans="1:18" ht="27.6" customHeight="1">
      <c r="A309" s="31" t="s">
        <v>1430</v>
      </c>
      <c r="B309" s="182">
        <v>13</v>
      </c>
      <c r="C309" s="27" t="s">
        <v>1431</v>
      </c>
      <c r="D309" s="32" t="s">
        <v>154</v>
      </c>
      <c r="E309" s="183">
        <v>31</v>
      </c>
      <c r="F309" s="184" t="s">
        <v>453</v>
      </c>
      <c r="G309" s="268" t="s">
        <v>1435</v>
      </c>
      <c r="H309" s="31">
        <v>24</v>
      </c>
      <c r="I309" s="32">
        <v>21</v>
      </c>
      <c r="J309" s="33">
        <v>48.305</v>
      </c>
      <c r="K309" s="269" t="s">
        <v>1024</v>
      </c>
      <c r="L309" s="31">
        <v>123</v>
      </c>
      <c r="M309" s="35">
        <v>59</v>
      </c>
      <c r="N309" s="36">
        <v>39.162999999999997</v>
      </c>
      <c r="O309" s="37" t="s">
        <v>130</v>
      </c>
      <c r="P309" s="38" t="s">
        <v>346</v>
      </c>
      <c r="Q309" s="35" t="s">
        <v>18</v>
      </c>
      <c r="R309" s="36" t="s">
        <v>128</v>
      </c>
    </row>
    <row r="310" spans="1:18" ht="27.6" customHeight="1">
      <c r="A310" s="31" t="s">
        <v>1430</v>
      </c>
      <c r="B310" s="182">
        <v>13</v>
      </c>
      <c r="C310" s="27" t="s">
        <v>1431</v>
      </c>
      <c r="D310" s="32" t="s">
        <v>154</v>
      </c>
      <c r="E310" s="183">
        <v>32</v>
      </c>
      <c r="F310" s="184" t="s">
        <v>454</v>
      </c>
      <c r="G310" s="268" t="s">
        <v>1436</v>
      </c>
      <c r="H310" s="31">
        <v>24</v>
      </c>
      <c r="I310" s="32">
        <v>20</v>
      </c>
      <c r="J310" s="33">
        <v>59.987000000000002</v>
      </c>
      <c r="K310" s="269" t="s">
        <v>1025</v>
      </c>
      <c r="L310" s="31">
        <v>123</v>
      </c>
      <c r="M310" s="35">
        <v>59</v>
      </c>
      <c r="N310" s="36">
        <v>34.505000000000003</v>
      </c>
      <c r="O310" s="37" t="s">
        <v>175</v>
      </c>
      <c r="P310" s="38" t="s">
        <v>371</v>
      </c>
      <c r="Q310" s="35" t="s">
        <v>18</v>
      </c>
      <c r="R310" s="36" t="s">
        <v>133</v>
      </c>
    </row>
    <row r="311" spans="1:18" ht="27.6" customHeight="1">
      <c r="A311" s="31" t="s">
        <v>1430</v>
      </c>
      <c r="B311" s="182">
        <v>13</v>
      </c>
      <c r="C311" s="27" t="s">
        <v>1431</v>
      </c>
      <c r="D311" s="32" t="s">
        <v>154</v>
      </c>
      <c r="E311" s="183">
        <v>35</v>
      </c>
      <c r="F311" s="184" t="s">
        <v>455</v>
      </c>
      <c r="G311" s="268" t="s">
        <v>1437</v>
      </c>
      <c r="H311" s="31">
        <v>24</v>
      </c>
      <c r="I311" s="32">
        <v>19</v>
      </c>
      <c r="J311" s="33">
        <v>59.716999999999999</v>
      </c>
      <c r="K311" s="269" t="s">
        <v>1026</v>
      </c>
      <c r="L311" s="31">
        <v>123</v>
      </c>
      <c r="M311" s="35">
        <v>56</v>
      </c>
      <c r="N311" s="36">
        <v>51.875</v>
      </c>
      <c r="O311" s="37" t="s">
        <v>175</v>
      </c>
      <c r="P311" s="38" t="s">
        <v>346</v>
      </c>
      <c r="Q311" s="35" t="s">
        <v>18</v>
      </c>
      <c r="R311" s="36" t="s">
        <v>35</v>
      </c>
    </row>
    <row r="312" spans="1:18" ht="27.6" customHeight="1">
      <c r="A312" s="31" t="s">
        <v>1430</v>
      </c>
      <c r="B312" s="182">
        <v>13</v>
      </c>
      <c r="C312" s="27" t="s">
        <v>1431</v>
      </c>
      <c r="D312" s="32" t="s">
        <v>154</v>
      </c>
      <c r="E312" s="183">
        <v>36</v>
      </c>
      <c r="F312" s="184" t="s">
        <v>456</v>
      </c>
      <c r="G312" s="268" t="s">
        <v>1438</v>
      </c>
      <c r="H312" s="31">
        <v>24</v>
      </c>
      <c r="I312" s="32">
        <v>19</v>
      </c>
      <c r="J312" s="33">
        <v>35.72</v>
      </c>
      <c r="K312" s="269" t="s">
        <v>1027</v>
      </c>
      <c r="L312" s="31">
        <v>123</v>
      </c>
      <c r="M312" s="35">
        <v>56</v>
      </c>
      <c r="N312" s="36">
        <v>57.573999999999998</v>
      </c>
      <c r="O312" s="37" t="s">
        <v>139</v>
      </c>
      <c r="P312" s="38" t="s">
        <v>371</v>
      </c>
      <c r="Q312" s="35" t="s">
        <v>18</v>
      </c>
      <c r="R312" s="36">
        <v>5</v>
      </c>
    </row>
    <row r="313" spans="1:18" ht="27.6" customHeight="1">
      <c r="A313" s="31" t="s">
        <v>1430</v>
      </c>
      <c r="B313" s="182">
        <v>13</v>
      </c>
      <c r="C313" s="27" t="s">
        <v>1431</v>
      </c>
      <c r="D313" s="32" t="s">
        <v>154</v>
      </c>
      <c r="E313" s="183">
        <v>42</v>
      </c>
      <c r="F313" s="184" t="s">
        <v>457</v>
      </c>
      <c r="G313" s="268" t="s">
        <v>1439</v>
      </c>
      <c r="H313" s="31">
        <v>24</v>
      </c>
      <c r="I313" s="32">
        <v>20</v>
      </c>
      <c r="J313" s="33">
        <v>31.672999999999998</v>
      </c>
      <c r="K313" s="269" t="s">
        <v>1028</v>
      </c>
      <c r="L313" s="31">
        <v>124</v>
      </c>
      <c r="M313" s="35">
        <v>1</v>
      </c>
      <c r="N313" s="36">
        <v>58.746000000000002</v>
      </c>
      <c r="O313" s="37" t="s">
        <v>139</v>
      </c>
      <c r="P313" s="38" t="s">
        <v>164</v>
      </c>
      <c r="Q313" s="35" t="s">
        <v>18</v>
      </c>
      <c r="R313" s="36" t="s">
        <v>430</v>
      </c>
    </row>
    <row r="314" spans="1:18" ht="27.6" customHeight="1">
      <c r="A314" s="31" t="s">
        <v>1430</v>
      </c>
      <c r="B314" s="182">
        <v>13</v>
      </c>
      <c r="C314" s="27" t="s">
        <v>1431</v>
      </c>
      <c r="D314" s="32" t="s">
        <v>154</v>
      </c>
      <c r="E314" s="183">
        <v>43</v>
      </c>
      <c r="F314" s="184" t="s">
        <v>458</v>
      </c>
      <c r="G314" s="268" t="s">
        <v>1440</v>
      </c>
      <c r="H314" s="31">
        <v>24</v>
      </c>
      <c r="I314" s="32">
        <v>20</v>
      </c>
      <c r="J314" s="33">
        <v>56.271000000000001</v>
      </c>
      <c r="K314" s="269" t="s">
        <v>1029</v>
      </c>
      <c r="L314" s="31">
        <v>124</v>
      </c>
      <c r="M314" s="35">
        <v>2</v>
      </c>
      <c r="N314" s="36">
        <v>4.7450000000000001</v>
      </c>
      <c r="O314" s="37" t="s">
        <v>139</v>
      </c>
      <c r="P314" s="38" t="s">
        <v>164</v>
      </c>
      <c r="Q314" s="35" t="s">
        <v>18</v>
      </c>
      <c r="R314" s="36">
        <v>4</v>
      </c>
    </row>
    <row r="315" spans="1:18" ht="27.6" customHeight="1">
      <c r="A315" s="31" t="s">
        <v>1430</v>
      </c>
      <c r="B315" s="182">
        <v>13</v>
      </c>
      <c r="C315" s="27" t="s">
        <v>1431</v>
      </c>
      <c r="D315" s="32" t="s">
        <v>154</v>
      </c>
      <c r="E315" s="183">
        <v>44</v>
      </c>
      <c r="F315" s="184" t="s">
        <v>459</v>
      </c>
      <c r="G315" s="268" t="s">
        <v>1441</v>
      </c>
      <c r="H315" s="31">
        <v>24</v>
      </c>
      <c r="I315" s="32">
        <v>21</v>
      </c>
      <c r="J315" s="33">
        <v>29.768000000000001</v>
      </c>
      <c r="K315" s="269" t="s">
        <v>1030</v>
      </c>
      <c r="L315" s="31">
        <v>124</v>
      </c>
      <c r="M315" s="35">
        <v>2</v>
      </c>
      <c r="N315" s="36">
        <v>19.242999999999999</v>
      </c>
      <c r="O315" s="37" t="s">
        <v>130</v>
      </c>
      <c r="P315" s="38" t="s">
        <v>164</v>
      </c>
      <c r="Q315" s="35" t="s">
        <v>18</v>
      </c>
      <c r="R315" s="36" t="s">
        <v>133</v>
      </c>
    </row>
    <row r="316" spans="1:18" ht="27.6" customHeight="1">
      <c r="A316" s="31" t="s">
        <v>1430</v>
      </c>
      <c r="B316" s="182">
        <v>13</v>
      </c>
      <c r="C316" s="27" t="s">
        <v>1431</v>
      </c>
      <c r="D316" s="32" t="s">
        <v>154</v>
      </c>
      <c r="E316" s="183">
        <v>49</v>
      </c>
      <c r="F316" s="184" t="s">
        <v>460</v>
      </c>
      <c r="G316" s="268" t="s">
        <v>1442</v>
      </c>
      <c r="H316" s="31">
        <v>24</v>
      </c>
      <c r="I316" s="32">
        <v>20</v>
      </c>
      <c r="J316" s="33">
        <v>35.884999999999998</v>
      </c>
      <c r="K316" s="269" t="s">
        <v>1031</v>
      </c>
      <c r="L316" s="31">
        <v>124</v>
      </c>
      <c r="M316" s="35">
        <v>4</v>
      </c>
      <c r="N316" s="36">
        <v>2.149</v>
      </c>
      <c r="O316" s="37" t="s">
        <v>139</v>
      </c>
      <c r="P316" s="38" t="s">
        <v>346</v>
      </c>
      <c r="Q316" s="35" t="s">
        <v>18</v>
      </c>
      <c r="R316" s="36" t="s">
        <v>128</v>
      </c>
    </row>
    <row r="317" spans="1:18" ht="27.6" customHeight="1">
      <c r="A317" s="31" t="s">
        <v>1430</v>
      </c>
      <c r="B317" s="182">
        <v>13</v>
      </c>
      <c r="C317" s="27" t="s">
        <v>1431</v>
      </c>
      <c r="D317" s="32" t="s">
        <v>154</v>
      </c>
      <c r="E317" s="183">
        <v>50</v>
      </c>
      <c r="F317" s="184" t="s">
        <v>461</v>
      </c>
      <c r="G317" s="268" t="s">
        <v>1443</v>
      </c>
      <c r="H317" s="31">
        <v>24</v>
      </c>
      <c r="I317" s="32">
        <v>21</v>
      </c>
      <c r="J317" s="33">
        <v>5.8890000000000002</v>
      </c>
      <c r="K317" s="269" t="s">
        <v>1032</v>
      </c>
      <c r="L317" s="31">
        <v>124</v>
      </c>
      <c r="M317" s="35">
        <v>3</v>
      </c>
      <c r="N317" s="36">
        <v>43.844000000000001</v>
      </c>
      <c r="O317" s="37" t="s">
        <v>139</v>
      </c>
      <c r="P317" s="38" t="s">
        <v>184</v>
      </c>
      <c r="Q317" s="35" t="s">
        <v>18</v>
      </c>
      <c r="R317" s="36" t="s">
        <v>15</v>
      </c>
    </row>
    <row r="318" spans="1:18" ht="27.6" customHeight="1">
      <c r="A318" s="31" t="s">
        <v>1430</v>
      </c>
      <c r="B318" s="182">
        <v>13</v>
      </c>
      <c r="C318" s="27" t="s">
        <v>1431</v>
      </c>
      <c r="D318" s="32" t="s">
        <v>154</v>
      </c>
      <c r="E318" s="183">
        <v>51</v>
      </c>
      <c r="F318" s="184" t="s">
        <v>462</v>
      </c>
      <c r="G318" s="268" t="s">
        <v>1444</v>
      </c>
      <c r="H318" s="31">
        <v>24</v>
      </c>
      <c r="I318" s="32">
        <v>20</v>
      </c>
      <c r="J318" s="33">
        <v>53.881999999999998</v>
      </c>
      <c r="K318" s="269" t="s">
        <v>1033</v>
      </c>
      <c r="L318" s="31">
        <v>124</v>
      </c>
      <c r="M318" s="35">
        <v>5</v>
      </c>
      <c r="N318" s="36">
        <v>6.1440000000000001</v>
      </c>
      <c r="O318" s="37" t="s">
        <v>175</v>
      </c>
      <c r="P318" s="38" t="s">
        <v>346</v>
      </c>
      <c r="Q318" s="35" t="s">
        <v>18</v>
      </c>
      <c r="R318" s="36" t="s">
        <v>35</v>
      </c>
    </row>
    <row r="319" spans="1:18" ht="27.6" customHeight="1">
      <c r="A319" s="31" t="s">
        <v>1430</v>
      </c>
      <c r="B319" s="182">
        <v>13</v>
      </c>
      <c r="C319" s="27" t="s">
        <v>1431</v>
      </c>
      <c r="D319" s="32" t="s">
        <v>154</v>
      </c>
      <c r="E319" s="183">
        <v>52</v>
      </c>
      <c r="F319" s="184" t="s">
        <v>463</v>
      </c>
      <c r="G319" s="268" t="s">
        <v>1445</v>
      </c>
      <c r="H319" s="31">
        <v>24</v>
      </c>
      <c r="I319" s="32">
        <v>20</v>
      </c>
      <c r="J319" s="33">
        <v>44.582000000000001</v>
      </c>
      <c r="K319" s="269" t="s">
        <v>1034</v>
      </c>
      <c r="L319" s="31">
        <v>124</v>
      </c>
      <c r="M319" s="35">
        <v>5</v>
      </c>
      <c r="N319" s="36">
        <v>33.442</v>
      </c>
      <c r="O319" s="37" t="s">
        <v>175</v>
      </c>
      <c r="P319" s="38" t="s">
        <v>346</v>
      </c>
      <c r="Q319" s="35" t="s">
        <v>18</v>
      </c>
      <c r="R319" s="36" t="s">
        <v>35</v>
      </c>
    </row>
    <row r="320" spans="1:18" ht="27.6" customHeight="1">
      <c r="A320" s="31" t="s">
        <v>1430</v>
      </c>
      <c r="B320" s="182">
        <v>13</v>
      </c>
      <c r="C320" s="27" t="s">
        <v>1431</v>
      </c>
      <c r="D320" s="32" t="s">
        <v>154</v>
      </c>
      <c r="E320" s="183">
        <v>53</v>
      </c>
      <c r="F320" s="184" t="s">
        <v>464</v>
      </c>
      <c r="G320" s="268" t="s">
        <v>1446</v>
      </c>
      <c r="H320" s="31">
        <v>24</v>
      </c>
      <c r="I320" s="32">
        <v>20</v>
      </c>
      <c r="J320" s="33">
        <v>21.283999999999999</v>
      </c>
      <c r="K320" s="269" t="s">
        <v>1035</v>
      </c>
      <c r="L320" s="31">
        <v>124</v>
      </c>
      <c r="M320" s="35">
        <v>6</v>
      </c>
      <c r="N320" s="33">
        <v>2.84</v>
      </c>
      <c r="O320" s="37" t="s">
        <v>175</v>
      </c>
      <c r="P320" s="38" t="s">
        <v>346</v>
      </c>
      <c r="Q320" s="35" t="s">
        <v>18</v>
      </c>
      <c r="R320" s="36" t="s">
        <v>465</v>
      </c>
    </row>
    <row r="321" spans="1:18" ht="27.6" customHeight="1">
      <c r="A321" s="31" t="s">
        <v>1430</v>
      </c>
      <c r="B321" s="182">
        <v>13</v>
      </c>
      <c r="C321" s="27" t="s">
        <v>1431</v>
      </c>
      <c r="D321" s="32" t="s">
        <v>154</v>
      </c>
      <c r="E321" s="183">
        <v>62</v>
      </c>
      <c r="F321" s="184" t="s">
        <v>466</v>
      </c>
      <c r="G321" s="268" t="s">
        <v>1447</v>
      </c>
      <c r="H321" s="31">
        <v>24</v>
      </c>
      <c r="I321" s="32">
        <v>19</v>
      </c>
      <c r="J321" s="33">
        <v>41.02</v>
      </c>
      <c r="K321" s="269" t="s">
        <v>1036</v>
      </c>
      <c r="L321" s="31">
        <v>123</v>
      </c>
      <c r="M321" s="35">
        <v>56</v>
      </c>
      <c r="N321" s="36">
        <v>32.875999999999998</v>
      </c>
      <c r="O321" s="37" t="s">
        <v>175</v>
      </c>
      <c r="P321" s="38" t="s">
        <v>382</v>
      </c>
      <c r="Q321" s="35" t="s">
        <v>18</v>
      </c>
      <c r="R321" s="36" t="s">
        <v>128</v>
      </c>
    </row>
    <row r="322" spans="1:18" ht="27.6" customHeight="1">
      <c r="A322" s="31" t="s">
        <v>1430</v>
      </c>
      <c r="B322" s="182">
        <v>13</v>
      </c>
      <c r="C322" s="27" t="s">
        <v>1431</v>
      </c>
      <c r="D322" s="32" t="s">
        <v>154</v>
      </c>
      <c r="E322" s="183">
        <v>63</v>
      </c>
      <c r="F322" s="184" t="s">
        <v>467</v>
      </c>
      <c r="G322" s="268" t="s">
        <v>1448</v>
      </c>
      <c r="H322" s="31">
        <v>24</v>
      </c>
      <c r="I322" s="32">
        <v>19</v>
      </c>
      <c r="J322" s="33">
        <v>56.417999999999999</v>
      </c>
      <c r="K322" s="269" t="s">
        <v>1037</v>
      </c>
      <c r="L322" s="31">
        <v>123</v>
      </c>
      <c r="M322" s="35">
        <v>56</v>
      </c>
      <c r="N322" s="36">
        <v>34.877000000000002</v>
      </c>
      <c r="O322" s="37" t="s">
        <v>175</v>
      </c>
      <c r="P322" s="38" t="s">
        <v>346</v>
      </c>
      <c r="Q322" s="35" t="s">
        <v>18</v>
      </c>
      <c r="R322" s="36" t="s">
        <v>364</v>
      </c>
    </row>
    <row r="323" spans="1:18" ht="27.6" customHeight="1">
      <c r="A323" s="31" t="s">
        <v>1430</v>
      </c>
      <c r="B323" s="182">
        <v>13</v>
      </c>
      <c r="C323" s="27" t="s">
        <v>1431</v>
      </c>
      <c r="D323" s="32" t="s">
        <v>154</v>
      </c>
      <c r="E323" s="183">
        <v>64</v>
      </c>
      <c r="F323" s="184" t="s">
        <v>468</v>
      </c>
      <c r="G323" s="268" t="s">
        <v>1449</v>
      </c>
      <c r="H323" s="31">
        <v>24</v>
      </c>
      <c r="I323" s="32">
        <v>20</v>
      </c>
      <c r="J323" s="33">
        <v>54.512</v>
      </c>
      <c r="K323" s="269" t="s">
        <v>1038</v>
      </c>
      <c r="L323" s="31">
        <v>123</v>
      </c>
      <c r="M323" s="35">
        <v>56</v>
      </c>
      <c r="N323" s="36">
        <v>46.277000000000001</v>
      </c>
      <c r="O323" s="37" t="s">
        <v>175</v>
      </c>
      <c r="P323" s="38" t="s">
        <v>346</v>
      </c>
      <c r="Q323" s="35" t="s">
        <v>18</v>
      </c>
      <c r="R323" s="36" t="s">
        <v>112</v>
      </c>
    </row>
    <row r="324" spans="1:18" ht="27.6" customHeight="1">
      <c r="A324" s="31" t="s">
        <v>1430</v>
      </c>
      <c r="B324" s="182">
        <v>13</v>
      </c>
      <c r="C324" s="27" t="s">
        <v>1431</v>
      </c>
      <c r="D324" s="32" t="s">
        <v>154</v>
      </c>
      <c r="E324" s="183">
        <v>65</v>
      </c>
      <c r="F324" s="184" t="s">
        <v>469</v>
      </c>
      <c r="G324" s="268" t="s">
        <v>1450</v>
      </c>
      <c r="H324" s="31">
        <v>24</v>
      </c>
      <c r="I324" s="32">
        <v>21</v>
      </c>
      <c r="J324" s="33">
        <v>32.107999999999997</v>
      </c>
      <c r="K324" s="269" t="s">
        <v>1039</v>
      </c>
      <c r="L324" s="31">
        <v>123</v>
      </c>
      <c r="M324" s="35">
        <v>56</v>
      </c>
      <c r="N324" s="36">
        <v>54.177</v>
      </c>
      <c r="O324" s="37" t="s">
        <v>175</v>
      </c>
      <c r="P324" s="38" t="s">
        <v>346</v>
      </c>
      <c r="Q324" s="35" t="s">
        <v>18</v>
      </c>
      <c r="R324" s="36" t="s">
        <v>75</v>
      </c>
    </row>
    <row r="325" spans="1:18" ht="27.6" customHeight="1">
      <c r="A325" s="31" t="s">
        <v>1430</v>
      </c>
      <c r="B325" s="182">
        <v>13</v>
      </c>
      <c r="C325" s="27" t="s">
        <v>1431</v>
      </c>
      <c r="D325" s="32" t="s">
        <v>154</v>
      </c>
      <c r="E325" s="183">
        <v>67</v>
      </c>
      <c r="F325" s="184" t="s">
        <v>470</v>
      </c>
      <c r="G325" s="268" t="s">
        <v>1451</v>
      </c>
      <c r="H325" s="31">
        <v>24</v>
      </c>
      <c r="I325" s="32">
        <v>20</v>
      </c>
      <c r="J325" s="33">
        <v>10.775</v>
      </c>
      <c r="K325" s="269" t="s">
        <v>1040</v>
      </c>
      <c r="L325" s="31">
        <v>124</v>
      </c>
      <c r="M325" s="35">
        <v>1</v>
      </c>
      <c r="N325" s="36">
        <v>11.548999999999999</v>
      </c>
      <c r="O325" s="37" t="s">
        <v>139</v>
      </c>
      <c r="P325" s="38" t="s">
        <v>371</v>
      </c>
      <c r="Q325" s="35" t="s">
        <v>18</v>
      </c>
      <c r="R325" s="36" t="s">
        <v>62</v>
      </c>
    </row>
    <row r="326" spans="1:18" ht="27.6" customHeight="1">
      <c r="A326" s="31" t="s">
        <v>1430</v>
      </c>
      <c r="B326" s="182">
        <v>13</v>
      </c>
      <c r="C326" s="27" t="s">
        <v>1431</v>
      </c>
      <c r="D326" s="32" t="s">
        <v>154</v>
      </c>
      <c r="E326" s="183">
        <v>68</v>
      </c>
      <c r="F326" s="184" t="s">
        <v>471</v>
      </c>
      <c r="G326" s="268" t="s">
        <v>1452</v>
      </c>
      <c r="H326" s="31">
        <v>24</v>
      </c>
      <c r="I326" s="32">
        <v>21</v>
      </c>
      <c r="J326" s="33">
        <v>46.566000000000003</v>
      </c>
      <c r="K326" s="269" t="s">
        <v>1041</v>
      </c>
      <c r="L326" s="31">
        <v>124</v>
      </c>
      <c r="M326" s="35">
        <v>1</v>
      </c>
      <c r="N326" s="36">
        <v>18.449000000000002</v>
      </c>
      <c r="O326" s="37" t="s">
        <v>130</v>
      </c>
      <c r="P326" s="38" t="s">
        <v>346</v>
      </c>
      <c r="Q326" s="35" t="s">
        <v>18</v>
      </c>
      <c r="R326" s="36" t="s">
        <v>133</v>
      </c>
    </row>
    <row r="327" spans="1:18" ht="27.6" customHeight="1">
      <c r="A327" s="31" t="s">
        <v>1430</v>
      </c>
      <c r="B327" s="182">
        <v>13</v>
      </c>
      <c r="C327" s="27" t="s">
        <v>1431</v>
      </c>
      <c r="D327" s="32" t="s">
        <v>154</v>
      </c>
      <c r="E327" s="183">
        <v>71</v>
      </c>
      <c r="F327" s="184" t="s">
        <v>472</v>
      </c>
      <c r="G327" s="268" t="s">
        <v>1453</v>
      </c>
      <c r="H327" s="31">
        <v>24</v>
      </c>
      <c r="I327" s="32">
        <v>21</v>
      </c>
      <c r="J327" s="33">
        <v>52.165999999999997</v>
      </c>
      <c r="K327" s="269" t="s">
        <v>1454</v>
      </c>
      <c r="L327" s="31">
        <v>124</v>
      </c>
      <c r="M327" s="35">
        <v>2</v>
      </c>
      <c r="N327" s="33">
        <v>29.641999999999999</v>
      </c>
      <c r="O327" s="37" t="s">
        <v>175</v>
      </c>
      <c r="P327" s="38" t="s">
        <v>184</v>
      </c>
      <c r="Q327" s="35" t="s">
        <v>18</v>
      </c>
      <c r="R327" s="36" t="s">
        <v>75</v>
      </c>
    </row>
    <row r="328" spans="1:18" ht="27.6" customHeight="1">
      <c r="A328" s="31" t="s">
        <v>1430</v>
      </c>
      <c r="B328" s="182">
        <v>13</v>
      </c>
      <c r="C328" s="27" t="s">
        <v>1431</v>
      </c>
      <c r="D328" s="32" t="s">
        <v>154</v>
      </c>
      <c r="E328" s="183">
        <v>72</v>
      </c>
      <c r="F328" s="184" t="s">
        <v>473</v>
      </c>
      <c r="G328" s="268" t="s">
        <v>1455</v>
      </c>
      <c r="H328" s="31">
        <v>24</v>
      </c>
      <c r="I328" s="32">
        <v>22</v>
      </c>
      <c r="J328" s="33">
        <v>10.768000000000001</v>
      </c>
      <c r="K328" s="269" t="s">
        <v>1456</v>
      </c>
      <c r="L328" s="31">
        <v>124</v>
      </c>
      <c r="M328" s="35">
        <v>0</v>
      </c>
      <c r="N328" s="33">
        <v>34.765000000000001</v>
      </c>
      <c r="O328" s="37" t="s">
        <v>175</v>
      </c>
      <c r="P328" s="38" t="s">
        <v>184</v>
      </c>
      <c r="Q328" s="35" t="s">
        <v>18</v>
      </c>
      <c r="R328" s="36" t="s">
        <v>99</v>
      </c>
    </row>
    <row r="329" spans="1:18" ht="27.6" customHeight="1">
      <c r="A329" s="31" t="s">
        <v>1430</v>
      </c>
      <c r="B329" s="182">
        <v>13</v>
      </c>
      <c r="C329" s="27" t="s">
        <v>1431</v>
      </c>
      <c r="D329" s="32" t="s">
        <v>154</v>
      </c>
      <c r="E329" s="183">
        <v>73</v>
      </c>
      <c r="F329" s="184" t="s">
        <v>474</v>
      </c>
      <c r="G329" s="268" t="s">
        <v>1457</v>
      </c>
      <c r="H329" s="31">
        <v>24</v>
      </c>
      <c r="I329" s="32">
        <v>22</v>
      </c>
      <c r="J329" s="33">
        <v>12.903</v>
      </c>
      <c r="K329" s="269" t="s">
        <v>1042</v>
      </c>
      <c r="L329" s="31">
        <v>123</v>
      </c>
      <c r="M329" s="35">
        <v>59</v>
      </c>
      <c r="N329" s="36">
        <v>23.364999999999998</v>
      </c>
      <c r="O329" s="37" t="s">
        <v>175</v>
      </c>
      <c r="P329" s="38" t="s">
        <v>184</v>
      </c>
      <c r="Q329" s="35" t="s">
        <v>18</v>
      </c>
      <c r="R329" s="36" t="s">
        <v>15</v>
      </c>
    </row>
    <row r="330" spans="1:18" ht="27.6" customHeight="1">
      <c r="A330" s="31" t="s">
        <v>1430</v>
      </c>
      <c r="B330" s="182">
        <v>13</v>
      </c>
      <c r="C330" s="27" t="s">
        <v>1431</v>
      </c>
      <c r="D330" s="32" t="s">
        <v>154</v>
      </c>
      <c r="E330" s="183">
        <v>74</v>
      </c>
      <c r="F330" s="184" t="s">
        <v>475</v>
      </c>
      <c r="G330" s="268" t="s">
        <v>1458</v>
      </c>
      <c r="H330" s="31">
        <v>24</v>
      </c>
      <c r="I330" s="32">
        <v>22</v>
      </c>
      <c r="J330" s="33">
        <v>16.902000000000001</v>
      </c>
      <c r="K330" s="269" t="s">
        <v>1043</v>
      </c>
      <c r="L330" s="31">
        <v>123</v>
      </c>
      <c r="M330" s="35">
        <v>58</v>
      </c>
      <c r="N330" s="33">
        <v>28.07</v>
      </c>
      <c r="O330" s="37" t="s">
        <v>175</v>
      </c>
      <c r="P330" s="38" t="s">
        <v>184</v>
      </c>
      <c r="Q330" s="35" t="s">
        <v>18</v>
      </c>
      <c r="R330" s="36" t="s">
        <v>85</v>
      </c>
    </row>
    <row r="331" spans="1:18" ht="27.6" customHeight="1">
      <c r="A331" s="31" t="s">
        <v>1430</v>
      </c>
      <c r="B331" s="182">
        <v>13</v>
      </c>
      <c r="C331" s="27" t="s">
        <v>1431</v>
      </c>
      <c r="D331" s="32" t="s">
        <v>154</v>
      </c>
      <c r="E331" s="183">
        <v>75</v>
      </c>
      <c r="F331" s="184" t="s">
        <v>476</v>
      </c>
      <c r="G331" s="268" t="s">
        <v>1459</v>
      </c>
      <c r="H331" s="31">
        <v>24</v>
      </c>
      <c r="I331" s="32">
        <v>21</v>
      </c>
      <c r="J331" s="33">
        <v>33.508000000000003</v>
      </c>
      <c r="K331" s="269" t="s">
        <v>1044</v>
      </c>
      <c r="L331" s="31">
        <v>123</v>
      </c>
      <c r="M331" s="35">
        <v>57</v>
      </c>
      <c r="N331" s="36">
        <v>18.375</v>
      </c>
      <c r="O331" s="37" t="s">
        <v>175</v>
      </c>
      <c r="P331" s="38" t="s">
        <v>156</v>
      </c>
      <c r="Q331" s="35" t="s">
        <v>18</v>
      </c>
      <c r="R331" s="36" t="s">
        <v>15</v>
      </c>
    </row>
    <row r="332" spans="1:18" ht="27.6" customHeight="1">
      <c r="A332" s="31" t="s">
        <v>1430</v>
      </c>
      <c r="B332" s="182">
        <v>13</v>
      </c>
      <c r="C332" s="27" t="s">
        <v>1431</v>
      </c>
      <c r="D332" s="32" t="s">
        <v>154</v>
      </c>
      <c r="E332" s="183">
        <v>110</v>
      </c>
      <c r="F332" s="184" t="s">
        <v>477</v>
      </c>
      <c r="G332" s="268" t="s">
        <v>1460</v>
      </c>
      <c r="H332" s="31">
        <v>24</v>
      </c>
      <c r="I332" s="32">
        <v>20</v>
      </c>
      <c r="J332" s="33">
        <v>9.4749999999999996</v>
      </c>
      <c r="K332" s="269" t="s">
        <v>1045</v>
      </c>
      <c r="L332" s="31">
        <v>124</v>
      </c>
      <c r="M332" s="35">
        <v>0</v>
      </c>
      <c r="N332" s="36">
        <v>32.853000000000002</v>
      </c>
      <c r="O332" s="37" t="s">
        <v>139</v>
      </c>
      <c r="P332" s="38" t="s">
        <v>371</v>
      </c>
      <c r="Q332" s="35" t="s">
        <v>18</v>
      </c>
      <c r="R332" s="36" t="s">
        <v>133</v>
      </c>
    </row>
    <row r="333" spans="1:18" ht="27.6" customHeight="1">
      <c r="A333" s="31" t="s">
        <v>1430</v>
      </c>
      <c r="B333" s="182">
        <v>13</v>
      </c>
      <c r="C333" s="27" t="s">
        <v>1431</v>
      </c>
      <c r="D333" s="32" t="s">
        <v>154</v>
      </c>
      <c r="E333" s="183">
        <v>112</v>
      </c>
      <c r="F333" s="184" t="s">
        <v>478</v>
      </c>
      <c r="G333" s="268" t="s">
        <v>1461</v>
      </c>
      <c r="H333" s="31">
        <v>24</v>
      </c>
      <c r="I333" s="32">
        <v>20</v>
      </c>
      <c r="J333" s="33">
        <v>19.686</v>
      </c>
      <c r="K333" s="269" t="s">
        <v>1046</v>
      </c>
      <c r="L333" s="31">
        <v>124</v>
      </c>
      <c r="M333" s="35">
        <v>4</v>
      </c>
      <c r="N333" s="36">
        <v>14.747999999999999</v>
      </c>
      <c r="O333" s="37" t="s">
        <v>175</v>
      </c>
      <c r="P333" s="38" t="s">
        <v>371</v>
      </c>
      <c r="Q333" s="35" t="s">
        <v>18</v>
      </c>
      <c r="R333" s="36" t="s">
        <v>35</v>
      </c>
    </row>
    <row r="334" spans="1:18" ht="27.6" customHeight="1" thickBot="1">
      <c r="A334" s="99" t="s">
        <v>1430</v>
      </c>
      <c r="B334" s="185">
        <v>13</v>
      </c>
      <c r="C334" s="48" t="s">
        <v>1431</v>
      </c>
      <c r="D334" s="100" t="s">
        <v>154</v>
      </c>
      <c r="E334" s="186">
        <v>116</v>
      </c>
      <c r="F334" s="187" t="s">
        <v>479</v>
      </c>
      <c r="G334" s="270" t="s">
        <v>1462</v>
      </c>
      <c r="H334" s="99">
        <v>24</v>
      </c>
      <c r="I334" s="100">
        <v>22</v>
      </c>
      <c r="J334" s="101">
        <v>16.803999999999998</v>
      </c>
      <c r="K334" s="271" t="s">
        <v>1047</v>
      </c>
      <c r="L334" s="99">
        <v>123</v>
      </c>
      <c r="M334" s="56">
        <v>56</v>
      </c>
      <c r="N334" s="53">
        <v>59.777999999999999</v>
      </c>
      <c r="O334" s="54" t="s">
        <v>175</v>
      </c>
      <c r="P334" s="55" t="s">
        <v>184</v>
      </c>
      <c r="Q334" s="56" t="s">
        <v>18</v>
      </c>
      <c r="R334" s="53" t="s">
        <v>85</v>
      </c>
    </row>
    <row r="335" spans="1:18" ht="27.6" customHeight="1" thickTop="1">
      <c r="A335" s="103" t="s">
        <v>1463</v>
      </c>
      <c r="B335" s="189">
        <v>14</v>
      </c>
      <c r="C335" s="59" t="s">
        <v>1464</v>
      </c>
      <c r="D335" s="60" t="s">
        <v>154</v>
      </c>
      <c r="E335" s="190">
        <v>46</v>
      </c>
      <c r="F335" s="191" t="s">
        <v>480</v>
      </c>
      <c r="G335" s="272" t="s">
        <v>1465</v>
      </c>
      <c r="H335" s="103">
        <v>24</v>
      </c>
      <c r="I335" s="60">
        <v>18</v>
      </c>
      <c r="J335" s="104">
        <v>28.992999999999999</v>
      </c>
      <c r="K335" s="273" t="s">
        <v>1048</v>
      </c>
      <c r="L335" s="103">
        <v>124</v>
      </c>
      <c r="M335" s="105">
        <v>3</v>
      </c>
      <c r="N335" s="65">
        <v>12.955</v>
      </c>
      <c r="O335" s="106" t="s">
        <v>139</v>
      </c>
      <c r="P335" s="107" t="s">
        <v>346</v>
      </c>
      <c r="Q335" s="105" t="s">
        <v>18</v>
      </c>
      <c r="R335" s="65" t="s">
        <v>99</v>
      </c>
    </row>
    <row r="336" spans="1:18" ht="27.6" customHeight="1">
      <c r="A336" s="31" t="s">
        <v>1463</v>
      </c>
      <c r="B336" s="182">
        <v>14</v>
      </c>
      <c r="C336" s="27" t="s">
        <v>1464</v>
      </c>
      <c r="D336" s="32" t="s">
        <v>154</v>
      </c>
      <c r="E336" s="183">
        <v>47</v>
      </c>
      <c r="F336" s="184" t="s">
        <v>481</v>
      </c>
      <c r="G336" s="268" t="s">
        <v>1466</v>
      </c>
      <c r="H336" s="31">
        <v>24</v>
      </c>
      <c r="I336" s="32">
        <v>18</v>
      </c>
      <c r="J336" s="33">
        <v>52.591999999999999</v>
      </c>
      <c r="K336" s="269" t="s">
        <v>1049</v>
      </c>
      <c r="L336" s="31">
        <v>124</v>
      </c>
      <c r="M336" s="35">
        <v>4</v>
      </c>
      <c r="N336" s="33">
        <v>4.75</v>
      </c>
      <c r="O336" s="37" t="s">
        <v>175</v>
      </c>
      <c r="P336" s="38" t="s">
        <v>346</v>
      </c>
      <c r="Q336" s="35" t="s">
        <v>18</v>
      </c>
      <c r="R336" s="36" t="s">
        <v>372</v>
      </c>
    </row>
    <row r="337" spans="1:18" ht="27.6" customHeight="1">
      <c r="A337" s="31" t="s">
        <v>1463</v>
      </c>
      <c r="B337" s="182">
        <v>14</v>
      </c>
      <c r="C337" s="27" t="s">
        <v>1464</v>
      </c>
      <c r="D337" s="32" t="s">
        <v>154</v>
      </c>
      <c r="E337" s="183">
        <v>54</v>
      </c>
      <c r="F337" s="184" t="s">
        <v>482</v>
      </c>
      <c r="G337" s="268" t="s">
        <v>1467</v>
      </c>
      <c r="H337" s="31">
        <v>24</v>
      </c>
      <c r="I337" s="32">
        <v>19</v>
      </c>
      <c r="J337" s="33">
        <v>19.187000000000001</v>
      </c>
      <c r="K337" s="269" t="s">
        <v>1050</v>
      </c>
      <c r="L337" s="31">
        <v>124</v>
      </c>
      <c r="M337" s="35">
        <v>6</v>
      </c>
      <c r="N337" s="36">
        <v>27.538</v>
      </c>
      <c r="O337" s="37" t="s">
        <v>139</v>
      </c>
      <c r="P337" s="38" t="s">
        <v>346</v>
      </c>
      <c r="Q337" s="35" t="s">
        <v>18</v>
      </c>
      <c r="R337" s="36" t="s">
        <v>133</v>
      </c>
    </row>
    <row r="338" spans="1:18" ht="27.6" customHeight="1">
      <c r="A338" s="31" t="s">
        <v>1463</v>
      </c>
      <c r="B338" s="182">
        <v>14</v>
      </c>
      <c r="C338" s="27" t="s">
        <v>1464</v>
      </c>
      <c r="D338" s="32" t="s">
        <v>154</v>
      </c>
      <c r="E338" s="183">
        <v>76</v>
      </c>
      <c r="F338" s="184" t="s">
        <v>483</v>
      </c>
      <c r="G338" s="268" t="s">
        <v>1468</v>
      </c>
      <c r="H338" s="31">
        <v>24</v>
      </c>
      <c r="I338" s="32">
        <v>18</v>
      </c>
      <c r="J338" s="33">
        <v>42.19</v>
      </c>
      <c r="K338" s="269" t="s">
        <v>1051</v>
      </c>
      <c r="L338" s="31">
        <v>124</v>
      </c>
      <c r="M338" s="35">
        <v>6</v>
      </c>
      <c r="N338" s="36">
        <v>32.438000000000002</v>
      </c>
      <c r="O338" s="37" t="s">
        <v>139</v>
      </c>
      <c r="P338" s="38" t="s">
        <v>371</v>
      </c>
      <c r="Q338" s="35" t="s">
        <v>18</v>
      </c>
      <c r="R338" s="36" t="s">
        <v>133</v>
      </c>
    </row>
    <row r="339" spans="1:18" ht="27.6" customHeight="1">
      <c r="A339" s="31" t="s">
        <v>1463</v>
      </c>
      <c r="B339" s="182">
        <v>14</v>
      </c>
      <c r="C339" s="27" t="s">
        <v>1464</v>
      </c>
      <c r="D339" s="32" t="s">
        <v>154</v>
      </c>
      <c r="E339" s="183">
        <v>77</v>
      </c>
      <c r="F339" s="184" t="s">
        <v>484</v>
      </c>
      <c r="G339" s="268" t="s">
        <v>1469</v>
      </c>
      <c r="H339" s="31">
        <v>24</v>
      </c>
      <c r="I339" s="32">
        <v>17</v>
      </c>
      <c r="J339" s="33">
        <v>25.899000000000001</v>
      </c>
      <c r="K339" s="269" t="s">
        <v>1052</v>
      </c>
      <c r="L339" s="31">
        <v>124</v>
      </c>
      <c r="M339" s="35">
        <v>7</v>
      </c>
      <c r="N339" s="36">
        <v>42.134</v>
      </c>
      <c r="O339" s="37" t="s">
        <v>130</v>
      </c>
      <c r="P339" s="38" t="s">
        <v>346</v>
      </c>
      <c r="Q339" s="35" t="s">
        <v>18</v>
      </c>
      <c r="R339" s="36" t="s">
        <v>133</v>
      </c>
    </row>
    <row r="340" spans="1:18" ht="27.6" customHeight="1">
      <c r="A340" s="31" t="s">
        <v>1463</v>
      </c>
      <c r="B340" s="182">
        <v>14</v>
      </c>
      <c r="C340" s="27" t="s">
        <v>1464</v>
      </c>
      <c r="D340" s="32" t="s">
        <v>154</v>
      </c>
      <c r="E340" s="183">
        <v>78</v>
      </c>
      <c r="F340" s="184" t="s">
        <v>485</v>
      </c>
      <c r="G340" s="268" t="s">
        <v>1470</v>
      </c>
      <c r="H340" s="31">
        <v>24</v>
      </c>
      <c r="I340" s="32">
        <v>17</v>
      </c>
      <c r="J340" s="33">
        <v>5.3010000000000002</v>
      </c>
      <c r="K340" s="269" t="s">
        <v>1053</v>
      </c>
      <c r="L340" s="31">
        <v>124</v>
      </c>
      <c r="M340" s="35">
        <v>8</v>
      </c>
      <c r="N340" s="36">
        <v>33.628999999999998</v>
      </c>
      <c r="O340" s="37" t="s">
        <v>130</v>
      </c>
      <c r="P340" s="38" t="s">
        <v>346</v>
      </c>
      <c r="Q340" s="35" t="s">
        <v>18</v>
      </c>
      <c r="R340" s="36" t="s">
        <v>128</v>
      </c>
    </row>
    <row r="341" spans="1:18" ht="27.6" customHeight="1">
      <c r="A341" s="31" t="s">
        <v>1463</v>
      </c>
      <c r="B341" s="182">
        <v>14</v>
      </c>
      <c r="C341" s="27" t="s">
        <v>1464</v>
      </c>
      <c r="D341" s="32" t="s">
        <v>154</v>
      </c>
      <c r="E341" s="183">
        <v>79</v>
      </c>
      <c r="F341" s="184" t="s">
        <v>486</v>
      </c>
      <c r="G341" s="268" t="s">
        <v>1471</v>
      </c>
      <c r="H341" s="31">
        <v>24</v>
      </c>
      <c r="I341" s="32">
        <v>17</v>
      </c>
      <c r="J341" s="33">
        <v>7.7009999999999996</v>
      </c>
      <c r="K341" s="269" t="s">
        <v>1054</v>
      </c>
      <c r="L341" s="31">
        <v>124</v>
      </c>
      <c r="M341" s="35">
        <v>8</v>
      </c>
      <c r="N341" s="36">
        <v>58.326999999999998</v>
      </c>
      <c r="O341" s="37" t="s">
        <v>175</v>
      </c>
      <c r="P341" s="38" t="s">
        <v>156</v>
      </c>
      <c r="Q341" s="35" t="s">
        <v>18</v>
      </c>
      <c r="R341" s="36" t="s">
        <v>77</v>
      </c>
    </row>
    <row r="342" spans="1:18" ht="27.6" customHeight="1">
      <c r="A342" s="31" t="s">
        <v>1463</v>
      </c>
      <c r="B342" s="182">
        <v>14</v>
      </c>
      <c r="C342" s="27" t="s">
        <v>1464</v>
      </c>
      <c r="D342" s="32" t="s">
        <v>154</v>
      </c>
      <c r="E342" s="183">
        <v>80</v>
      </c>
      <c r="F342" s="184" t="s">
        <v>487</v>
      </c>
      <c r="G342" s="268" t="s">
        <v>1472</v>
      </c>
      <c r="H342" s="31">
        <v>24</v>
      </c>
      <c r="I342" s="32">
        <v>16</v>
      </c>
      <c r="J342" s="33">
        <v>28.404</v>
      </c>
      <c r="K342" s="269" t="s">
        <v>1055</v>
      </c>
      <c r="L342" s="31">
        <v>124</v>
      </c>
      <c r="M342" s="35">
        <v>9</v>
      </c>
      <c r="N342" s="36">
        <v>9.1280000000000001</v>
      </c>
      <c r="O342" s="37" t="s">
        <v>130</v>
      </c>
      <c r="P342" s="38" t="s">
        <v>184</v>
      </c>
      <c r="Q342" s="35" t="s">
        <v>18</v>
      </c>
      <c r="R342" s="36" t="s">
        <v>133</v>
      </c>
    </row>
    <row r="343" spans="1:18" ht="27.6" customHeight="1">
      <c r="A343" s="31" t="s">
        <v>1463</v>
      </c>
      <c r="B343" s="182">
        <v>14</v>
      </c>
      <c r="C343" s="27" t="s">
        <v>1464</v>
      </c>
      <c r="D343" s="32" t="s">
        <v>154</v>
      </c>
      <c r="E343" s="183">
        <v>81</v>
      </c>
      <c r="F343" s="184" t="s">
        <v>488</v>
      </c>
      <c r="G343" s="268" t="s">
        <v>1473</v>
      </c>
      <c r="H343" s="31">
        <v>24</v>
      </c>
      <c r="I343" s="32">
        <v>16</v>
      </c>
      <c r="J343" s="33">
        <v>3.8079999999999998</v>
      </c>
      <c r="K343" s="269" t="s">
        <v>1056</v>
      </c>
      <c r="L343" s="31">
        <v>124</v>
      </c>
      <c r="M343" s="35">
        <v>8</v>
      </c>
      <c r="N343" s="36">
        <v>2.9329999999999998</v>
      </c>
      <c r="O343" s="37" t="s">
        <v>130</v>
      </c>
      <c r="P343" s="38" t="s">
        <v>346</v>
      </c>
      <c r="Q343" s="35" t="s">
        <v>18</v>
      </c>
      <c r="R343" s="36" t="s">
        <v>128</v>
      </c>
    </row>
    <row r="344" spans="1:18" ht="27.6" customHeight="1">
      <c r="A344" s="31" t="s">
        <v>1463</v>
      </c>
      <c r="B344" s="182">
        <v>14</v>
      </c>
      <c r="C344" s="27" t="s">
        <v>1464</v>
      </c>
      <c r="D344" s="32" t="s">
        <v>154</v>
      </c>
      <c r="E344" s="183">
        <v>82</v>
      </c>
      <c r="F344" s="184" t="s">
        <v>489</v>
      </c>
      <c r="G344" s="268" t="s">
        <v>1474</v>
      </c>
      <c r="H344" s="31">
        <v>24</v>
      </c>
      <c r="I344" s="32">
        <v>15</v>
      </c>
      <c r="J344" s="33">
        <v>8.6129999999999995</v>
      </c>
      <c r="K344" s="269" t="s">
        <v>1057</v>
      </c>
      <c r="L344" s="31">
        <v>124</v>
      </c>
      <c r="M344" s="35">
        <v>6</v>
      </c>
      <c r="N344" s="36">
        <v>38.451999999999998</v>
      </c>
      <c r="O344" s="37" t="s">
        <v>130</v>
      </c>
      <c r="P344" s="38" t="s">
        <v>346</v>
      </c>
      <c r="Q344" s="35" t="s">
        <v>18</v>
      </c>
      <c r="R344" s="36" t="s">
        <v>35</v>
      </c>
    </row>
    <row r="345" spans="1:18" ht="27.6" customHeight="1">
      <c r="A345" s="31" t="s">
        <v>1463</v>
      </c>
      <c r="B345" s="182">
        <v>14</v>
      </c>
      <c r="C345" s="27" t="s">
        <v>1464</v>
      </c>
      <c r="D345" s="32" t="s">
        <v>154</v>
      </c>
      <c r="E345" s="183">
        <v>83</v>
      </c>
      <c r="F345" s="184" t="s">
        <v>490</v>
      </c>
      <c r="G345" s="268" t="s">
        <v>1475</v>
      </c>
      <c r="H345" s="31">
        <v>24</v>
      </c>
      <c r="I345" s="32">
        <v>15</v>
      </c>
      <c r="J345" s="33">
        <v>32.31</v>
      </c>
      <c r="K345" s="269" t="s">
        <v>1058</v>
      </c>
      <c r="L345" s="31">
        <v>124</v>
      </c>
      <c r="M345" s="35">
        <v>5</v>
      </c>
      <c r="N345" s="33">
        <v>46.93</v>
      </c>
      <c r="O345" s="37" t="s">
        <v>130</v>
      </c>
      <c r="P345" s="38" t="s">
        <v>184</v>
      </c>
      <c r="Q345" s="35" t="s">
        <v>18</v>
      </c>
      <c r="R345" s="36" t="s">
        <v>35</v>
      </c>
    </row>
    <row r="346" spans="1:18" ht="27.6" customHeight="1">
      <c r="A346" s="31" t="s">
        <v>1463</v>
      </c>
      <c r="B346" s="182">
        <v>14</v>
      </c>
      <c r="C346" s="27" t="s">
        <v>1464</v>
      </c>
      <c r="D346" s="32" t="s">
        <v>154</v>
      </c>
      <c r="E346" s="183">
        <v>84</v>
      </c>
      <c r="F346" s="184" t="s">
        <v>491</v>
      </c>
      <c r="G346" s="268" t="s">
        <v>1476</v>
      </c>
      <c r="H346" s="31">
        <v>24</v>
      </c>
      <c r="I346" s="32">
        <v>14</v>
      </c>
      <c r="J346" s="33">
        <v>50.415999999999997</v>
      </c>
      <c r="K346" s="269" t="s">
        <v>1059</v>
      </c>
      <c r="L346" s="31">
        <v>124</v>
      </c>
      <c r="M346" s="35">
        <v>6</v>
      </c>
      <c r="N346" s="36">
        <v>16.597000000000001</v>
      </c>
      <c r="O346" s="37" t="s">
        <v>175</v>
      </c>
      <c r="P346" s="38" t="s">
        <v>156</v>
      </c>
      <c r="Q346" s="35" t="s">
        <v>18</v>
      </c>
      <c r="R346" s="36" t="s">
        <v>107</v>
      </c>
    </row>
    <row r="347" spans="1:18" ht="27.6" customHeight="1">
      <c r="A347" s="31" t="s">
        <v>1463</v>
      </c>
      <c r="B347" s="182">
        <v>14</v>
      </c>
      <c r="C347" s="27" t="s">
        <v>1464</v>
      </c>
      <c r="D347" s="32" t="s">
        <v>154</v>
      </c>
      <c r="E347" s="183">
        <v>87</v>
      </c>
      <c r="F347" s="184" t="s">
        <v>492</v>
      </c>
      <c r="G347" s="268" t="s">
        <v>1477</v>
      </c>
      <c r="H347" s="31">
        <v>24</v>
      </c>
      <c r="I347" s="32">
        <v>18</v>
      </c>
      <c r="J347" s="33">
        <v>46.789000000000001</v>
      </c>
      <c r="K347" s="269" t="s">
        <v>1060</v>
      </c>
      <c r="L347" s="31">
        <v>124</v>
      </c>
      <c r="M347" s="35">
        <v>6</v>
      </c>
      <c r="N347" s="36">
        <v>38.238</v>
      </c>
      <c r="O347" s="37" t="s">
        <v>139</v>
      </c>
      <c r="P347" s="38" t="s">
        <v>346</v>
      </c>
      <c r="Q347" s="35" t="s">
        <v>18</v>
      </c>
      <c r="R347" s="36" t="s">
        <v>128</v>
      </c>
    </row>
    <row r="348" spans="1:18" ht="27.6" customHeight="1">
      <c r="A348" s="31" t="s">
        <v>1463</v>
      </c>
      <c r="B348" s="182">
        <v>14</v>
      </c>
      <c r="C348" s="27" t="s">
        <v>1464</v>
      </c>
      <c r="D348" s="32" t="s">
        <v>154</v>
      </c>
      <c r="E348" s="183">
        <v>88</v>
      </c>
      <c r="F348" s="184" t="s">
        <v>493</v>
      </c>
      <c r="G348" s="268" t="s">
        <v>1478</v>
      </c>
      <c r="H348" s="31">
        <v>24</v>
      </c>
      <c r="I348" s="32">
        <v>18</v>
      </c>
      <c r="J348" s="33">
        <v>15.493</v>
      </c>
      <c r="K348" s="269" t="s">
        <v>1061</v>
      </c>
      <c r="L348" s="31">
        <v>124</v>
      </c>
      <c r="M348" s="35">
        <v>7</v>
      </c>
      <c r="N348" s="36">
        <v>24.434999999999999</v>
      </c>
      <c r="O348" s="37" t="s">
        <v>139</v>
      </c>
      <c r="P348" s="38" t="s">
        <v>346</v>
      </c>
      <c r="Q348" s="35" t="s">
        <v>18</v>
      </c>
      <c r="R348" s="36" t="s">
        <v>128</v>
      </c>
    </row>
    <row r="349" spans="1:18" ht="27.6" customHeight="1">
      <c r="A349" s="31" t="s">
        <v>1463</v>
      </c>
      <c r="B349" s="182">
        <v>14</v>
      </c>
      <c r="C349" s="27" t="s">
        <v>1464</v>
      </c>
      <c r="D349" s="32" t="s">
        <v>154</v>
      </c>
      <c r="E349" s="183">
        <v>89</v>
      </c>
      <c r="F349" s="184" t="s">
        <v>494</v>
      </c>
      <c r="G349" s="268" t="s">
        <v>1479</v>
      </c>
      <c r="H349" s="31">
        <v>24</v>
      </c>
      <c r="I349" s="32">
        <v>17</v>
      </c>
      <c r="J349" s="33">
        <v>36.295000000000002</v>
      </c>
      <c r="K349" s="269" t="s">
        <v>1062</v>
      </c>
      <c r="L349" s="31">
        <v>124</v>
      </c>
      <c r="M349" s="35">
        <v>8</v>
      </c>
      <c r="N349" s="33">
        <v>32.43</v>
      </c>
      <c r="O349" s="37" t="s">
        <v>139</v>
      </c>
      <c r="P349" s="38" t="s">
        <v>371</v>
      </c>
      <c r="Q349" s="35" t="s">
        <v>18</v>
      </c>
      <c r="R349" s="36" t="s">
        <v>430</v>
      </c>
    </row>
    <row r="350" spans="1:18" ht="27.6" customHeight="1">
      <c r="A350" s="31" t="s">
        <v>1463</v>
      </c>
      <c r="B350" s="182">
        <v>14</v>
      </c>
      <c r="C350" s="27" t="s">
        <v>1464</v>
      </c>
      <c r="D350" s="32" t="s">
        <v>154</v>
      </c>
      <c r="E350" s="183">
        <v>90</v>
      </c>
      <c r="F350" s="184" t="s">
        <v>495</v>
      </c>
      <c r="G350" s="268" t="s">
        <v>1480</v>
      </c>
      <c r="H350" s="31">
        <v>24</v>
      </c>
      <c r="I350" s="32">
        <v>18</v>
      </c>
      <c r="J350" s="33">
        <v>2.1850000000000001</v>
      </c>
      <c r="K350" s="269" t="s">
        <v>1063</v>
      </c>
      <c r="L350" s="31">
        <v>124</v>
      </c>
      <c r="M350" s="35">
        <v>9</v>
      </c>
      <c r="N350" s="36">
        <v>17.13</v>
      </c>
      <c r="O350" s="37" t="s">
        <v>139</v>
      </c>
      <c r="P350" s="38" t="s">
        <v>346</v>
      </c>
      <c r="Q350" s="35" t="s">
        <v>18</v>
      </c>
      <c r="R350" s="36" t="s">
        <v>35</v>
      </c>
    </row>
    <row r="351" spans="1:18" ht="27.6" customHeight="1">
      <c r="A351" s="31" t="s">
        <v>1463</v>
      </c>
      <c r="B351" s="182">
        <v>14</v>
      </c>
      <c r="C351" s="27" t="s">
        <v>1464</v>
      </c>
      <c r="D351" s="32" t="s">
        <v>154</v>
      </c>
      <c r="E351" s="183">
        <v>93</v>
      </c>
      <c r="F351" s="184" t="s">
        <v>496</v>
      </c>
      <c r="G351" s="268" t="s">
        <v>1481</v>
      </c>
      <c r="H351" s="31">
        <v>24</v>
      </c>
      <c r="I351" s="32">
        <v>16</v>
      </c>
      <c r="J351" s="33">
        <v>34.6</v>
      </c>
      <c r="K351" s="269" t="s">
        <v>1064</v>
      </c>
      <c r="L351" s="31">
        <v>124</v>
      </c>
      <c r="M351" s="35">
        <v>9</v>
      </c>
      <c r="N351" s="36">
        <v>24.728000000000002</v>
      </c>
      <c r="O351" s="37" t="s">
        <v>175</v>
      </c>
      <c r="P351" s="38" t="s">
        <v>156</v>
      </c>
      <c r="Q351" s="35" t="s">
        <v>18</v>
      </c>
      <c r="R351" s="36" t="s">
        <v>85</v>
      </c>
    </row>
    <row r="352" spans="1:18" ht="27.6" customHeight="1">
      <c r="A352" s="31" t="s">
        <v>1463</v>
      </c>
      <c r="B352" s="182">
        <v>14</v>
      </c>
      <c r="C352" s="27" t="s">
        <v>1464</v>
      </c>
      <c r="D352" s="32" t="s">
        <v>154</v>
      </c>
      <c r="E352" s="183">
        <v>109</v>
      </c>
      <c r="F352" s="184" t="s">
        <v>497</v>
      </c>
      <c r="G352" s="268" t="s">
        <v>1482</v>
      </c>
      <c r="H352" s="31">
        <v>24</v>
      </c>
      <c r="I352" s="32">
        <v>17</v>
      </c>
      <c r="J352" s="33">
        <v>53.097000000000001</v>
      </c>
      <c r="K352" s="269" t="s">
        <v>1065</v>
      </c>
      <c r="L352" s="31">
        <v>124</v>
      </c>
      <c r="M352" s="35">
        <v>4</v>
      </c>
      <c r="N352" s="36">
        <v>38.548000000000002</v>
      </c>
      <c r="O352" s="37" t="s">
        <v>139</v>
      </c>
      <c r="P352" s="38" t="s">
        <v>346</v>
      </c>
      <c r="Q352" s="35" t="s">
        <v>18</v>
      </c>
      <c r="R352" s="36" t="s">
        <v>112</v>
      </c>
    </row>
    <row r="353" spans="1:18" ht="27.6" customHeight="1">
      <c r="A353" s="31" t="s">
        <v>1463</v>
      </c>
      <c r="B353" s="182">
        <v>14</v>
      </c>
      <c r="C353" s="27" t="s">
        <v>1464</v>
      </c>
      <c r="D353" s="32" t="s">
        <v>154</v>
      </c>
      <c r="E353" s="183">
        <v>114</v>
      </c>
      <c r="F353" s="184" t="s">
        <v>498</v>
      </c>
      <c r="G353" s="268" t="s">
        <v>1483</v>
      </c>
      <c r="H353" s="31">
        <v>24</v>
      </c>
      <c r="I353" s="32">
        <v>17</v>
      </c>
      <c r="J353" s="33">
        <v>12.9</v>
      </c>
      <c r="K353" s="269" t="s">
        <v>1066</v>
      </c>
      <c r="L353" s="31">
        <v>124</v>
      </c>
      <c r="M353" s="35">
        <v>5</v>
      </c>
      <c r="N353" s="36">
        <v>27.945</v>
      </c>
      <c r="O353" s="37" t="s">
        <v>139</v>
      </c>
      <c r="P353" s="38" t="s">
        <v>184</v>
      </c>
      <c r="Q353" s="35" t="s">
        <v>18</v>
      </c>
      <c r="R353" s="36" t="s">
        <v>75</v>
      </c>
    </row>
    <row r="354" spans="1:18" ht="27.6" customHeight="1" thickBot="1">
      <c r="A354" s="77" t="s">
        <v>1463</v>
      </c>
      <c r="B354" s="192">
        <v>14</v>
      </c>
      <c r="C354" s="73" t="s">
        <v>1464</v>
      </c>
      <c r="D354" s="74" t="s">
        <v>154</v>
      </c>
      <c r="E354" s="193">
        <v>115</v>
      </c>
      <c r="F354" s="194" t="s">
        <v>499</v>
      </c>
      <c r="G354" s="274" t="s">
        <v>1484</v>
      </c>
      <c r="H354" s="77">
        <v>24</v>
      </c>
      <c r="I354" s="74">
        <v>17</v>
      </c>
      <c r="J354" s="122">
        <v>11.8</v>
      </c>
      <c r="K354" s="275" t="s">
        <v>1067</v>
      </c>
      <c r="L354" s="77">
        <v>124</v>
      </c>
      <c r="M354" s="123">
        <v>6</v>
      </c>
      <c r="N354" s="122">
        <v>30.04</v>
      </c>
      <c r="O354" s="124" t="s">
        <v>139</v>
      </c>
      <c r="P354" s="125" t="s">
        <v>346</v>
      </c>
      <c r="Q354" s="123" t="s">
        <v>18</v>
      </c>
      <c r="R354" s="82" t="s">
        <v>85</v>
      </c>
    </row>
    <row r="355" spans="1:18" ht="27.6" customHeight="1" thickTop="1">
      <c r="A355" s="83" t="s">
        <v>1485</v>
      </c>
      <c r="B355" s="179">
        <v>15</v>
      </c>
      <c r="C355" s="85" t="s">
        <v>1486</v>
      </c>
      <c r="D355" s="90" t="s">
        <v>154</v>
      </c>
      <c r="E355" s="180">
        <v>4</v>
      </c>
      <c r="F355" s="181" t="s">
        <v>500</v>
      </c>
      <c r="G355" s="266" t="s">
        <v>1487</v>
      </c>
      <c r="H355" s="89">
        <v>24</v>
      </c>
      <c r="I355" s="90">
        <v>16</v>
      </c>
      <c r="J355" s="91">
        <v>52.4</v>
      </c>
      <c r="K355" s="267" t="s">
        <v>1068</v>
      </c>
      <c r="L355" s="89">
        <v>124</v>
      </c>
      <c r="M355" s="92">
        <v>0</v>
      </c>
      <c r="N355" s="93">
        <v>27.635000000000002</v>
      </c>
      <c r="O355" s="94" t="s">
        <v>139</v>
      </c>
      <c r="P355" s="95" t="s">
        <v>346</v>
      </c>
      <c r="Q355" s="92" t="s">
        <v>18</v>
      </c>
      <c r="R355" s="93" t="s">
        <v>128</v>
      </c>
    </row>
    <row r="356" spans="1:18" ht="27.6" customHeight="1">
      <c r="A356" s="25" t="s">
        <v>1485</v>
      </c>
      <c r="B356" s="182">
        <v>15</v>
      </c>
      <c r="C356" s="27" t="s">
        <v>1486</v>
      </c>
      <c r="D356" s="32" t="s">
        <v>154</v>
      </c>
      <c r="E356" s="183">
        <v>5</v>
      </c>
      <c r="F356" s="184" t="s">
        <v>501</v>
      </c>
      <c r="G356" s="268" t="s">
        <v>1488</v>
      </c>
      <c r="H356" s="31">
        <v>24</v>
      </c>
      <c r="I356" s="32">
        <v>16</v>
      </c>
      <c r="J356" s="33">
        <v>44.301000000000002</v>
      </c>
      <c r="K356" s="269" t="s">
        <v>1069</v>
      </c>
      <c r="L356" s="31">
        <v>124</v>
      </c>
      <c r="M356" s="35">
        <v>0</v>
      </c>
      <c r="N356" s="33">
        <v>58.93</v>
      </c>
      <c r="O356" s="37" t="s">
        <v>139</v>
      </c>
      <c r="P356" s="38" t="s">
        <v>346</v>
      </c>
      <c r="Q356" s="35" t="s">
        <v>18</v>
      </c>
      <c r="R356" s="36" t="s">
        <v>364</v>
      </c>
    </row>
    <row r="357" spans="1:18" ht="27.6" customHeight="1">
      <c r="A357" s="25" t="s">
        <v>1485</v>
      </c>
      <c r="B357" s="182">
        <v>15</v>
      </c>
      <c r="C357" s="27" t="s">
        <v>1486</v>
      </c>
      <c r="D357" s="32" t="s">
        <v>154</v>
      </c>
      <c r="E357" s="183">
        <v>19</v>
      </c>
      <c r="F357" s="184" t="s">
        <v>502</v>
      </c>
      <c r="G357" s="268" t="s">
        <v>1489</v>
      </c>
      <c r="H357" s="31">
        <v>24</v>
      </c>
      <c r="I357" s="32">
        <v>15</v>
      </c>
      <c r="J357" s="33">
        <v>47.506</v>
      </c>
      <c r="K357" s="269" t="s">
        <v>1070</v>
      </c>
      <c r="L357" s="31">
        <v>123</v>
      </c>
      <c r="M357" s="35">
        <v>59</v>
      </c>
      <c r="N357" s="36">
        <v>52.636000000000003</v>
      </c>
      <c r="O357" s="37" t="s">
        <v>139</v>
      </c>
      <c r="P357" s="38" t="s">
        <v>164</v>
      </c>
      <c r="Q357" s="35" t="s">
        <v>18</v>
      </c>
      <c r="R357" s="36" t="s">
        <v>364</v>
      </c>
    </row>
    <row r="358" spans="1:18" ht="27.6" customHeight="1">
      <c r="A358" s="25" t="s">
        <v>1485</v>
      </c>
      <c r="B358" s="182">
        <v>15</v>
      </c>
      <c r="C358" s="27" t="s">
        <v>1486</v>
      </c>
      <c r="D358" s="32" t="s">
        <v>154</v>
      </c>
      <c r="E358" s="183">
        <v>20</v>
      </c>
      <c r="F358" s="184" t="s">
        <v>503</v>
      </c>
      <c r="G358" s="268" t="s">
        <v>1490</v>
      </c>
      <c r="H358" s="31">
        <v>24</v>
      </c>
      <c r="I358" s="32">
        <v>16</v>
      </c>
      <c r="J358" s="33">
        <v>6.3040000000000003</v>
      </c>
      <c r="K358" s="269" t="s">
        <v>1071</v>
      </c>
      <c r="L358" s="31">
        <v>123</v>
      </c>
      <c r="M358" s="35">
        <v>59</v>
      </c>
      <c r="N358" s="36">
        <v>49.337000000000003</v>
      </c>
      <c r="O358" s="37" t="s">
        <v>139</v>
      </c>
      <c r="P358" s="38" t="s">
        <v>346</v>
      </c>
      <c r="Q358" s="35" t="s">
        <v>18</v>
      </c>
      <c r="R358" s="36" t="s">
        <v>364</v>
      </c>
    </row>
    <row r="359" spans="1:18" ht="27.6" customHeight="1">
      <c r="A359" s="25" t="s">
        <v>1485</v>
      </c>
      <c r="B359" s="182">
        <v>15</v>
      </c>
      <c r="C359" s="27" t="s">
        <v>1486</v>
      </c>
      <c r="D359" s="32" t="s">
        <v>154</v>
      </c>
      <c r="E359" s="183">
        <v>22</v>
      </c>
      <c r="F359" s="184" t="s">
        <v>504</v>
      </c>
      <c r="G359" s="268" t="s">
        <v>1491</v>
      </c>
      <c r="H359" s="31">
        <v>24</v>
      </c>
      <c r="I359" s="32">
        <v>18</v>
      </c>
      <c r="J359" s="33">
        <v>9.3919999999999995</v>
      </c>
      <c r="K359" s="269" t="s">
        <v>1072</v>
      </c>
      <c r="L359" s="31">
        <v>123</v>
      </c>
      <c r="M359" s="35">
        <v>59</v>
      </c>
      <c r="N359" s="36">
        <v>59.143999999999998</v>
      </c>
      <c r="O359" s="37" t="s">
        <v>139</v>
      </c>
      <c r="P359" s="38" t="s">
        <v>382</v>
      </c>
      <c r="Q359" s="35" t="s">
        <v>18</v>
      </c>
      <c r="R359" s="36" t="s">
        <v>364</v>
      </c>
    </row>
    <row r="360" spans="1:18" ht="27.6" customHeight="1">
      <c r="A360" s="25" t="s">
        <v>1485</v>
      </c>
      <c r="B360" s="182">
        <v>15</v>
      </c>
      <c r="C360" s="27" t="s">
        <v>1486</v>
      </c>
      <c r="D360" s="32" t="s">
        <v>154</v>
      </c>
      <c r="E360" s="183">
        <v>23</v>
      </c>
      <c r="F360" s="184" t="s">
        <v>505</v>
      </c>
      <c r="G360" s="268" t="s">
        <v>1492</v>
      </c>
      <c r="H360" s="31">
        <v>24</v>
      </c>
      <c r="I360" s="32">
        <v>19</v>
      </c>
      <c r="J360" s="33">
        <v>26.981999999999999</v>
      </c>
      <c r="K360" s="269" t="s">
        <v>1073</v>
      </c>
      <c r="L360" s="31">
        <v>124</v>
      </c>
      <c r="M360" s="35">
        <v>0</v>
      </c>
      <c r="N360" s="36">
        <v>17.245999999999999</v>
      </c>
      <c r="O360" s="37" t="s">
        <v>175</v>
      </c>
      <c r="P360" s="38" t="s">
        <v>371</v>
      </c>
      <c r="Q360" s="35" t="s">
        <v>18</v>
      </c>
      <c r="R360" s="36" t="s">
        <v>133</v>
      </c>
    </row>
    <row r="361" spans="1:18" ht="27.6" customHeight="1">
      <c r="A361" s="25" t="s">
        <v>1485</v>
      </c>
      <c r="B361" s="182">
        <v>15</v>
      </c>
      <c r="C361" s="27" t="s">
        <v>1486</v>
      </c>
      <c r="D361" s="32" t="s">
        <v>154</v>
      </c>
      <c r="E361" s="183">
        <v>24</v>
      </c>
      <c r="F361" s="184" t="s">
        <v>506</v>
      </c>
      <c r="G361" s="268" t="s">
        <v>1493</v>
      </c>
      <c r="H361" s="31">
        <v>24</v>
      </c>
      <c r="I361" s="32">
        <v>19</v>
      </c>
      <c r="J361" s="33">
        <v>14.585000000000001</v>
      </c>
      <c r="K361" s="269" t="s">
        <v>1074</v>
      </c>
      <c r="L361" s="31">
        <v>124</v>
      </c>
      <c r="M361" s="35">
        <v>1</v>
      </c>
      <c r="N361" s="36">
        <v>0.53700000000000003</v>
      </c>
      <c r="O361" s="37" t="s">
        <v>175</v>
      </c>
      <c r="P361" s="38" t="s">
        <v>382</v>
      </c>
      <c r="Q361" s="35" t="s">
        <v>18</v>
      </c>
      <c r="R361" s="36" t="s">
        <v>133</v>
      </c>
    </row>
    <row r="362" spans="1:18" ht="27.6" customHeight="1">
      <c r="A362" s="25" t="s">
        <v>1485</v>
      </c>
      <c r="B362" s="182">
        <v>15</v>
      </c>
      <c r="C362" s="27" t="s">
        <v>1486</v>
      </c>
      <c r="D362" s="32" t="s">
        <v>154</v>
      </c>
      <c r="E362" s="183">
        <v>25</v>
      </c>
      <c r="F362" s="184" t="s">
        <v>507</v>
      </c>
      <c r="G362" s="268" t="s">
        <v>1494</v>
      </c>
      <c r="H362" s="31">
        <v>24</v>
      </c>
      <c r="I362" s="32">
        <v>19</v>
      </c>
      <c r="J362" s="33">
        <v>31.081</v>
      </c>
      <c r="K362" s="269" t="s">
        <v>1075</v>
      </c>
      <c r="L362" s="31">
        <v>124</v>
      </c>
      <c r="M362" s="35">
        <v>0</v>
      </c>
      <c r="N362" s="36">
        <v>51.045000000000002</v>
      </c>
      <c r="O362" s="37" t="s">
        <v>175</v>
      </c>
      <c r="P362" s="38" t="s">
        <v>371</v>
      </c>
      <c r="Q362" s="35" t="s">
        <v>18</v>
      </c>
      <c r="R362" s="36">
        <v>4</v>
      </c>
    </row>
    <row r="363" spans="1:18" ht="27.6" customHeight="1">
      <c r="A363" s="25" t="s">
        <v>1485</v>
      </c>
      <c r="B363" s="182">
        <v>15</v>
      </c>
      <c r="C363" s="27" t="s">
        <v>1486</v>
      </c>
      <c r="D363" s="32" t="s">
        <v>154</v>
      </c>
      <c r="E363" s="183">
        <v>37</v>
      </c>
      <c r="F363" s="184" t="s">
        <v>508</v>
      </c>
      <c r="G363" s="268" t="s">
        <v>1495</v>
      </c>
      <c r="H363" s="31">
        <v>24</v>
      </c>
      <c r="I363" s="32">
        <v>18</v>
      </c>
      <c r="J363" s="33">
        <v>0.13300000000000001</v>
      </c>
      <c r="K363" s="269" t="s">
        <v>1076</v>
      </c>
      <c r="L363" s="31">
        <v>123</v>
      </c>
      <c r="M363" s="35">
        <v>56</v>
      </c>
      <c r="N363" s="36">
        <v>57.872999999999998</v>
      </c>
      <c r="O363" s="37" t="s">
        <v>139</v>
      </c>
      <c r="P363" s="38" t="s">
        <v>382</v>
      </c>
      <c r="Q363" s="35" t="s">
        <v>18</v>
      </c>
      <c r="R363" s="36" t="s">
        <v>99</v>
      </c>
    </row>
    <row r="364" spans="1:18" ht="27.6" customHeight="1">
      <c r="A364" s="25" t="s">
        <v>1485</v>
      </c>
      <c r="B364" s="182">
        <v>15</v>
      </c>
      <c r="C364" s="27" t="s">
        <v>1486</v>
      </c>
      <c r="D364" s="32" t="s">
        <v>154</v>
      </c>
      <c r="E364" s="183">
        <v>38</v>
      </c>
      <c r="F364" s="184" t="s">
        <v>509</v>
      </c>
      <c r="G364" s="268" t="s">
        <v>1496</v>
      </c>
      <c r="H364" s="31">
        <v>24</v>
      </c>
      <c r="I364" s="32">
        <v>17</v>
      </c>
      <c r="J364" s="33">
        <v>4.3250000000000002</v>
      </c>
      <c r="K364" s="269" t="s">
        <v>1077</v>
      </c>
      <c r="L364" s="31">
        <v>123</v>
      </c>
      <c r="M364" s="35">
        <v>57</v>
      </c>
      <c r="N364" s="36">
        <v>47.526000000000003</v>
      </c>
      <c r="O364" s="37" t="s">
        <v>139</v>
      </c>
      <c r="P364" s="38" t="s">
        <v>371</v>
      </c>
      <c r="Q364" s="35" t="s">
        <v>18</v>
      </c>
      <c r="R364" s="36" t="s">
        <v>430</v>
      </c>
    </row>
    <row r="365" spans="1:18" ht="27.6" customHeight="1">
      <c r="A365" s="25" t="s">
        <v>1485</v>
      </c>
      <c r="B365" s="182">
        <v>15</v>
      </c>
      <c r="C365" s="27" t="s">
        <v>1486</v>
      </c>
      <c r="D365" s="32" t="s">
        <v>154</v>
      </c>
      <c r="E365" s="183">
        <v>39</v>
      </c>
      <c r="F365" s="184" t="s">
        <v>510</v>
      </c>
      <c r="G365" s="268" t="s">
        <v>1497</v>
      </c>
      <c r="H365" s="31">
        <v>24</v>
      </c>
      <c r="I365" s="32">
        <v>18</v>
      </c>
      <c r="J365" s="33">
        <v>5.593</v>
      </c>
      <c r="K365" s="269" t="s">
        <v>1078</v>
      </c>
      <c r="L365" s="31">
        <v>124</v>
      </c>
      <c r="M365" s="35">
        <v>0</v>
      </c>
      <c r="N365" s="36">
        <v>54.938000000000002</v>
      </c>
      <c r="O365" s="37" t="s">
        <v>139</v>
      </c>
      <c r="P365" s="38" t="s">
        <v>346</v>
      </c>
      <c r="Q365" s="35" t="s">
        <v>18</v>
      </c>
      <c r="R365" s="36" t="s">
        <v>88</v>
      </c>
    </row>
    <row r="366" spans="1:18" ht="27.6" customHeight="1">
      <c r="A366" s="25" t="s">
        <v>1485</v>
      </c>
      <c r="B366" s="182">
        <v>15</v>
      </c>
      <c r="C366" s="27" t="s">
        <v>1486</v>
      </c>
      <c r="D366" s="32" t="s">
        <v>154</v>
      </c>
      <c r="E366" s="183">
        <v>40</v>
      </c>
      <c r="F366" s="184" t="s">
        <v>511</v>
      </c>
      <c r="G366" s="268" t="s">
        <v>1498</v>
      </c>
      <c r="H366" s="31">
        <v>24</v>
      </c>
      <c r="I366" s="32">
        <v>18</v>
      </c>
      <c r="J366" s="33">
        <v>49.188000000000002</v>
      </c>
      <c r="K366" s="269" t="s">
        <v>1079</v>
      </c>
      <c r="L366" s="31">
        <v>124</v>
      </c>
      <c r="M366" s="35">
        <v>1</v>
      </c>
      <c r="N366" s="36">
        <v>19.036000000000001</v>
      </c>
      <c r="O366" s="37" t="s">
        <v>139</v>
      </c>
      <c r="P366" s="38" t="s">
        <v>382</v>
      </c>
      <c r="Q366" s="35" t="s">
        <v>18</v>
      </c>
      <c r="R366" s="36" t="s">
        <v>96</v>
      </c>
    </row>
    <row r="367" spans="1:18" ht="27.6" customHeight="1">
      <c r="A367" s="25" t="s">
        <v>1485</v>
      </c>
      <c r="B367" s="182">
        <v>15</v>
      </c>
      <c r="C367" s="27" t="s">
        <v>1486</v>
      </c>
      <c r="D367" s="32" t="s">
        <v>154</v>
      </c>
      <c r="E367" s="183">
        <v>41</v>
      </c>
      <c r="F367" s="184" t="s">
        <v>512</v>
      </c>
      <c r="G367" s="268" t="s">
        <v>1499</v>
      </c>
      <c r="H367" s="31">
        <v>24</v>
      </c>
      <c r="I367" s="32">
        <v>19</v>
      </c>
      <c r="J367" s="33">
        <v>1.9870000000000001</v>
      </c>
      <c r="K367" s="269" t="s">
        <v>1080</v>
      </c>
      <c r="L367" s="31">
        <v>124</v>
      </c>
      <c r="M367" s="35">
        <v>1</v>
      </c>
      <c r="N367" s="36">
        <v>13.436</v>
      </c>
      <c r="O367" s="37" t="s">
        <v>139</v>
      </c>
      <c r="P367" s="38" t="s">
        <v>382</v>
      </c>
      <c r="Q367" s="35" t="s">
        <v>18</v>
      </c>
      <c r="R367" s="36" t="s">
        <v>128</v>
      </c>
    </row>
    <row r="368" spans="1:18" ht="27.6" customHeight="1">
      <c r="A368" s="25" t="s">
        <v>1485</v>
      </c>
      <c r="B368" s="182">
        <v>15</v>
      </c>
      <c r="C368" s="27" t="s">
        <v>1486</v>
      </c>
      <c r="D368" s="32" t="s">
        <v>154</v>
      </c>
      <c r="E368" s="183">
        <v>58</v>
      </c>
      <c r="F368" s="184" t="s">
        <v>513</v>
      </c>
      <c r="G368" s="268" t="s">
        <v>1500</v>
      </c>
      <c r="H368" s="31">
        <v>24</v>
      </c>
      <c r="I368" s="32">
        <v>17</v>
      </c>
      <c r="J368" s="33">
        <v>30.137</v>
      </c>
      <c r="K368" s="269" t="s">
        <v>1081</v>
      </c>
      <c r="L368" s="31">
        <v>123</v>
      </c>
      <c r="M368" s="35">
        <v>56</v>
      </c>
      <c r="N368" s="36">
        <v>12.074999999999999</v>
      </c>
      <c r="O368" s="37" t="s">
        <v>139</v>
      </c>
      <c r="P368" s="38" t="s">
        <v>382</v>
      </c>
      <c r="Q368" s="35" t="s">
        <v>18</v>
      </c>
      <c r="R368" s="36" t="s">
        <v>112</v>
      </c>
    </row>
    <row r="369" spans="1:18" ht="27.6" customHeight="1">
      <c r="A369" s="25" t="s">
        <v>1485</v>
      </c>
      <c r="B369" s="182">
        <v>15</v>
      </c>
      <c r="C369" s="27" t="s">
        <v>1486</v>
      </c>
      <c r="D369" s="32" t="s">
        <v>154</v>
      </c>
      <c r="E369" s="183">
        <v>59</v>
      </c>
      <c r="F369" s="184" t="s">
        <v>514</v>
      </c>
      <c r="G369" s="268" t="s">
        <v>1501</v>
      </c>
      <c r="H369" s="31">
        <v>24</v>
      </c>
      <c r="I369" s="32">
        <v>18</v>
      </c>
      <c r="J369" s="33">
        <v>7.6319999999999997</v>
      </c>
      <c r="K369" s="269" t="s">
        <v>1082</v>
      </c>
      <c r="L369" s="31">
        <v>123</v>
      </c>
      <c r="M369" s="35">
        <v>56</v>
      </c>
      <c r="N369" s="36">
        <v>1.177</v>
      </c>
      <c r="O369" s="37" t="s">
        <v>139</v>
      </c>
      <c r="P369" s="38" t="s">
        <v>371</v>
      </c>
      <c r="Q369" s="35" t="s">
        <v>18</v>
      </c>
      <c r="R369" s="36" t="s">
        <v>35</v>
      </c>
    </row>
    <row r="370" spans="1:18" ht="27.6" customHeight="1">
      <c r="A370" s="25" t="s">
        <v>1485</v>
      </c>
      <c r="B370" s="182">
        <v>15</v>
      </c>
      <c r="C370" s="27" t="s">
        <v>1486</v>
      </c>
      <c r="D370" s="32" t="s">
        <v>154</v>
      </c>
      <c r="E370" s="183">
        <v>60</v>
      </c>
      <c r="F370" s="184" t="s">
        <v>515</v>
      </c>
      <c r="G370" s="268" t="s">
        <v>1502</v>
      </c>
      <c r="H370" s="31">
        <v>24</v>
      </c>
      <c r="I370" s="32">
        <v>18</v>
      </c>
      <c r="J370" s="33">
        <v>15.632</v>
      </c>
      <c r="K370" s="269" t="s">
        <v>1083</v>
      </c>
      <c r="L370" s="31">
        <v>123</v>
      </c>
      <c r="M370" s="35">
        <v>55</v>
      </c>
      <c r="N370" s="36">
        <v>51.277000000000001</v>
      </c>
      <c r="O370" s="37" t="s">
        <v>139</v>
      </c>
      <c r="P370" s="38" t="s">
        <v>371</v>
      </c>
      <c r="Q370" s="35" t="s">
        <v>18</v>
      </c>
      <c r="R370" s="36" t="s">
        <v>96</v>
      </c>
    </row>
    <row r="371" spans="1:18" ht="27.6" customHeight="1">
      <c r="A371" s="25" t="s">
        <v>1485</v>
      </c>
      <c r="B371" s="182">
        <v>15</v>
      </c>
      <c r="C371" s="27" t="s">
        <v>1486</v>
      </c>
      <c r="D371" s="32" t="s">
        <v>154</v>
      </c>
      <c r="E371" s="183">
        <v>61</v>
      </c>
      <c r="F371" s="184" t="s">
        <v>516</v>
      </c>
      <c r="G371" s="268" t="s">
        <v>1503</v>
      </c>
      <c r="H371" s="31">
        <v>24</v>
      </c>
      <c r="I371" s="32">
        <v>18</v>
      </c>
      <c r="J371" s="33">
        <v>42.328000000000003</v>
      </c>
      <c r="K371" s="269" t="s">
        <v>1084</v>
      </c>
      <c r="L371" s="31">
        <v>123</v>
      </c>
      <c r="M371" s="35">
        <v>55</v>
      </c>
      <c r="N371" s="36">
        <v>32.878999999999998</v>
      </c>
      <c r="O371" s="37" t="s">
        <v>130</v>
      </c>
      <c r="P371" s="38" t="s">
        <v>517</v>
      </c>
      <c r="Q371" s="35" t="s">
        <v>18</v>
      </c>
      <c r="R371" s="36">
        <v>2</v>
      </c>
    </row>
    <row r="372" spans="1:18" ht="27.6" customHeight="1">
      <c r="A372" s="25" t="s">
        <v>1485</v>
      </c>
      <c r="B372" s="182">
        <v>15</v>
      </c>
      <c r="C372" s="27" t="s">
        <v>1486</v>
      </c>
      <c r="D372" s="32" t="s">
        <v>154</v>
      </c>
      <c r="E372" s="183">
        <v>66</v>
      </c>
      <c r="F372" s="184" t="s">
        <v>518</v>
      </c>
      <c r="G372" s="268" t="s">
        <v>1504</v>
      </c>
      <c r="H372" s="31">
        <v>24</v>
      </c>
      <c r="I372" s="32">
        <v>19</v>
      </c>
      <c r="J372" s="33">
        <v>33.305</v>
      </c>
      <c r="K372" s="269" t="s">
        <v>1085</v>
      </c>
      <c r="L372" s="31">
        <v>123</v>
      </c>
      <c r="M372" s="35">
        <v>58</v>
      </c>
      <c r="N372" s="36">
        <v>47.021000000000001</v>
      </c>
      <c r="O372" s="37" t="s">
        <v>175</v>
      </c>
      <c r="P372" s="38" t="s">
        <v>164</v>
      </c>
      <c r="Q372" s="35" t="s">
        <v>18</v>
      </c>
      <c r="R372" s="36" t="s">
        <v>128</v>
      </c>
    </row>
    <row r="373" spans="1:18" ht="27.6" customHeight="1">
      <c r="A373" s="25" t="s">
        <v>1485</v>
      </c>
      <c r="B373" s="182">
        <v>15</v>
      </c>
      <c r="C373" s="27" t="s">
        <v>1486</v>
      </c>
      <c r="D373" s="32" t="s">
        <v>154</v>
      </c>
      <c r="E373" s="183">
        <v>104</v>
      </c>
      <c r="F373" s="184" t="s">
        <v>519</v>
      </c>
      <c r="G373" s="268" t="s">
        <v>1505</v>
      </c>
      <c r="H373" s="31">
        <v>24</v>
      </c>
      <c r="I373" s="32">
        <v>15</v>
      </c>
      <c r="J373" s="33">
        <v>51.610999999999997</v>
      </c>
      <c r="K373" s="269" t="s">
        <v>1086</v>
      </c>
      <c r="L373" s="31">
        <v>123</v>
      </c>
      <c r="M373" s="35">
        <v>56</v>
      </c>
      <c r="N373" s="36">
        <v>17.952999999999999</v>
      </c>
      <c r="O373" s="37" t="s">
        <v>139</v>
      </c>
      <c r="P373" s="38" t="s">
        <v>346</v>
      </c>
      <c r="Q373" s="35" t="s">
        <v>18</v>
      </c>
      <c r="R373" s="36" t="s">
        <v>128</v>
      </c>
    </row>
    <row r="374" spans="1:18" ht="27.6" customHeight="1">
      <c r="A374" s="25" t="s">
        <v>1485</v>
      </c>
      <c r="B374" s="182">
        <v>15</v>
      </c>
      <c r="C374" s="27" t="s">
        <v>1486</v>
      </c>
      <c r="D374" s="32" t="s">
        <v>154</v>
      </c>
      <c r="E374" s="183">
        <v>106</v>
      </c>
      <c r="F374" s="184" t="s">
        <v>520</v>
      </c>
      <c r="G374" s="268" t="s">
        <v>1506</v>
      </c>
      <c r="H374" s="31">
        <v>24</v>
      </c>
      <c r="I374" s="32">
        <v>16</v>
      </c>
      <c r="J374" s="33">
        <v>33.502000000000002</v>
      </c>
      <c r="K374" s="269" t="s">
        <v>1087</v>
      </c>
      <c r="L374" s="31">
        <v>123</v>
      </c>
      <c r="M374" s="35">
        <v>59</v>
      </c>
      <c r="N374" s="36">
        <v>2.64</v>
      </c>
      <c r="O374" s="37" t="s">
        <v>139</v>
      </c>
      <c r="P374" s="38" t="s">
        <v>346</v>
      </c>
      <c r="Q374" s="35" t="s">
        <v>18</v>
      </c>
      <c r="R374" s="36" t="s">
        <v>35</v>
      </c>
    </row>
    <row r="375" spans="1:18" ht="27.6" customHeight="1">
      <c r="A375" s="25" t="s">
        <v>1485</v>
      </c>
      <c r="B375" s="182">
        <v>15</v>
      </c>
      <c r="C375" s="27" t="s">
        <v>1486</v>
      </c>
      <c r="D375" s="32" t="s">
        <v>154</v>
      </c>
      <c r="E375" s="183">
        <v>107</v>
      </c>
      <c r="F375" s="184" t="s">
        <v>521</v>
      </c>
      <c r="G375" s="268" t="s">
        <v>1507</v>
      </c>
      <c r="H375" s="31">
        <v>24</v>
      </c>
      <c r="I375" s="32">
        <v>18</v>
      </c>
      <c r="J375" s="33">
        <v>18.606000000000002</v>
      </c>
      <c r="K375" s="269" t="s">
        <v>1088</v>
      </c>
      <c r="L375" s="31">
        <v>123</v>
      </c>
      <c r="M375" s="35">
        <v>58</v>
      </c>
      <c r="N375" s="36">
        <v>7.1980000000000004</v>
      </c>
      <c r="O375" s="37" t="s">
        <v>139</v>
      </c>
      <c r="P375" s="38" t="s">
        <v>371</v>
      </c>
      <c r="Q375" s="35" t="s">
        <v>18</v>
      </c>
      <c r="R375" s="36" t="s">
        <v>96</v>
      </c>
    </row>
    <row r="376" spans="1:18" ht="27.6" customHeight="1">
      <c r="A376" s="25" t="s">
        <v>1485</v>
      </c>
      <c r="B376" s="182">
        <v>15</v>
      </c>
      <c r="C376" s="27" t="s">
        <v>1486</v>
      </c>
      <c r="D376" s="32" t="s">
        <v>154</v>
      </c>
      <c r="E376" s="183">
        <v>108</v>
      </c>
      <c r="F376" s="184" t="s">
        <v>522</v>
      </c>
      <c r="G376" s="268" t="s">
        <v>1508</v>
      </c>
      <c r="H376" s="31">
        <v>24</v>
      </c>
      <c r="I376" s="32">
        <v>19</v>
      </c>
      <c r="J376" s="33">
        <v>2.7250000000000001</v>
      </c>
      <c r="K376" s="269" t="s">
        <v>1089</v>
      </c>
      <c r="L376" s="31">
        <v>123</v>
      </c>
      <c r="M376" s="35">
        <v>56</v>
      </c>
      <c r="N376" s="36">
        <v>37.274000000000001</v>
      </c>
      <c r="O376" s="37" t="s">
        <v>139</v>
      </c>
      <c r="P376" s="38" t="s">
        <v>523</v>
      </c>
      <c r="Q376" s="35" t="s">
        <v>18</v>
      </c>
      <c r="R376" s="36" t="s">
        <v>133</v>
      </c>
    </row>
    <row r="377" spans="1:18" ht="27.6" customHeight="1">
      <c r="A377" s="25" t="s">
        <v>1485</v>
      </c>
      <c r="B377" s="182">
        <v>15</v>
      </c>
      <c r="C377" s="27" t="s">
        <v>1486</v>
      </c>
      <c r="D377" s="32" t="s">
        <v>154</v>
      </c>
      <c r="E377" s="183">
        <v>111</v>
      </c>
      <c r="F377" s="184" t="s">
        <v>524</v>
      </c>
      <c r="G377" s="268" t="s">
        <v>1509</v>
      </c>
      <c r="H377" s="31">
        <v>24</v>
      </c>
      <c r="I377" s="32">
        <v>18</v>
      </c>
      <c r="J377" s="33">
        <v>55.188000000000002</v>
      </c>
      <c r="K377" s="269" t="s">
        <v>1090</v>
      </c>
      <c r="L377" s="31">
        <v>124</v>
      </c>
      <c r="M377" s="35">
        <v>1</v>
      </c>
      <c r="N377" s="36">
        <v>12.236000000000001</v>
      </c>
      <c r="O377" s="37" t="s">
        <v>139</v>
      </c>
      <c r="P377" s="38" t="s">
        <v>371</v>
      </c>
      <c r="Q377" s="35" t="s">
        <v>18</v>
      </c>
      <c r="R377" s="36" t="s">
        <v>372</v>
      </c>
    </row>
    <row r="378" spans="1:18" ht="27.6" customHeight="1" thickBot="1">
      <c r="A378" s="46" t="s">
        <v>1485</v>
      </c>
      <c r="B378" s="185">
        <v>15</v>
      </c>
      <c r="C378" s="48" t="s">
        <v>1486</v>
      </c>
      <c r="D378" s="100" t="s">
        <v>154</v>
      </c>
      <c r="E378" s="186">
        <v>113</v>
      </c>
      <c r="F378" s="187" t="s">
        <v>525</v>
      </c>
      <c r="G378" s="270" t="s">
        <v>1510</v>
      </c>
      <c r="H378" s="99">
        <v>24</v>
      </c>
      <c r="I378" s="100">
        <v>16</v>
      </c>
      <c r="J378" s="101">
        <v>21.611000000000001</v>
      </c>
      <c r="K378" s="271" t="s">
        <v>1091</v>
      </c>
      <c r="L378" s="99">
        <v>123</v>
      </c>
      <c r="M378" s="56">
        <v>55</v>
      </c>
      <c r="N378" s="53">
        <v>3.0609999999999999</v>
      </c>
      <c r="O378" s="54" t="s">
        <v>139</v>
      </c>
      <c r="P378" s="55" t="s">
        <v>164</v>
      </c>
      <c r="Q378" s="56" t="s">
        <v>18</v>
      </c>
      <c r="R378" s="53" t="s">
        <v>430</v>
      </c>
    </row>
    <row r="379" spans="1:18" ht="27.6" customHeight="1" thickTop="1">
      <c r="A379" s="57" t="s">
        <v>1511</v>
      </c>
      <c r="B379" s="189">
        <v>16</v>
      </c>
      <c r="C379" s="59" t="s">
        <v>526</v>
      </c>
      <c r="D379" s="60" t="s">
        <v>154</v>
      </c>
      <c r="E379" s="190">
        <v>1</v>
      </c>
      <c r="F379" s="191" t="s">
        <v>527</v>
      </c>
      <c r="G379" s="272" t="s">
        <v>1512</v>
      </c>
      <c r="H379" s="103">
        <v>24</v>
      </c>
      <c r="I379" s="60">
        <v>15</v>
      </c>
      <c r="J379" s="104">
        <v>50.406999999999996</v>
      </c>
      <c r="K379" s="273" t="s">
        <v>1513</v>
      </c>
      <c r="L379" s="103">
        <v>124</v>
      </c>
      <c r="M379" s="105">
        <v>1</v>
      </c>
      <c r="N379" s="65">
        <v>48.026000000000003</v>
      </c>
      <c r="O379" s="106" t="s">
        <v>139</v>
      </c>
      <c r="P379" s="107" t="s">
        <v>346</v>
      </c>
      <c r="Q379" s="105" t="s">
        <v>18</v>
      </c>
      <c r="R379" s="65" t="s">
        <v>528</v>
      </c>
    </row>
    <row r="380" spans="1:18" ht="27.6" customHeight="1">
      <c r="A380" s="25" t="s">
        <v>1511</v>
      </c>
      <c r="B380" s="182">
        <v>16</v>
      </c>
      <c r="C380" s="27" t="s">
        <v>526</v>
      </c>
      <c r="D380" s="32" t="s">
        <v>154</v>
      </c>
      <c r="E380" s="183">
        <v>2</v>
      </c>
      <c r="F380" s="184" t="s">
        <v>529</v>
      </c>
      <c r="G380" s="268" t="s">
        <v>1514</v>
      </c>
      <c r="H380" s="31">
        <v>24</v>
      </c>
      <c r="I380" s="32">
        <v>16</v>
      </c>
      <c r="J380" s="33">
        <v>6.0000000000000001E-3</v>
      </c>
      <c r="K380" s="269" t="s">
        <v>1092</v>
      </c>
      <c r="L380" s="31">
        <v>124</v>
      </c>
      <c r="M380" s="35">
        <v>2</v>
      </c>
      <c r="N380" s="36">
        <v>5.0250000000000004</v>
      </c>
      <c r="O380" s="37" t="s">
        <v>139</v>
      </c>
      <c r="P380" s="38" t="s">
        <v>184</v>
      </c>
      <c r="Q380" s="35" t="s">
        <v>18</v>
      </c>
      <c r="R380" s="36" t="s">
        <v>112</v>
      </c>
    </row>
    <row r="381" spans="1:18" ht="27.6" customHeight="1">
      <c r="A381" s="25" t="s">
        <v>1511</v>
      </c>
      <c r="B381" s="182">
        <v>16</v>
      </c>
      <c r="C381" s="27" t="s">
        <v>526</v>
      </c>
      <c r="D381" s="32" t="s">
        <v>154</v>
      </c>
      <c r="E381" s="183">
        <v>3</v>
      </c>
      <c r="F381" s="184" t="s">
        <v>530</v>
      </c>
      <c r="G381" s="268" t="s">
        <v>1515</v>
      </c>
      <c r="H381" s="31">
        <v>24</v>
      </c>
      <c r="I381" s="32">
        <v>16</v>
      </c>
      <c r="J381" s="33">
        <v>26.204000000000001</v>
      </c>
      <c r="K381" s="269" t="s">
        <v>1093</v>
      </c>
      <c r="L381" s="31">
        <v>124</v>
      </c>
      <c r="M381" s="35">
        <v>2</v>
      </c>
      <c r="N381" s="36">
        <v>14.724</v>
      </c>
      <c r="O381" s="37" t="s">
        <v>139</v>
      </c>
      <c r="P381" s="38" t="s">
        <v>184</v>
      </c>
      <c r="Q381" s="35" t="s">
        <v>18</v>
      </c>
      <c r="R381" s="36" t="s">
        <v>73</v>
      </c>
    </row>
    <row r="382" spans="1:18" ht="27.6" customHeight="1">
      <c r="A382" s="25" t="s">
        <v>1511</v>
      </c>
      <c r="B382" s="182">
        <v>16</v>
      </c>
      <c r="C382" s="27" t="s">
        <v>526</v>
      </c>
      <c r="D382" s="32" t="s">
        <v>154</v>
      </c>
      <c r="E382" s="183">
        <v>6</v>
      </c>
      <c r="F382" s="184" t="s">
        <v>531</v>
      </c>
      <c r="G382" s="268" t="s">
        <v>1516</v>
      </c>
      <c r="H382" s="31">
        <v>24</v>
      </c>
      <c r="I382" s="32">
        <v>15</v>
      </c>
      <c r="J382" s="33">
        <v>1.8109999999999999</v>
      </c>
      <c r="K382" s="269" t="s">
        <v>1094</v>
      </c>
      <c r="L382" s="31">
        <v>123</v>
      </c>
      <c r="M382" s="35">
        <v>59</v>
      </c>
      <c r="N382" s="36">
        <v>16.838999999999999</v>
      </c>
      <c r="O382" s="37" t="s">
        <v>139</v>
      </c>
      <c r="P382" s="38" t="s">
        <v>184</v>
      </c>
      <c r="Q382" s="35" t="s">
        <v>18</v>
      </c>
      <c r="R382" s="36" t="s">
        <v>112</v>
      </c>
    </row>
    <row r="383" spans="1:18" ht="27.6" customHeight="1">
      <c r="A383" s="25" t="s">
        <v>1511</v>
      </c>
      <c r="B383" s="182">
        <v>16</v>
      </c>
      <c r="C383" s="27" t="s">
        <v>526</v>
      </c>
      <c r="D383" s="32" t="s">
        <v>154</v>
      </c>
      <c r="E383" s="183">
        <v>7</v>
      </c>
      <c r="F383" s="184" t="s">
        <v>532</v>
      </c>
      <c r="G383" s="268" t="s">
        <v>1517</v>
      </c>
      <c r="H383" s="31">
        <v>24</v>
      </c>
      <c r="I383" s="32">
        <v>14</v>
      </c>
      <c r="J383" s="33">
        <v>5.8170000000000002</v>
      </c>
      <c r="K383" s="269" t="s">
        <v>1095</v>
      </c>
      <c r="L383" s="31">
        <v>123</v>
      </c>
      <c r="M383" s="35">
        <v>59</v>
      </c>
      <c r="N383" s="36">
        <v>36.735999999999997</v>
      </c>
      <c r="O383" s="37" t="s">
        <v>130</v>
      </c>
      <c r="P383" s="38" t="s">
        <v>164</v>
      </c>
      <c r="Q383" s="35" t="s">
        <v>18</v>
      </c>
      <c r="R383" s="36" t="s">
        <v>128</v>
      </c>
    </row>
    <row r="384" spans="1:18" ht="27.6" customHeight="1">
      <c r="A384" s="25" t="s">
        <v>1511</v>
      </c>
      <c r="B384" s="182">
        <v>16</v>
      </c>
      <c r="C384" s="27" t="s">
        <v>526</v>
      </c>
      <c r="D384" s="32" t="s">
        <v>154</v>
      </c>
      <c r="E384" s="183">
        <v>8</v>
      </c>
      <c r="F384" s="184" t="s">
        <v>533</v>
      </c>
      <c r="G384" s="268" t="s">
        <v>1518</v>
      </c>
      <c r="H384" s="31">
        <v>24</v>
      </c>
      <c r="I384" s="32">
        <v>13</v>
      </c>
      <c r="J384" s="33">
        <v>30.122</v>
      </c>
      <c r="K384" s="269" t="s">
        <v>1096</v>
      </c>
      <c r="L384" s="31">
        <v>123</v>
      </c>
      <c r="M384" s="35">
        <v>59</v>
      </c>
      <c r="N384" s="36">
        <v>56.133000000000003</v>
      </c>
      <c r="O384" s="37" t="s">
        <v>130</v>
      </c>
      <c r="P384" s="38" t="s">
        <v>346</v>
      </c>
      <c r="Q384" s="35" t="s">
        <v>18</v>
      </c>
      <c r="R384" s="36" t="s">
        <v>128</v>
      </c>
    </row>
    <row r="385" spans="1:18" ht="27.6" customHeight="1">
      <c r="A385" s="25" t="s">
        <v>1511</v>
      </c>
      <c r="B385" s="182">
        <v>16</v>
      </c>
      <c r="C385" s="27" t="s">
        <v>526</v>
      </c>
      <c r="D385" s="32" t="s">
        <v>154</v>
      </c>
      <c r="E385" s="183">
        <v>9</v>
      </c>
      <c r="F385" s="184" t="s">
        <v>534</v>
      </c>
      <c r="G385" s="268" t="s">
        <v>1519</v>
      </c>
      <c r="H385" s="31">
        <v>24</v>
      </c>
      <c r="I385" s="32">
        <v>12</v>
      </c>
      <c r="J385" s="33">
        <v>57.926000000000002</v>
      </c>
      <c r="K385" s="269" t="s">
        <v>1097</v>
      </c>
      <c r="L385" s="31">
        <v>124</v>
      </c>
      <c r="M385" s="35">
        <v>0</v>
      </c>
      <c r="N385" s="36">
        <v>29.831</v>
      </c>
      <c r="O385" s="37" t="s">
        <v>130</v>
      </c>
      <c r="P385" s="38" t="s">
        <v>164</v>
      </c>
      <c r="Q385" s="35" t="s">
        <v>18</v>
      </c>
      <c r="R385" s="36" t="s">
        <v>364</v>
      </c>
    </row>
    <row r="386" spans="1:18" ht="27.6" customHeight="1">
      <c r="A386" s="25" t="s">
        <v>1511</v>
      </c>
      <c r="B386" s="182">
        <v>16</v>
      </c>
      <c r="C386" s="27" t="s">
        <v>526</v>
      </c>
      <c r="D386" s="32" t="s">
        <v>154</v>
      </c>
      <c r="E386" s="183">
        <v>10</v>
      </c>
      <c r="F386" s="184" t="s">
        <v>535</v>
      </c>
      <c r="G386" s="268" t="s">
        <v>1520</v>
      </c>
      <c r="H386" s="31">
        <v>24</v>
      </c>
      <c r="I386" s="32">
        <v>13</v>
      </c>
      <c r="J386" s="33">
        <v>53.319000000000003</v>
      </c>
      <c r="K386" s="269" t="s">
        <v>1098</v>
      </c>
      <c r="L386" s="31">
        <v>124</v>
      </c>
      <c r="M386" s="35">
        <v>2</v>
      </c>
      <c r="N386" s="36">
        <v>4.7240000000000002</v>
      </c>
      <c r="O386" s="37" t="s">
        <v>130</v>
      </c>
      <c r="P386" s="38" t="s">
        <v>346</v>
      </c>
      <c r="Q386" s="35" t="s">
        <v>18</v>
      </c>
      <c r="R386" s="36" t="s">
        <v>364</v>
      </c>
    </row>
    <row r="387" spans="1:18" ht="27.6" customHeight="1">
      <c r="A387" s="25" t="s">
        <v>1511</v>
      </c>
      <c r="B387" s="182">
        <v>16</v>
      </c>
      <c r="C387" s="27" t="s">
        <v>526</v>
      </c>
      <c r="D387" s="32" t="s">
        <v>154</v>
      </c>
      <c r="E387" s="183">
        <v>11</v>
      </c>
      <c r="F387" s="184" t="s">
        <v>536</v>
      </c>
      <c r="G387" s="268" t="s">
        <v>1521</v>
      </c>
      <c r="H387" s="31">
        <v>24</v>
      </c>
      <c r="I387" s="32">
        <v>15</v>
      </c>
      <c r="J387" s="33">
        <v>3.4119999999999999</v>
      </c>
      <c r="K387" s="269" t="s">
        <v>1099</v>
      </c>
      <c r="L387" s="31">
        <v>124</v>
      </c>
      <c r="M387" s="35">
        <v>1</v>
      </c>
      <c r="N387" s="36">
        <v>38.228000000000002</v>
      </c>
      <c r="O387" s="37" t="s">
        <v>130</v>
      </c>
      <c r="P387" s="38" t="s">
        <v>184</v>
      </c>
      <c r="Q387" s="35" t="s">
        <v>18</v>
      </c>
      <c r="R387" s="36" t="s">
        <v>35</v>
      </c>
    </row>
    <row r="388" spans="1:18" ht="27.6" customHeight="1">
      <c r="A388" s="25" t="s">
        <v>1511</v>
      </c>
      <c r="B388" s="182">
        <v>16</v>
      </c>
      <c r="C388" s="27" t="s">
        <v>526</v>
      </c>
      <c r="D388" s="32" t="s">
        <v>154</v>
      </c>
      <c r="E388" s="183">
        <v>12</v>
      </c>
      <c r="F388" s="184" t="s">
        <v>537</v>
      </c>
      <c r="G388" s="268" t="s">
        <v>1522</v>
      </c>
      <c r="H388" s="31">
        <v>24</v>
      </c>
      <c r="I388" s="32">
        <v>14</v>
      </c>
      <c r="J388" s="33">
        <v>38.517000000000003</v>
      </c>
      <c r="K388" s="269" t="s">
        <v>1100</v>
      </c>
      <c r="L388" s="31">
        <v>123</v>
      </c>
      <c r="M388" s="35">
        <v>57</v>
      </c>
      <c r="N388" s="36">
        <v>10.749000000000001</v>
      </c>
      <c r="O388" s="37" t="s">
        <v>139</v>
      </c>
      <c r="P388" s="38" t="s">
        <v>164</v>
      </c>
      <c r="Q388" s="35" t="s">
        <v>18</v>
      </c>
      <c r="R388" s="36" t="s">
        <v>364</v>
      </c>
    </row>
    <row r="389" spans="1:18" ht="27.6" customHeight="1">
      <c r="A389" s="25" t="s">
        <v>1511</v>
      </c>
      <c r="B389" s="182">
        <v>16</v>
      </c>
      <c r="C389" s="27" t="s">
        <v>526</v>
      </c>
      <c r="D389" s="32" t="s">
        <v>154</v>
      </c>
      <c r="E389" s="183">
        <v>13</v>
      </c>
      <c r="F389" s="184" t="s">
        <v>538</v>
      </c>
      <c r="G389" s="268" t="s">
        <v>1523</v>
      </c>
      <c r="H389" s="31">
        <v>24</v>
      </c>
      <c r="I389" s="32">
        <v>14</v>
      </c>
      <c r="J389" s="33">
        <v>30.518000000000001</v>
      </c>
      <c r="K389" s="269" t="s">
        <v>1101</v>
      </c>
      <c r="L389" s="31">
        <v>123</v>
      </c>
      <c r="M389" s="35">
        <v>55</v>
      </c>
      <c r="N389" s="36">
        <v>48.555</v>
      </c>
      <c r="O389" s="37" t="s">
        <v>139</v>
      </c>
      <c r="P389" s="38" t="s">
        <v>164</v>
      </c>
      <c r="Q389" s="35" t="s">
        <v>18</v>
      </c>
      <c r="R389" s="36" t="s">
        <v>364</v>
      </c>
    </row>
    <row r="390" spans="1:18" ht="27.6" customHeight="1">
      <c r="A390" s="25" t="s">
        <v>1511</v>
      </c>
      <c r="B390" s="182">
        <v>16</v>
      </c>
      <c r="C390" s="27" t="s">
        <v>526</v>
      </c>
      <c r="D390" s="32" t="s">
        <v>154</v>
      </c>
      <c r="E390" s="183">
        <v>14</v>
      </c>
      <c r="F390" s="184" t="s">
        <v>539</v>
      </c>
      <c r="G390" s="268" t="s">
        <v>1524</v>
      </c>
      <c r="H390" s="31">
        <v>24</v>
      </c>
      <c r="I390" s="32">
        <v>13</v>
      </c>
      <c r="J390" s="33">
        <v>57.722999999999999</v>
      </c>
      <c r="K390" s="269" t="s">
        <v>1102</v>
      </c>
      <c r="L390" s="31">
        <v>123</v>
      </c>
      <c r="M390" s="35">
        <v>56</v>
      </c>
      <c r="N390" s="36">
        <v>8.9529999999999994</v>
      </c>
      <c r="O390" s="37" t="s">
        <v>139</v>
      </c>
      <c r="P390" s="38" t="s">
        <v>371</v>
      </c>
      <c r="Q390" s="35" t="s">
        <v>18</v>
      </c>
      <c r="R390" s="36" t="s">
        <v>128</v>
      </c>
    </row>
    <row r="391" spans="1:18" ht="27.6" customHeight="1">
      <c r="A391" s="25" t="s">
        <v>1511</v>
      </c>
      <c r="B391" s="182">
        <v>16</v>
      </c>
      <c r="C391" s="27" t="s">
        <v>526</v>
      </c>
      <c r="D391" s="32" t="s">
        <v>154</v>
      </c>
      <c r="E391" s="183">
        <v>15</v>
      </c>
      <c r="F391" s="184" t="s">
        <v>540</v>
      </c>
      <c r="G391" s="268" t="s">
        <v>1525</v>
      </c>
      <c r="H391" s="31">
        <v>24</v>
      </c>
      <c r="I391" s="32">
        <v>13</v>
      </c>
      <c r="J391" s="33">
        <v>27.026</v>
      </c>
      <c r="K391" s="269" t="s">
        <v>1103</v>
      </c>
      <c r="L391" s="31">
        <v>123</v>
      </c>
      <c r="M391" s="35">
        <v>56</v>
      </c>
      <c r="N391" s="36">
        <v>2.3519999999999999</v>
      </c>
      <c r="O391" s="37" t="s">
        <v>139</v>
      </c>
      <c r="P391" s="38" t="s">
        <v>346</v>
      </c>
      <c r="Q391" s="35" t="s">
        <v>18</v>
      </c>
      <c r="R391" s="36" t="s">
        <v>35</v>
      </c>
    </row>
    <row r="392" spans="1:18" ht="27.6" customHeight="1">
      <c r="A392" s="25" t="s">
        <v>1511</v>
      </c>
      <c r="B392" s="182">
        <v>16</v>
      </c>
      <c r="C392" s="27" t="s">
        <v>526</v>
      </c>
      <c r="D392" s="32" t="s">
        <v>154</v>
      </c>
      <c r="E392" s="183">
        <v>16</v>
      </c>
      <c r="F392" s="184" t="s">
        <v>541</v>
      </c>
      <c r="G392" s="268" t="s">
        <v>1526</v>
      </c>
      <c r="H392" s="31">
        <v>24</v>
      </c>
      <c r="I392" s="32">
        <v>12</v>
      </c>
      <c r="J392" s="33">
        <v>59.930999999999997</v>
      </c>
      <c r="K392" s="269" t="s">
        <v>1104</v>
      </c>
      <c r="L392" s="31">
        <v>123</v>
      </c>
      <c r="M392" s="35">
        <v>54</v>
      </c>
      <c r="N392" s="36">
        <v>55.356999999999999</v>
      </c>
      <c r="O392" s="37" t="s">
        <v>130</v>
      </c>
      <c r="P392" s="38" t="s">
        <v>184</v>
      </c>
      <c r="Q392" s="35" t="s">
        <v>18</v>
      </c>
      <c r="R392" s="36" t="s">
        <v>35</v>
      </c>
    </row>
    <row r="393" spans="1:18" ht="27.6" customHeight="1">
      <c r="A393" s="25" t="s">
        <v>1511</v>
      </c>
      <c r="B393" s="182">
        <v>16</v>
      </c>
      <c r="C393" s="27" t="s">
        <v>526</v>
      </c>
      <c r="D393" s="32" t="s">
        <v>154</v>
      </c>
      <c r="E393" s="183">
        <v>17</v>
      </c>
      <c r="F393" s="184" t="s">
        <v>542</v>
      </c>
      <c r="G393" s="268" t="s">
        <v>1527</v>
      </c>
      <c r="H393" s="31">
        <v>24</v>
      </c>
      <c r="I393" s="32">
        <v>12</v>
      </c>
      <c r="J393" s="33">
        <v>56.430999999999997</v>
      </c>
      <c r="K393" s="269" t="s">
        <v>1105</v>
      </c>
      <c r="L393" s="31">
        <v>123</v>
      </c>
      <c r="M393" s="35">
        <v>55</v>
      </c>
      <c r="N393" s="36">
        <v>7.4560000000000004</v>
      </c>
      <c r="O393" s="37" t="s">
        <v>130</v>
      </c>
      <c r="P393" s="38" t="s">
        <v>346</v>
      </c>
      <c r="Q393" s="35" t="s">
        <v>18</v>
      </c>
      <c r="R393" s="36" t="s">
        <v>364</v>
      </c>
    </row>
    <row r="394" spans="1:18" ht="27.6" customHeight="1">
      <c r="A394" s="25" t="s">
        <v>1511</v>
      </c>
      <c r="B394" s="182">
        <v>16</v>
      </c>
      <c r="C394" s="27" t="s">
        <v>526</v>
      </c>
      <c r="D394" s="32" t="s">
        <v>154</v>
      </c>
      <c r="E394" s="183">
        <v>45</v>
      </c>
      <c r="F394" s="184" t="s">
        <v>543</v>
      </c>
      <c r="G394" s="268" t="s">
        <v>1506</v>
      </c>
      <c r="H394" s="31">
        <v>24</v>
      </c>
      <c r="I394" s="32">
        <v>16</v>
      </c>
      <c r="J394" s="33">
        <v>39.402000000000001</v>
      </c>
      <c r="K394" s="269" t="s">
        <v>1087</v>
      </c>
      <c r="L394" s="31">
        <v>124</v>
      </c>
      <c r="M394" s="35">
        <v>2</v>
      </c>
      <c r="N394" s="36">
        <v>8.8239999999999998</v>
      </c>
      <c r="O394" s="37" t="s">
        <v>139</v>
      </c>
      <c r="P394" s="38" t="s">
        <v>184</v>
      </c>
      <c r="Q394" s="35" t="s">
        <v>18</v>
      </c>
      <c r="R394" s="36" t="s">
        <v>85</v>
      </c>
    </row>
    <row r="395" spans="1:18" ht="27.6" customHeight="1">
      <c r="A395" s="25" t="s">
        <v>1511</v>
      </c>
      <c r="B395" s="182">
        <v>16</v>
      </c>
      <c r="C395" s="27" t="s">
        <v>526</v>
      </c>
      <c r="D395" s="32" t="s">
        <v>154</v>
      </c>
      <c r="E395" s="183">
        <v>69</v>
      </c>
      <c r="F395" s="184" t="s">
        <v>544</v>
      </c>
      <c r="G395" s="268" t="s">
        <v>1528</v>
      </c>
      <c r="H395" s="31">
        <v>24</v>
      </c>
      <c r="I395" s="32">
        <v>13</v>
      </c>
      <c r="J395" s="33">
        <v>20.422999999999998</v>
      </c>
      <c r="K395" s="269" t="s">
        <v>1106</v>
      </c>
      <c r="L395" s="31">
        <v>124</v>
      </c>
      <c r="M395" s="35">
        <v>1</v>
      </c>
      <c r="N395" s="36">
        <v>8.2279999999999998</v>
      </c>
      <c r="O395" s="37" t="s">
        <v>130</v>
      </c>
      <c r="P395" s="38" t="s">
        <v>371</v>
      </c>
      <c r="Q395" s="35" t="s">
        <v>18</v>
      </c>
      <c r="R395" s="36" t="s">
        <v>364</v>
      </c>
    </row>
    <row r="396" spans="1:18" ht="27.6" customHeight="1">
      <c r="A396" s="25" t="s">
        <v>1511</v>
      </c>
      <c r="B396" s="182">
        <v>16</v>
      </c>
      <c r="C396" s="27" t="s">
        <v>526</v>
      </c>
      <c r="D396" s="32" t="s">
        <v>154</v>
      </c>
      <c r="E396" s="183">
        <v>70</v>
      </c>
      <c r="F396" s="184" t="s">
        <v>545</v>
      </c>
      <c r="G396" s="268" t="s">
        <v>1529</v>
      </c>
      <c r="H396" s="31">
        <v>24</v>
      </c>
      <c r="I396" s="32">
        <v>13</v>
      </c>
      <c r="J396" s="33">
        <v>17.123000000000001</v>
      </c>
      <c r="K396" s="269" t="s">
        <v>1107</v>
      </c>
      <c r="L396" s="31">
        <v>124</v>
      </c>
      <c r="M396" s="35">
        <v>0</v>
      </c>
      <c r="N396" s="36">
        <v>0.33300000000000002</v>
      </c>
      <c r="O396" s="37" t="s">
        <v>130</v>
      </c>
      <c r="P396" s="38" t="s">
        <v>346</v>
      </c>
      <c r="Q396" s="35" t="s">
        <v>18</v>
      </c>
      <c r="R396" s="36" t="s">
        <v>128</v>
      </c>
    </row>
    <row r="397" spans="1:18" ht="27.6" customHeight="1">
      <c r="A397" s="25" t="s">
        <v>1511</v>
      </c>
      <c r="B397" s="182">
        <v>16</v>
      </c>
      <c r="C397" s="27" t="s">
        <v>526</v>
      </c>
      <c r="D397" s="32" t="s">
        <v>154</v>
      </c>
      <c r="E397" s="183">
        <v>85</v>
      </c>
      <c r="F397" s="184" t="s">
        <v>546</v>
      </c>
      <c r="G397" s="268" t="s">
        <v>1530</v>
      </c>
      <c r="H397" s="31">
        <v>24</v>
      </c>
      <c r="I397" s="32">
        <v>13</v>
      </c>
      <c r="J397" s="33">
        <v>21.626999999999999</v>
      </c>
      <c r="K397" s="269" t="s">
        <v>1108</v>
      </c>
      <c r="L397" s="31">
        <v>123</v>
      </c>
      <c r="M397" s="35">
        <v>56</v>
      </c>
      <c r="N397" s="36">
        <v>16.751000000000001</v>
      </c>
      <c r="O397" s="37" t="s">
        <v>130</v>
      </c>
      <c r="P397" s="38" t="s">
        <v>156</v>
      </c>
      <c r="Q397" s="35" t="s">
        <v>18</v>
      </c>
      <c r="R397" s="36" t="s">
        <v>128</v>
      </c>
    </row>
    <row r="398" spans="1:18" ht="27.6" customHeight="1">
      <c r="A398" s="25" t="s">
        <v>1511</v>
      </c>
      <c r="B398" s="182">
        <v>16</v>
      </c>
      <c r="C398" s="27" t="s">
        <v>526</v>
      </c>
      <c r="D398" s="32" t="s">
        <v>154</v>
      </c>
      <c r="E398" s="183">
        <v>94</v>
      </c>
      <c r="F398" s="184" t="s">
        <v>547</v>
      </c>
      <c r="G398" s="268" t="s">
        <v>1531</v>
      </c>
      <c r="H398" s="31">
        <v>24</v>
      </c>
      <c r="I398" s="32">
        <v>13</v>
      </c>
      <c r="J398" s="33">
        <v>47.12</v>
      </c>
      <c r="K398" s="269" t="s">
        <v>1109</v>
      </c>
      <c r="L398" s="31">
        <v>123</v>
      </c>
      <c r="M398" s="35">
        <v>59</v>
      </c>
      <c r="N398" s="36">
        <v>40.734999999999999</v>
      </c>
      <c r="O398" s="37" t="s">
        <v>175</v>
      </c>
      <c r="P398" s="38" t="s">
        <v>184</v>
      </c>
      <c r="Q398" s="35" t="s">
        <v>18</v>
      </c>
      <c r="R398" s="36" t="s">
        <v>35</v>
      </c>
    </row>
    <row r="399" spans="1:18" ht="27.6" customHeight="1">
      <c r="A399" s="25" t="s">
        <v>1511</v>
      </c>
      <c r="B399" s="182">
        <v>16</v>
      </c>
      <c r="C399" s="27" t="s">
        <v>526</v>
      </c>
      <c r="D399" s="32" t="s">
        <v>154</v>
      </c>
      <c r="E399" s="183">
        <v>95</v>
      </c>
      <c r="F399" s="184" t="s">
        <v>548</v>
      </c>
      <c r="G399" s="268" t="s">
        <v>1532</v>
      </c>
      <c r="H399" s="31">
        <v>24</v>
      </c>
      <c r="I399" s="32">
        <v>12</v>
      </c>
      <c r="J399" s="33">
        <v>40.228000000000002</v>
      </c>
      <c r="K399" s="269" t="s">
        <v>1110</v>
      </c>
      <c r="L399" s="31">
        <v>124</v>
      </c>
      <c r="M399" s="35">
        <v>0</v>
      </c>
      <c r="N399" s="33">
        <v>30.23</v>
      </c>
      <c r="O399" s="37" t="s">
        <v>175</v>
      </c>
      <c r="P399" s="38" t="s">
        <v>184</v>
      </c>
      <c r="Q399" s="35" t="s">
        <v>18</v>
      </c>
      <c r="R399" s="36" t="s">
        <v>85</v>
      </c>
    </row>
    <row r="400" spans="1:18" ht="27.6" customHeight="1">
      <c r="A400" s="25" t="s">
        <v>1511</v>
      </c>
      <c r="B400" s="182">
        <v>16</v>
      </c>
      <c r="C400" s="27" t="s">
        <v>526</v>
      </c>
      <c r="D400" s="32" t="s">
        <v>154</v>
      </c>
      <c r="E400" s="183">
        <v>96</v>
      </c>
      <c r="F400" s="184" t="s">
        <v>549</v>
      </c>
      <c r="G400" s="268" t="s">
        <v>1533</v>
      </c>
      <c r="H400" s="31">
        <v>24</v>
      </c>
      <c r="I400" s="32">
        <v>13</v>
      </c>
      <c r="J400" s="33">
        <v>20.523</v>
      </c>
      <c r="K400" s="269" t="s">
        <v>1111</v>
      </c>
      <c r="L400" s="31">
        <v>124</v>
      </c>
      <c r="M400" s="35">
        <v>1</v>
      </c>
      <c r="N400" s="36">
        <v>49.524000000000001</v>
      </c>
      <c r="O400" s="37" t="s">
        <v>175</v>
      </c>
      <c r="P400" s="38" t="s">
        <v>156</v>
      </c>
      <c r="Q400" s="35" t="s">
        <v>18</v>
      </c>
      <c r="R400" s="36" t="s">
        <v>75</v>
      </c>
    </row>
    <row r="401" spans="1:18" ht="27.6" customHeight="1">
      <c r="A401" s="25" t="s">
        <v>1511</v>
      </c>
      <c r="B401" s="182">
        <v>16</v>
      </c>
      <c r="C401" s="27" t="s">
        <v>526</v>
      </c>
      <c r="D401" s="32" t="s">
        <v>154</v>
      </c>
      <c r="E401" s="183">
        <v>97</v>
      </c>
      <c r="F401" s="184" t="s">
        <v>550</v>
      </c>
      <c r="G401" s="268" t="s">
        <v>1534</v>
      </c>
      <c r="H401" s="31">
        <v>24</v>
      </c>
      <c r="I401" s="32">
        <v>15</v>
      </c>
      <c r="J401" s="33">
        <v>4.6120000000000001</v>
      </c>
      <c r="K401" s="269" t="s">
        <v>1112</v>
      </c>
      <c r="L401" s="31">
        <v>124</v>
      </c>
      <c r="M401" s="35">
        <v>2</v>
      </c>
      <c r="N401" s="36">
        <v>4.5250000000000004</v>
      </c>
      <c r="O401" s="37" t="s">
        <v>175</v>
      </c>
      <c r="P401" s="38" t="s">
        <v>184</v>
      </c>
      <c r="Q401" s="35" t="s">
        <v>18</v>
      </c>
      <c r="R401" s="36" t="s">
        <v>15</v>
      </c>
    </row>
    <row r="402" spans="1:18" ht="27.6" customHeight="1">
      <c r="A402" s="25" t="s">
        <v>1511</v>
      </c>
      <c r="B402" s="182">
        <v>16</v>
      </c>
      <c r="C402" s="27" t="s">
        <v>526</v>
      </c>
      <c r="D402" s="32" t="s">
        <v>154</v>
      </c>
      <c r="E402" s="183">
        <v>98</v>
      </c>
      <c r="F402" s="184" t="s">
        <v>551</v>
      </c>
      <c r="G402" s="268" t="s">
        <v>1535</v>
      </c>
      <c r="H402" s="31">
        <v>24</v>
      </c>
      <c r="I402" s="32">
        <v>14</v>
      </c>
      <c r="J402" s="33">
        <v>10.419</v>
      </c>
      <c r="K402" s="269" t="s">
        <v>1113</v>
      </c>
      <c r="L402" s="31">
        <v>123</v>
      </c>
      <c r="M402" s="35">
        <v>57</v>
      </c>
      <c r="N402" s="36">
        <v>47.844999999999999</v>
      </c>
      <c r="O402" s="37" t="s">
        <v>175</v>
      </c>
      <c r="P402" s="38" t="s">
        <v>184</v>
      </c>
      <c r="Q402" s="35" t="s">
        <v>18</v>
      </c>
      <c r="R402" s="36" t="s">
        <v>85</v>
      </c>
    </row>
    <row r="403" spans="1:18" ht="27.6" customHeight="1">
      <c r="A403" s="25" t="s">
        <v>1511</v>
      </c>
      <c r="B403" s="182">
        <v>16</v>
      </c>
      <c r="C403" s="27" t="s">
        <v>526</v>
      </c>
      <c r="D403" s="32" t="s">
        <v>154</v>
      </c>
      <c r="E403" s="183">
        <v>99</v>
      </c>
      <c r="F403" s="184" t="s">
        <v>552</v>
      </c>
      <c r="G403" s="268" t="s">
        <v>1536</v>
      </c>
      <c r="H403" s="31">
        <v>24</v>
      </c>
      <c r="I403" s="32">
        <v>12</v>
      </c>
      <c r="J403" s="33">
        <v>22.234000000000002</v>
      </c>
      <c r="K403" s="269" t="s">
        <v>1114</v>
      </c>
      <c r="L403" s="31">
        <v>123</v>
      </c>
      <c r="M403" s="35">
        <v>56</v>
      </c>
      <c r="N403" s="33">
        <v>21.35</v>
      </c>
      <c r="O403" s="37" t="s">
        <v>175</v>
      </c>
      <c r="P403" s="38" t="s">
        <v>184</v>
      </c>
      <c r="Q403" s="35" t="s">
        <v>18</v>
      </c>
      <c r="R403" s="36" t="s">
        <v>112</v>
      </c>
    </row>
    <row r="404" spans="1:18" ht="27.6" customHeight="1">
      <c r="A404" s="25" t="s">
        <v>1511</v>
      </c>
      <c r="B404" s="182">
        <v>16</v>
      </c>
      <c r="C404" s="27" t="s">
        <v>526</v>
      </c>
      <c r="D404" s="32" t="s">
        <v>154</v>
      </c>
      <c r="E404" s="183">
        <v>100</v>
      </c>
      <c r="F404" s="184" t="s">
        <v>553</v>
      </c>
      <c r="G404" s="268" t="s">
        <v>1537</v>
      </c>
      <c r="H404" s="31">
        <v>24</v>
      </c>
      <c r="I404" s="32">
        <v>13</v>
      </c>
      <c r="J404" s="33">
        <v>10.33</v>
      </c>
      <c r="K404" s="269" t="s">
        <v>1115</v>
      </c>
      <c r="L404" s="31">
        <v>123</v>
      </c>
      <c r="M404" s="35">
        <v>54</v>
      </c>
      <c r="N404" s="36">
        <v>29.859000000000002</v>
      </c>
      <c r="O404" s="37" t="s">
        <v>175</v>
      </c>
      <c r="P404" s="38" t="s">
        <v>184</v>
      </c>
      <c r="Q404" s="35" t="s">
        <v>18</v>
      </c>
      <c r="R404" s="36" t="s">
        <v>112</v>
      </c>
    </row>
    <row r="405" spans="1:18" ht="27.6" customHeight="1">
      <c r="A405" s="25" t="s">
        <v>1511</v>
      </c>
      <c r="B405" s="182">
        <v>16</v>
      </c>
      <c r="C405" s="27" t="s">
        <v>526</v>
      </c>
      <c r="D405" s="32" t="s">
        <v>154</v>
      </c>
      <c r="E405" s="183">
        <v>101</v>
      </c>
      <c r="F405" s="184" t="s">
        <v>554</v>
      </c>
      <c r="G405" s="268" t="s">
        <v>1538</v>
      </c>
      <c r="H405" s="31">
        <v>24</v>
      </c>
      <c r="I405" s="32">
        <v>13</v>
      </c>
      <c r="J405" s="33">
        <v>41.625</v>
      </c>
      <c r="K405" s="269" t="s">
        <v>1116</v>
      </c>
      <c r="L405" s="31">
        <v>123</v>
      </c>
      <c r="M405" s="35">
        <v>55</v>
      </c>
      <c r="N405" s="36">
        <v>18.457000000000001</v>
      </c>
      <c r="O405" s="37" t="s">
        <v>139</v>
      </c>
      <c r="P405" s="38" t="s">
        <v>164</v>
      </c>
      <c r="Q405" s="35" t="s">
        <v>18</v>
      </c>
      <c r="R405" s="36" t="s">
        <v>75</v>
      </c>
    </row>
    <row r="406" spans="1:18" ht="27.6" customHeight="1">
      <c r="A406" s="25" t="s">
        <v>1511</v>
      </c>
      <c r="B406" s="182">
        <v>16</v>
      </c>
      <c r="C406" s="27" t="s">
        <v>526</v>
      </c>
      <c r="D406" s="32" t="s">
        <v>154</v>
      </c>
      <c r="E406" s="183">
        <v>102</v>
      </c>
      <c r="F406" s="184" t="s">
        <v>555</v>
      </c>
      <c r="G406" s="268" t="s">
        <v>1539</v>
      </c>
      <c r="H406" s="31">
        <v>24</v>
      </c>
      <c r="I406" s="32">
        <v>14</v>
      </c>
      <c r="J406" s="33">
        <v>56.515999999999998</v>
      </c>
      <c r="K406" s="269" t="s">
        <v>1117</v>
      </c>
      <c r="L406" s="31">
        <v>123</v>
      </c>
      <c r="M406" s="35">
        <v>55</v>
      </c>
      <c r="N406" s="36">
        <v>2.66</v>
      </c>
      <c r="O406" s="37" t="s">
        <v>139</v>
      </c>
      <c r="P406" s="38" t="s">
        <v>164</v>
      </c>
      <c r="Q406" s="35" t="s">
        <v>18</v>
      </c>
      <c r="R406" s="36" t="s">
        <v>85</v>
      </c>
    </row>
    <row r="407" spans="1:18" ht="27.6" customHeight="1">
      <c r="A407" s="25" t="s">
        <v>1511</v>
      </c>
      <c r="B407" s="182">
        <v>16</v>
      </c>
      <c r="C407" s="27" t="s">
        <v>526</v>
      </c>
      <c r="D407" s="32" t="s">
        <v>154</v>
      </c>
      <c r="E407" s="183">
        <v>103</v>
      </c>
      <c r="F407" s="184" t="s">
        <v>556</v>
      </c>
      <c r="G407" s="268" t="s">
        <v>1540</v>
      </c>
      <c r="H407" s="31">
        <v>24</v>
      </c>
      <c r="I407" s="32">
        <v>14</v>
      </c>
      <c r="J407" s="33">
        <v>37.25</v>
      </c>
      <c r="K407" s="269" t="s">
        <v>1118</v>
      </c>
      <c r="L407" s="31">
        <v>123</v>
      </c>
      <c r="M407" s="35">
        <v>53</v>
      </c>
      <c r="N407" s="36">
        <v>50.454000000000001</v>
      </c>
      <c r="O407" s="37" t="s">
        <v>175</v>
      </c>
      <c r="P407" s="38" t="s">
        <v>184</v>
      </c>
      <c r="Q407" s="35" t="s">
        <v>18</v>
      </c>
      <c r="R407" s="36" t="s">
        <v>75</v>
      </c>
    </row>
    <row r="408" spans="1:18" ht="27.6" customHeight="1" thickBot="1">
      <c r="A408" s="71" t="s">
        <v>1511</v>
      </c>
      <c r="B408" s="192">
        <v>16</v>
      </c>
      <c r="C408" s="73" t="s">
        <v>526</v>
      </c>
      <c r="D408" s="74" t="s">
        <v>154</v>
      </c>
      <c r="E408" s="193">
        <v>105</v>
      </c>
      <c r="F408" s="194" t="s">
        <v>557</v>
      </c>
      <c r="G408" s="274" t="s">
        <v>1541</v>
      </c>
      <c r="H408" s="77">
        <v>24</v>
      </c>
      <c r="I408" s="74">
        <v>15</v>
      </c>
      <c r="J408" s="122">
        <v>25.81</v>
      </c>
      <c r="K408" s="275" t="s">
        <v>1119</v>
      </c>
      <c r="L408" s="77">
        <v>123</v>
      </c>
      <c r="M408" s="123">
        <v>58</v>
      </c>
      <c r="N408" s="82">
        <v>4.9450000000000003</v>
      </c>
      <c r="O408" s="124" t="s">
        <v>139</v>
      </c>
      <c r="P408" s="125" t="s">
        <v>184</v>
      </c>
      <c r="Q408" s="123" t="s">
        <v>18</v>
      </c>
      <c r="R408" s="82" t="s">
        <v>35</v>
      </c>
    </row>
    <row r="409" spans="1:18" ht="27.6" customHeight="1" thickTop="1">
      <c r="A409" s="89" t="s">
        <v>1542</v>
      </c>
      <c r="B409" s="179">
        <v>17</v>
      </c>
      <c r="C409" s="85" t="s">
        <v>558</v>
      </c>
      <c r="D409" s="90" t="s">
        <v>154</v>
      </c>
      <c r="E409" s="180">
        <v>120</v>
      </c>
      <c r="F409" s="181" t="s">
        <v>559</v>
      </c>
      <c r="G409" s="96" t="s">
        <v>1543</v>
      </c>
      <c r="H409" s="89">
        <v>24</v>
      </c>
      <c r="I409" s="90">
        <v>24</v>
      </c>
      <c r="J409" s="91">
        <v>4.2990000000000004</v>
      </c>
      <c r="K409" s="253" t="s">
        <v>1544</v>
      </c>
      <c r="L409" s="89">
        <v>123</v>
      </c>
      <c r="M409" s="92">
        <v>53</v>
      </c>
      <c r="N409" s="93">
        <v>21.199000000000002</v>
      </c>
      <c r="O409" s="94" t="s">
        <v>560</v>
      </c>
      <c r="P409" s="95" t="s">
        <v>346</v>
      </c>
      <c r="Q409" s="92" t="s">
        <v>18</v>
      </c>
      <c r="R409" s="93" t="s">
        <v>112</v>
      </c>
    </row>
    <row r="410" spans="1:18" ht="27.6" customHeight="1">
      <c r="A410" s="31" t="s">
        <v>1542</v>
      </c>
      <c r="B410" s="182">
        <v>17</v>
      </c>
      <c r="C410" s="27" t="s">
        <v>558</v>
      </c>
      <c r="D410" s="32" t="s">
        <v>154</v>
      </c>
      <c r="E410" s="183">
        <v>121</v>
      </c>
      <c r="F410" s="184" t="s">
        <v>561</v>
      </c>
      <c r="G410" s="43" t="s">
        <v>1545</v>
      </c>
      <c r="H410" s="31">
        <v>24</v>
      </c>
      <c r="I410" s="32">
        <v>25</v>
      </c>
      <c r="J410" s="33">
        <v>27.292999999999999</v>
      </c>
      <c r="K410" s="34" t="s">
        <v>1546</v>
      </c>
      <c r="L410" s="31">
        <v>123</v>
      </c>
      <c r="M410" s="35">
        <v>51</v>
      </c>
      <c r="N410" s="36">
        <v>16.510999999999999</v>
      </c>
      <c r="O410" s="37" t="s">
        <v>175</v>
      </c>
      <c r="P410" s="38" t="s">
        <v>184</v>
      </c>
      <c r="Q410" s="35" t="s">
        <v>18</v>
      </c>
      <c r="R410" s="36" t="s">
        <v>364</v>
      </c>
    </row>
    <row r="411" spans="1:18" ht="27.6" customHeight="1">
      <c r="A411" s="31" t="s">
        <v>1542</v>
      </c>
      <c r="B411" s="182">
        <v>17</v>
      </c>
      <c r="C411" s="27" t="s">
        <v>558</v>
      </c>
      <c r="D411" s="32" t="s">
        <v>154</v>
      </c>
      <c r="E411" s="183">
        <v>122</v>
      </c>
      <c r="F411" s="184" t="s">
        <v>562</v>
      </c>
      <c r="G411" s="43" t="s">
        <v>1547</v>
      </c>
      <c r="H411" s="31">
        <v>24</v>
      </c>
      <c r="I411" s="32">
        <v>26</v>
      </c>
      <c r="J411" s="33">
        <v>5.4939999999999998</v>
      </c>
      <c r="K411" s="34" t="s">
        <v>1120</v>
      </c>
      <c r="L411" s="31">
        <v>123</v>
      </c>
      <c r="M411" s="35">
        <v>48</v>
      </c>
      <c r="N411" s="36">
        <v>57.524000000000001</v>
      </c>
      <c r="O411" s="37" t="s">
        <v>139</v>
      </c>
      <c r="P411" s="38" t="s">
        <v>382</v>
      </c>
      <c r="Q411" s="35" t="s">
        <v>18</v>
      </c>
      <c r="R411" s="36" t="s">
        <v>15</v>
      </c>
    </row>
    <row r="412" spans="1:18" ht="27.6" customHeight="1">
      <c r="A412" s="31" t="s">
        <v>1542</v>
      </c>
      <c r="B412" s="182">
        <v>17</v>
      </c>
      <c r="C412" s="27" t="s">
        <v>558</v>
      </c>
      <c r="D412" s="32" t="s">
        <v>154</v>
      </c>
      <c r="E412" s="183">
        <v>123</v>
      </c>
      <c r="F412" s="184" t="s">
        <v>563</v>
      </c>
      <c r="G412" s="268" t="s">
        <v>1548</v>
      </c>
      <c r="H412" s="31">
        <v>24</v>
      </c>
      <c r="I412" s="32">
        <v>27</v>
      </c>
      <c r="J412" s="33">
        <v>10.285</v>
      </c>
      <c r="K412" s="269" t="s">
        <v>1121</v>
      </c>
      <c r="L412" s="31">
        <v>123</v>
      </c>
      <c r="M412" s="35">
        <v>50</v>
      </c>
      <c r="N412" s="36">
        <v>12.321999999999999</v>
      </c>
      <c r="O412" s="37" t="s">
        <v>126</v>
      </c>
      <c r="P412" s="38" t="s">
        <v>346</v>
      </c>
      <c r="Q412" s="35" t="s">
        <v>18</v>
      </c>
      <c r="R412" s="36" t="s">
        <v>133</v>
      </c>
    </row>
    <row r="413" spans="1:18" ht="27.6" customHeight="1">
      <c r="A413" s="31" t="s">
        <v>1542</v>
      </c>
      <c r="B413" s="182">
        <v>17</v>
      </c>
      <c r="C413" s="27" t="s">
        <v>558</v>
      </c>
      <c r="D413" s="32" t="s">
        <v>154</v>
      </c>
      <c r="E413" s="183">
        <v>124</v>
      </c>
      <c r="F413" s="184" t="s">
        <v>564</v>
      </c>
      <c r="G413" s="268" t="s">
        <v>1549</v>
      </c>
      <c r="H413" s="31">
        <v>24</v>
      </c>
      <c r="I413" s="32">
        <v>27</v>
      </c>
      <c r="J413" s="33">
        <v>7.4850000000000003</v>
      </c>
      <c r="K413" s="269" t="s">
        <v>1122</v>
      </c>
      <c r="L413" s="31">
        <v>123</v>
      </c>
      <c r="M413" s="35">
        <v>50</v>
      </c>
      <c r="N413" s="36">
        <v>0.623</v>
      </c>
      <c r="O413" s="37" t="s">
        <v>139</v>
      </c>
      <c r="P413" s="38" t="s">
        <v>346</v>
      </c>
      <c r="Q413" s="35" t="s">
        <v>18</v>
      </c>
      <c r="R413" s="36" t="s">
        <v>128</v>
      </c>
    </row>
    <row r="414" spans="1:18" ht="27.6" customHeight="1">
      <c r="A414" s="31" t="s">
        <v>1542</v>
      </c>
      <c r="B414" s="182">
        <v>17</v>
      </c>
      <c r="C414" s="27" t="s">
        <v>558</v>
      </c>
      <c r="D414" s="32" t="s">
        <v>154</v>
      </c>
      <c r="E414" s="183">
        <v>125</v>
      </c>
      <c r="F414" s="184" t="s">
        <v>565</v>
      </c>
      <c r="G414" s="268" t="s">
        <v>1550</v>
      </c>
      <c r="H414" s="31">
        <v>24</v>
      </c>
      <c r="I414" s="32">
        <v>27</v>
      </c>
      <c r="J414" s="33">
        <v>14.986000000000001</v>
      </c>
      <c r="K414" s="269" t="s">
        <v>1123</v>
      </c>
      <c r="L414" s="31">
        <v>123</v>
      </c>
      <c r="M414" s="35">
        <v>48</v>
      </c>
      <c r="N414" s="33">
        <v>31.53</v>
      </c>
      <c r="O414" s="37" t="s">
        <v>139</v>
      </c>
      <c r="P414" s="38" t="s">
        <v>184</v>
      </c>
      <c r="Q414" s="35" t="s">
        <v>18</v>
      </c>
      <c r="R414" s="36" t="s">
        <v>75</v>
      </c>
    </row>
    <row r="415" spans="1:18" ht="27.6" customHeight="1">
      <c r="A415" s="31" t="s">
        <v>1542</v>
      </c>
      <c r="B415" s="182">
        <v>17</v>
      </c>
      <c r="C415" s="27" t="s">
        <v>558</v>
      </c>
      <c r="D415" s="32" t="s">
        <v>154</v>
      </c>
      <c r="E415" s="183">
        <v>126</v>
      </c>
      <c r="F415" s="184" t="s">
        <v>566</v>
      </c>
      <c r="G415" s="43" t="s">
        <v>1551</v>
      </c>
      <c r="H415" s="31">
        <v>24</v>
      </c>
      <c r="I415" s="32">
        <v>26</v>
      </c>
      <c r="J415" s="33">
        <v>22.594000000000001</v>
      </c>
      <c r="K415" s="34" t="s">
        <v>1124</v>
      </c>
      <c r="L415" s="31">
        <v>123</v>
      </c>
      <c r="M415" s="35">
        <v>46</v>
      </c>
      <c r="N415" s="36">
        <v>28.835999999999999</v>
      </c>
      <c r="O415" s="37" t="s">
        <v>175</v>
      </c>
      <c r="P415" s="38" t="s">
        <v>184</v>
      </c>
      <c r="Q415" s="35" t="s">
        <v>18</v>
      </c>
      <c r="R415" s="36" t="s">
        <v>96</v>
      </c>
    </row>
    <row r="416" spans="1:18" ht="27.6" customHeight="1">
      <c r="A416" s="31" t="s">
        <v>1542</v>
      </c>
      <c r="B416" s="182">
        <v>17</v>
      </c>
      <c r="C416" s="27" t="s">
        <v>558</v>
      </c>
      <c r="D416" s="32" t="s">
        <v>154</v>
      </c>
      <c r="E416" s="183">
        <v>127</v>
      </c>
      <c r="F416" s="184" t="s">
        <v>567</v>
      </c>
      <c r="G416" s="268" t="s">
        <v>1552</v>
      </c>
      <c r="H416" s="31">
        <v>24</v>
      </c>
      <c r="I416" s="32">
        <v>19</v>
      </c>
      <c r="J416" s="33">
        <v>48.841000000000001</v>
      </c>
      <c r="K416" s="269" t="s">
        <v>1125</v>
      </c>
      <c r="L416" s="31">
        <v>123</v>
      </c>
      <c r="M416" s="35">
        <v>44</v>
      </c>
      <c r="N416" s="36">
        <v>16.635000000000002</v>
      </c>
      <c r="O416" s="37" t="s">
        <v>135</v>
      </c>
      <c r="P416" s="38" t="s">
        <v>346</v>
      </c>
      <c r="Q416" s="35" t="s">
        <v>18</v>
      </c>
      <c r="R416" s="36" t="s">
        <v>88</v>
      </c>
    </row>
    <row r="417" spans="1:18" ht="27.6" customHeight="1">
      <c r="A417" s="31" t="s">
        <v>1542</v>
      </c>
      <c r="B417" s="182">
        <v>17</v>
      </c>
      <c r="C417" s="27" t="s">
        <v>558</v>
      </c>
      <c r="D417" s="32" t="s">
        <v>154</v>
      </c>
      <c r="E417" s="183">
        <v>129</v>
      </c>
      <c r="F417" s="184" t="s">
        <v>568</v>
      </c>
      <c r="G417" s="268" t="s">
        <v>1553</v>
      </c>
      <c r="H417" s="31">
        <v>24</v>
      </c>
      <c r="I417" s="32">
        <v>19</v>
      </c>
      <c r="J417" s="33">
        <v>12.848000000000001</v>
      </c>
      <c r="K417" s="269" t="s">
        <v>1126</v>
      </c>
      <c r="L417" s="31">
        <v>123</v>
      </c>
      <c r="M417" s="35">
        <v>42</v>
      </c>
      <c r="N417" s="36">
        <v>24.942</v>
      </c>
      <c r="O417" s="37" t="s">
        <v>135</v>
      </c>
      <c r="P417" s="38" t="s">
        <v>382</v>
      </c>
      <c r="Q417" s="35" t="s">
        <v>18</v>
      </c>
      <c r="R417" s="36" t="s">
        <v>569</v>
      </c>
    </row>
    <row r="418" spans="1:18" ht="27.6" customHeight="1">
      <c r="A418" s="31" t="s">
        <v>1542</v>
      </c>
      <c r="B418" s="182">
        <v>17</v>
      </c>
      <c r="C418" s="27" t="s">
        <v>558</v>
      </c>
      <c r="D418" s="32" t="s">
        <v>154</v>
      </c>
      <c r="E418" s="183">
        <v>130</v>
      </c>
      <c r="F418" s="184" t="s">
        <v>570</v>
      </c>
      <c r="G418" s="268" t="s">
        <v>1554</v>
      </c>
      <c r="H418" s="31">
        <v>24</v>
      </c>
      <c r="I418" s="32">
        <v>20</v>
      </c>
      <c r="J418" s="33">
        <v>52.137999999999998</v>
      </c>
      <c r="K418" s="269" t="s">
        <v>1127</v>
      </c>
      <c r="L418" s="31">
        <v>123</v>
      </c>
      <c r="M418" s="35">
        <v>41</v>
      </c>
      <c r="N418" s="36">
        <v>10.051</v>
      </c>
      <c r="O418" s="37" t="s">
        <v>175</v>
      </c>
      <c r="P418" s="38" t="s">
        <v>184</v>
      </c>
      <c r="Q418" s="35" t="s">
        <v>18</v>
      </c>
      <c r="R418" s="36" t="s">
        <v>151</v>
      </c>
    </row>
    <row r="419" spans="1:18" ht="27.6" customHeight="1">
      <c r="A419" s="31" t="s">
        <v>1542</v>
      </c>
      <c r="B419" s="182">
        <v>17</v>
      </c>
      <c r="C419" s="27" t="s">
        <v>558</v>
      </c>
      <c r="D419" s="32" t="s">
        <v>154</v>
      </c>
      <c r="E419" s="183">
        <v>131</v>
      </c>
      <c r="F419" s="184" t="s">
        <v>571</v>
      </c>
      <c r="G419" s="268" t="s">
        <v>1555</v>
      </c>
      <c r="H419" s="31">
        <v>24</v>
      </c>
      <c r="I419" s="32">
        <v>19</v>
      </c>
      <c r="J419" s="33">
        <v>20.248999999999999</v>
      </c>
      <c r="K419" s="269" t="s">
        <v>1556</v>
      </c>
      <c r="L419" s="31">
        <v>123</v>
      </c>
      <c r="M419" s="35">
        <v>40</v>
      </c>
      <c r="N419" s="36">
        <v>26.550999999999998</v>
      </c>
      <c r="O419" s="37" t="s">
        <v>175</v>
      </c>
      <c r="P419" s="38" t="s">
        <v>156</v>
      </c>
      <c r="Q419" s="35" t="s">
        <v>18</v>
      </c>
      <c r="R419" s="36" t="s">
        <v>572</v>
      </c>
    </row>
    <row r="420" spans="1:18" ht="27.6" customHeight="1">
      <c r="A420" s="31" t="s">
        <v>1542</v>
      </c>
      <c r="B420" s="182">
        <v>17</v>
      </c>
      <c r="C420" s="27" t="s">
        <v>558</v>
      </c>
      <c r="D420" s="32" t="s">
        <v>154</v>
      </c>
      <c r="E420" s="183">
        <v>132</v>
      </c>
      <c r="F420" s="184" t="s">
        <v>573</v>
      </c>
      <c r="G420" s="268" t="s">
        <v>1557</v>
      </c>
      <c r="H420" s="31">
        <v>24</v>
      </c>
      <c r="I420" s="32">
        <v>18</v>
      </c>
      <c r="J420" s="33">
        <v>58.750999999999998</v>
      </c>
      <c r="K420" s="269" t="s">
        <v>1128</v>
      </c>
      <c r="L420" s="31">
        <v>123</v>
      </c>
      <c r="M420" s="35">
        <v>40</v>
      </c>
      <c r="N420" s="33">
        <v>34.450000000000003</v>
      </c>
      <c r="O420" s="37" t="s">
        <v>130</v>
      </c>
      <c r="P420" s="38" t="s">
        <v>382</v>
      </c>
      <c r="Q420" s="35" t="s">
        <v>18</v>
      </c>
      <c r="R420" s="36" t="s">
        <v>128</v>
      </c>
    </row>
    <row r="421" spans="1:18" ht="27.6" customHeight="1">
      <c r="A421" s="31" t="s">
        <v>1542</v>
      </c>
      <c r="B421" s="182">
        <v>17</v>
      </c>
      <c r="C421" s="27" t="s">
        <v>558</v>
      </c>
      <c r="D421" s="32" t="s">
        <v>154</v>
      </c>
      <c r="E421" s="183">
        <v>133</v>
      </c>
      <c r="F421" s="184" t="s">
        <v>574</v>
      </c>
      <c r="G421" s="268" t="s">
        <v>1558</v>
      </c>
      <c r="H421" s="31">
        <v>24</v>
      </c>
      <c r="I421" s="32">
        <v>16</v>
      </c>
      <c r="J421" s="33">
        <v>45.743000000000002</v>
      </c>
      <c r="K421" s="269" t="s">
        <v>1129</v>
      </c>
      <c r="L421" s="31">
        <v>123</v>
      </c>
      <c r="M421" s="35">
        <v>41</v>
      </c>
      <c r="N421" s="36">
        <v>30.186</v>
      </c>
      <c r="O421" s="37" t="s">
        <v>175</v>
      </c>
      <c r="P421" s="38" t="s">
        <v>156</v>
      </c>
      <c r="Q421" s="35" t="s">
        <v>18</v>
      </c>
      <c r="R421" s="36" t="s">
        <v>85</v>
      </c>
    </row>
    <row r="422" spans="1:18" ht="27.6" customHeight="1">
      <c r="A422" s="31" t="s">
        <v>1542</v>
      </c>
      <c r="B422" s="182">
        <v>17</v>
      </c>
      <c r="C422" s="27" t="s">
        <v>558</v>
      </c>
      <c r="D422" s="32" t="s">
        <v>154</v>
      </c>
      <c r="E422" s="183">
        <v>134</v>
      </c>
      <c r="F422" s="184" t="s">
        <v>575</v>
      </c>
      <c r="G422" s="268" t="s">
        <v>1559</v>
      </c>
      <c r="H422" s="31">
        <v>24</v>
      </c>
      <c r="I422" s="32">
        <v>17</v>
      </c>
      <c r="J422" s="33">
        <v>7.5590000000000002</v>
      </c>
      <c r="K422" s="269" t="s">
        <v>1130</v>
      </c>
      <c r="L422" s="31">
        <v>123</v>
      </c>
      <c r="M422" s="35">
        <v>43</v>
      </c>
      <c r="N422" s="36">
        <v>52.030999999999999</v>
      </c>
      <c r="O422" s="37" t="s">
        <v>175</v>
      </c>
      <c r="P422" s="38" t="s">
        <v>156</v>
      </c>
      <c r="Q422" s="35" t="s">
        <v>18</v>
      </c>
      <c r="R422" s="36" t="s">
        <v>55</v>
      </c>
    </row>
    <row r="423" spans="1:18" ht="27.6" customHeight="1">
      <c r="A423" s="31" t="s">
        <v>1542</v>
      </c>
      <c r="B423" s="182">
        <v>17</v>
      </c>
      <c r="C423" s="27" t="s">
        <v>558</v>
      </c>
      <c r="D423" s="32" t="s">
        <v>154</v>
      </c>
      <c r="E423" s="183">
        <v>135</v>
      </c>
      <c r="F423" s="184" t="s">
        <v>576</v>
      </c>
      <c r="G423" s="268" t="s">
        <v>1560</v>
      </c>
      <c r="H423" s="31">
        <v>24</v>
      </c>
      <c r="I423" s="32">
        <v>17</v>
      </c>
      <c r="J423" s="33">
        <v>18.556999999999999</v>
      </c>
      <c r="K423" s="269" t="s">
        <v>1131</v>
      </c>
      <c r="L423" s="31">
        <v>123</v>
      </c>
      <c r="M423" s="35">
        <v>43</v>
      </c>
      <c r="N423" s="36">
        <v>56.231000000000002</v>
      </c>
      <c r="O423" s="37" t="s">
        <v>175</v>
      </c>
      <c r="P423" s="38" t="s">
        <v>346</v>
      </c>
      <c r="Q423" s="35" t="s">
        <v>18</v>
      </c>
      <c r="R423" s="36" t="s">
        <v>85</v>
      </c>
    </row>
    <row r="424" spans="1:18" ht="27.6" customHeight="1">
      <c r="A424" s="31" t="s">
        <v>1542</v>
      </c>
      <c r="B424" s="182">
        <v>17</v>
      </c>
      <c r="C424" s="27" t="s">
        <v>558</v>
      </c>
      <c r="D424" s="32" t="s">
        <v>154</v>
      </c>
      <c r="E424" s="183">
        <v>136</v>
      </c>
      <c r="F424" s="184" t="s">
        <v>577</v>
      </c>
      <c r="G424" s="268" t="s">
        <v>1561</v>
      </c>
      <c r="H424" s="31">
        <v>24</v>
      </c>
      <c r="I424" s="32">
        <v>16</v>
      </c>
      <c r="J424" s="33">
        <v>31.658999999999999</v>
      </c>
      <c r="K424" s="269" t="s">
        <v>1132</v>
      </c>
      <c r="L424" s="31">
        <v>123</v>
      </c>
      <c r="M424" s="35">
        <v>45</v>
      </c>
      <c r="N424" s="36">
        <v>46.621000000000002</v>
      </c>
      <c r="O424" s="37" t="s">
        <v>175</v>
      </c>
      <c r="P424" s="38" t="s">
        <v>156</v>
      </c>
      <c r="Q424" s="35" t="s">
        <v>18</v>
      </c>
      <c r="R424" s="36" t="s">
        <v>85</v>
      </c>
    </row>
    <row r="425" spans="1:18" ht="27.6" customHeight="1">
      <c r="A425" s="31" t="s">
        <v>1542</v>
      </c>
      <c r="B425" s="182">
        <v>17</v>
      </c>
      <c r="C425" s="27" t="s">
        <v>558</v>
      </c>
      <c r="D425" s="32" t="s">
        <v>154</v>
      </c>
      <c r="E425" s="183">
        <v>137</v>
      </c>
      <c r="F425" s="184" t="s">
        <v>578</v>
      </c>
      <c r="G425" s="268" t="s">
        <v>1562</v>
      </c>
      <c r="H425" s="31">
        <v>24</v>
      </c>
      <c r="I425" s="32">
        <v>14</v>
      </c>
      <c r="J425" s="33">
        <v>33.561</v>
      </c>
      <c r="K425" s="269" t="s">
        <v>1133</v>
      </c>
      <c r="L425" s="31">
        <v>123</v>
      </c>
      <c r="M425" s="35">
        <v>51</v>
      </c>
      <c r="N425" s="33">
        <v>55.59</v>
      </c>
      <c r="O425" s="37" t="s">
        <v>175</v>
      </c>
      <c r="P425" s="38" t="s">
        <v>184</v>
      </c>
      <c r="Q425" s="35" t="s">
        <v>18</v>
      </c>
      <c r="R425" s="36" t="s">
        <v>112</v>
      </c>
    </row>
    <row r="426" spans="1:18" ht="27.6" customHeight="1">
      <c r="A426" s="31" t="s">
        <v>1542</v>
      </c>
      <c r="B426" s="182">
        <v>17</v>
      </c>
      <c r="C426" s="27" t="s">
        <v>558</v>
      </c>
      <c r="D426" s="32" t="s">
        <v>154</v>
      </c>
      <c r="E426" s="183">
        <v>138</v>
      </c>
      <c r="F426" s="184" t="s">
        <v>579</v>
      </c>
      <c r="G426" s="268" t="s">
        <v>1563</v>
      </c>
      <c r="H426" s="31">
        <v>24</v>
      </c>
      <c r="I426" s="32">
        <v>20</v>
      </c>
      <c r="J426" s="33">
        <v>35.936999999999998</v>
      </c>
      <c r="K426" s="269" t="s">
        <v>1134</v>
      </c>
      <c r="L426" s="31">
        <v>123</v>
      </c>
      <c r="M426" s="35">
        <v>43</v>
      </c>
      <c r="N426" s="36">
        <v>47.139000000000003</v>
      </c>
      <c r="O426" s="37" t="s">
        <v>126</v>
      </c>
      <c r="P426" s="38" t="s">
        <v>346</v>
      </c>
      <c r="Q426" s="35" t="s">
        <v>18</v>
      </c>
      <c r="R426" s="36" t="s">
        <v>133</v>
      </c>
    </row>
    <row r="427" spans="1:18" ht="27.6" customHeight="1">
      <c r="A427" s="31" t="s">
        <v>1542</v>
      </c>
      <c r="B427" s="182">
        <v>17</v>
      </c>
      <c r="C427" s="27" t="s">
        <v>558</v>
      </c>
      <c r="D427" s="32" t="s">
        <v>154</v>
      </c>
      <c r="E427" s="183">
        <v>139</v>
      </c>
      <c r="F427" s="184" t="s">
        <v>580</v>
      </c>
      <c r="G427" s="268" t="s">
        <v>1564</v>
      </c>
      <c r="H427" s="31">
        <v>24</v>
      </c>
      <c r="I427" s="32">
        <v>22</v>
      </c>
      <c r="J427" s="33">
        <v>14.427</v>
      </c>
      <c r="K427" s="269" t="s">
        <v>1135</v>
      </c>
      <c r="L427" s="31">
        <v>123</v>
      </c>
      <c r="M427" s="35">
        <v>42</v>
      </c>
      <c r="N427" s="36">
        <v>21.649000000000001</v>
      </c>
      <c r="O427" s="37" t="s">
        <v>560</v>
      </c>
      <c r="P427" s="38" t="s">
        <v>184</v>
      </c>
      <c r="Q427" s="35" t="s">
        <v>18</v>
      </c>
      <c r="R427" s="36" t="s">
        <v>99</v>
      </c>
    </row>
    <row r="428" spans="1:18" ht="27.6" customHeight="1">
      <c r="A428" s="31" t="s">
        <v>1542</v>
      </c>
      <c r="B428" s="182">
        <v>17</v>
      </c>
      <c r="C428" s="27" t="s">
        <v>558</v>
      </c>
      <c r="D428" s="32" t="s">
        <v>154</v>
      </c>
      <c r="E428" s="183">
        <v>141</v>
      </c>
      <c r="F428" s="184" t="s">
        <v>581</v>
      </c>
      <c r="G428" s="268"/>
      <c r="H428" s="31">
        <v>24</v>
      </c>
      <c r="I428" s="32">
        <v>27</v>
      </c>
      <c r="J428" s="33">
        <v>23.77</v>
      </c>
      <c r="K428" s="269"/>
      <c r="L428" s="31">
        <v>123</v>
      </c>
      <c r="M428" s="35">
        <v>50</v>
      </c>
      <c r="N428" s="33">
        <v>30.08</v>
      </c>
      <c r="O428" s="37"/>
      <c r="P428" s="38" t="s">
        <v>184</v>
      </c>
      <c r="Q428" s="35" t="s">
        <v>18</v>
      </c>
      <c r="R428" s="36" t="s">
        <v>35</v>
      </c>
    </row>
    <row r="429" spans="1:18" ht="27.6" customHeight="1">
      <c r="A429" s="31" t="s">
        <v>1542</v>
      </c>
      <c r="B429" s="182">
        <v>17</v>
      </c>
      <c r="C429" s="27" t="s">
        <v>558</v>
      </c>
      <c r="D429" s="32" t="s">
        <v>154</v>
      </c>
      <c r="E429" s="183">
        <v>142</v>
      </c>
      <c r="F429" s="184" t="s">
        <v>582</v>
      </c>
      <c r="G429" s="268"/>
      <c r="H429" s="31">
        <v>24</v>
      </c>
      <c r="I429" s="32">
        <v>28</v>
      </c>
      <c r="J429" s="33">
        <v>34.53</v>
      </c>
      <c r="K429" s="269"/>
      <c r="L429" s="31">
        <v>123</v>
      </c>
      <c r="M429" s="35">
        <v>49</v>
      </c>
      <c r="N429" s="33">
        <v>45.02</v>
      </c>
      <c r="O429" s="37"/>
      <c r="P429" s="38" t="s">
        <v>184</v>
      </c>
      <c r="Q429" s="35" t="s">
        <v>18</v>
      </c>
      <c r="R429" s="36" t="s">
        <v>35</v>
      </c>
    </row>
    <row r="430" spans="1:18" ht="27.6" customHeight="1">
      <c r="A430" s="31" t="s">
        <v>1542</v>
      </c>
      <c r="B430" s="182">
        <v>17</v>
      </c>
      <c r="C430" s="27" t="s">
        <v>558</v>
      </c>
      <c r="D430" s="32" t="s">
        <v>154</v>
      </c>
      <c r="E430" s="183" t="s">
        <v>1565</v>
      </c>
      <c r="F430" s="184" t="s">
        <v>583</v>
      </c>
      <c r="G430" s="43" t="s">
        <v>1551</v>
      </c>
      <c r="H430" s="31">
        <v>24</v>
      </c>
      <c r="I430" s="32">
        <v>26</v>
      </c>
      <c r="J430" s="33">
        <v>22.594000000000001</v>
      </c>
      <c r="K430" s="34" t="s">
        <v>1124</v>
      </c>
      <c r="L430" s="31">
        <v>123</v>
      </c>
      <c r="M430" s="35">
        <v>46</v>
      </c>
      <c r="N430" s="36">
        <v>28.835999999999999</v>
      </c>
      <c r="O430" s="37" t="s">
        <v>130</v>
      </c>
      <c r="P430" s="38" t="s">
        <v>346</v>
      </c>
      <c r="Q430" s="35" t="s">
        <v>18</v>
      </c>
      <c r="R430" s="36" t="s">
        <v>133</v>
      </c>
    </row>
    <row r="431" spans="1:18" ht="27.6" customHeight="1" thickBot="1">
      <c r="A431" s="99" t="s">
        <v>1542</v>
      </c>
      <c r="B431" s="185">
        <v>17</v>
      </c>
      <c r="C431" s="48" t="s">
        <v>1566</v>
      </c>
      <c r="D431" s="100" t="s">
        <v>154</v>
      </c>
      <c r="E431" s="186" t="s">
        <v>1567</v>
      </c>
      <c r="F431" s="187" t="s">
        <v>584</v>
      </c>
      <c r="G431" s="270" t="s">
        <v>1552</v>
      </c>
      <c r="H431" s="99">
        <v>24</v>
      </c>
      <c r="I431" s="100">
        <v>19</v>
      </c>
      <c r="J431" s="101">
        <v>48.841000000000001</v>
      </c>
      <c r="K431" s="271" t="s">
        <v>1125</v>
      </c>
      <c r="L431" s="99">
        <v>123</v>
      </c>
      <c r="M431" s="56">
        <v>44</v>
      </c>
      <c r="N431" s="53">
        <v>16.635000000000002</v>
      </c>
      <c r="O431" s="54" t="s">
        <v>135</v>
      </c>
      <c r="P431" s="55" t="s">
        <v>371</v>
      </c>
      <c r="Q431" s="56" t="s">
        <v>18</v>
      </c>
      <c r="R431" s="53">
        <v>1</v>
      </c>
    </row>
    <row r="432" spans="1:18" ht="27.6" customHeight="1" thickTop="1">
      <c r="A432" s="57" t="s">
        <v>585</v>
      </c>
      <c r="B432" s="58">
        <v>18</v>
      </c>
      <c r="C432" s="59" t="s">
        <v>586</v>
      </c>
      <c r="D432" s="60" t="s">
        <v>587</v>
      </c>
      <c r="E432" s="190">
        <v>1</v>
      </c>
      <c r="F432" s="65" t="s">
        <v>588</v>
      </c>
      <c r="G432" s="272" t="s">
        <v>1568</v>
      </c>
      <c r="H432" s="103">
        <v>27</v>
      </c>
      <c r="I432" s="60">
        <v>7</v>
      </c>
      <c r="J432" s="104">
        <v>7.38</v>
      </c>
      <c r="K432" s="276" t="s">
        <v>1569</v>
      </c>
      <c r="L432" s="103">
        <v>142</v>
      </c>
      <c r="M432" s="105">
        <v>12</v>
      </c>
      <c r="N432" s="65">
        <v>10.85</v>
      </c>
      <c r="O432" s="106" t="s">
        <v>589</v>
      </c>
      <c r="P432" s="107" t="s">
        <v>590</v>
      </c>
      <c r="Q432" s="105" t="s">
        <v>18</v>
      </c>
      <c r="R432" s="102" t="s">
        <v>591</v>
      </c>
    </row>
    <row r="433" spans="1:18" ht="35.1" customHeight="1">
      <c r="A433" s="25" t="s">
        <v>585</v>
      </c>
      <c r="B433" s="26">
        <v>18</v>
      </c>
      <c r="C433" s="27" t="s">
        <v>586</v>
      </c>
      <c r="D433" s="32" t="s">
        <v>587</v>
      </c>
      <c r="E433" s="183">
        <v>2</v>
      </c>
      <c r="F433" s="36" t="s">
        <v>1570</v>
      </c>
      <c r="G433" s="268" t="s">
        <v>1571</v>
      </c>
      <c r="H433" s="31">
        <v>27</v>
      </c>
      <c r="I433" s="32">
        <v>6</v>
      </c>
      <c r="J433" s="33">
        <v>35</v>
      </c>
      <c r="K433" s="277" t="s">
        <v>1572</v>
      </c>
      <c r="L433" s="31">
        <v>142</v>
      </c>
      <c r="M433" s="35">
        <v>12</v>
      </c>
      <c r="N433" s="36">
        <v>14.5</v>
      </c>
      <c r="O433" s="37" t="s">
        <v>592</v>
      </c>
      <c r="P433" s="38" t="s">
        <v>593</v>
      </c>
      <c r="Q433" s="35" t="s">
        <v>594</v>
      </c>
      <c r="R433" s="97" t="s">
        <v>285</v>
      </c>
    </row>
    <row r="434" spans="1:18" ht="27.6" customHeight="1">
      <c r="A434" s="25" t="s">
        <v>585</v>
      </c>
      <c r="B434" s="26">
        <v>18</v>
      </c>
      <c r="C434" s="27" t="s">
        <v>586</v>
      </c>
      <c r="D434" s="32" t="s">
        <v>587</v>
      </c>
      <c r="E434" s="183">
        <v>3</v>
      </c>
      <c r="F434" s="36" t="s">
        <v>595</v>
      </c>
      <c r="G434" s="268" t="s">
        <v>1573</v>
      </c>
      <c r="H434" s="31">
        <v>27</v>
      </c>
      <c r="I434" s="32">
        <v>6</v>
      </c>
      <c r="J434" s="33">
        <v>36.01</v>
      </c>
      <c r="K434" s="277" t="s">
        <v>1574</v>
      </c>
      <c r="L434" s="31">
        <v>142</v>
      </c>
      <c r="M434" s="35">
        <v>13</v>
      </c>
      <c r="N434" s="36">
        <v>29.67</v>
      </c>
      <c r="O434" s="37" t="s">
        <v>589</v>
      </c>
      <c r="P434" s="38" t="s">
        <v>596</v>
      </c>
      <c r="Q434" s="35" t="s">
        <v>597</v>
      </c>
      <c r="R434" s="97" t="s">
        <v>598</v>
      </c>
    </row>
    <row r="435" spans="1:18" ht="35.1" customHeight="1">
      <c r="A435" s="25" t="s">
        <v>585</v>
      </c>
      <c r="B435" s="26">
        <v>18</v>
      </c>
      <c r="C435" s="27" t="s">
        <v>586</v>
      </c>
      <c r="D435" s="32" t="s">
        <v>587</v>
      </c>
      <c r="E435" s="183">
        <v>4</v>
      </c>
      <c r="F435" s="36" t="s">
        <v>599</v>
      </c>
      <c r="G435" s="268" t="s">
        <v>1575</v>
      </c>
      <c r="H435" s="31">
        <v>27</v>
      </c>
      <c r="I435" s="32">
        <v>6</v>
      </c>
      <c r="J435" s="33">
        <v>24.3</v>
      </c>
      <c r="K435" s="277" t="s">
        <v>1576</v>
      </c>
      <c r="L435" s="31">
        <v>142</v>
      </c>
      <c r="M435" s="35">
        <v>11</v>
      </c>
      <c r="N435" s="36">
        <v>39.450000000000003</v>
      </c>
      <c r="O435" s="37" t="s">
        <v>589</v>
      </c>
      <c r="P435" s="38" t="s">
        <v>590</v>
      </c>
      <c r="Q435" s="35" t="s">
        <v>600</v>
      </c>
      <c r="R435" s="97" t="s">
        <v>601</v>
      </c>
    </row>
    <row r="436" spans="1:18" ht="35.1" customHeight="1">
      <c r="A436" s="25" t="s">
        <v>585</v>
      </c>
      <c r="B436" s="26">
        <v>18</v>
      </c>
      <c r="C436" s="27" t="s">
        <v>586</v>
      </c>
      <c r="D436" s="32" t="s">
        <v>587</v>
      </c>
      <c r="E436" s="183">
        <v>5</v>
      </c>
      <c r="F436" s="97" t="s">
        <v>602</v>
      </c>
      <c r="G436" s="268" t="s">
        <v>1577</v>
      </c>
      <c r="H436" s="31">
        <v>27</v>
      </c>
      <c r="I436" s="32">
        <v>6</v>
      </c>
      <c r="J436" s="33">
        <v>16.27</v>
      </c>
      <c r="K436" s="277" t="s">
        <v>1578</v>
      </c>
      <c r="L436" s="31">
        <v>142</v>
      </c>
      <c r="M436" s="35">
        <v>12</v>
      </c>
      <c r="N436" s="36">
        <v>19.940000000000001</v>
      </c>
      <c r="O436" s="37" t="s">
        <v>589</v>
      </c>
      <c r="P436" s="38" t="s">
        <v>603</v>
      </c>
      <c r="Q436" s="35" t="s">
        <v>604</v>
      </c>
      <c r="R436" s="97" t="s">
        <v>296</v>
      </c>
    </row>
    <row r="437" spans="1:18" ht="50.25" customHeight="1">
      <c r="A437" s="25" t="s">
        <v>585</v>
      </c>
      <c r="B437" s="26">
        <v>18</v>
      </c>
      <c r="C437" s="27" t="s">
        <v>586</v>
      </c>
      <c r="D437" s="32" t="s">
        <v>587</v>
      </c>
      <c r="E437" s="183">
        <v>6</v>
      </c>
      <c r="F437" s="36" t="s">
        <v>605</v>
      </c>
      <c r="G437" s="268" t="s">
        <v>1579</v>
      </c>
      <c r="H437" s="31">
        <v>27</v>
      </c>
      <c r="I437" s="32">
        <v>5</v>
      </c>
      <c r="J437" s="33">
        <v>2.7</v>
      </c>
      <c r="K437" s="277" t="s">
        <v>1580</v>
      </c>
      <c r="L437" s="31">
        <v>142</v>
      </c>
      <c r="M437" s="35">
        <v>13</v>
      </c>
      <c r="N437" s="36">
        <v>31.96</v>
      </c>
      <c r="O437" s="37" t="s">
        <v>606</v>
      </c>
      <c r="P437" s="38" t="s">
        <v>603</v>
      </c>
      <c r="Q437" s="35" t="s">
        <v>18</v>
      </c>
      <c r="R437" s="97" t="s">
        <v>607</v>
      </c>
    </row>
    <row r="438" spans="1:18" ht="50.25" customHeight="1">
      <c r="A438" s="25" t="s">
        <v>585</v>
      </c>
      <c r="B438" s="26">
        <v>18</v>
      </c>
      <c r="C438" s="27" t="s">
        <v>586</v>
      </c>
      <c r="D438" s="32" t="s">
        <v>587</v>
      </c>
      <c r="E438" s="183">
        <v>7</v>
      </c>
      <c r="F438" s="36" t="s">
        <v>608</v>
      </c>
      <c r="G438" s="268" t="s">
        <v>1581</v>
      </c>
      <c r="H438" s="31">
        <v>27</v>
      </c>
      <c r="I438" s="32">
        <v>3</v>
      </c>
      <c r="J438" s="33">
        <v>18.98</v>
      </c>
      <c r="K438" s="277" t="s">
        <v>1582</v>
      </c>
      <c r="L438" s="31">
        <v>142</v>
      </c>
      <c r="M438" s="35">
        <v>13</v>
      </c>
      <c r="N438" s="36">
        <v>44.58</v>
      </c>
      <c r="O438" s="37" t="s">
        <v>589</v>
      </c>
      <c r="P438" s="38" t="s">
        <v>609</v>
      </c>
      <c r="Q438" s="35" t="s">
        <v>610</v>
      </c>
      <c r="R438" s="97" t="s">
        <v>611</v>
      </c>
    </row>
    <row r="439" spans="1:18" ht="50.25" customHeight="1">
      <c r="A439" s="25" t="s">
        <v>585</v>
      </c>
      <c r="B439" s="26">
        <v>18</v>
      </c>
      <c r="C439" s="27" t="s">
        <v>586</v>
      </c>
      <c r="D439" s="32" t="s">
        <v>587</v>
      </c>
      <c r="E439" s="183">
        <v>8</v>
      </c>
      <c r="F439" s="36" t="s">
        <v>612</v>
      </c>
      <c r="G439" s="268" t="s">
        <v>1583</v>
      </c>
      <c r="H439" s="31">
        <v>27</v>
      </c>
      <c r="I439" s="32">
        <v>3</v>
      </c>
      <c r="J439" s="33">
        <v>9.14</v>
      </c>
      <c r="K439" s="277" t="s">
        <v>1584</v>
      </c>
      <c r="L439" s="31">
        <v>142</v>
      </c>
      <c r="M439" s="35">
        <v>13</v>
      </c>
      <c r="N439" s="36">
        <v>23.83</v>
      </c>
      <c r="O439" s="37" t="s">
        <v>589</v>
      </c>
      <c r="P439" s="38" t="s">
        <v>613</v>
      </c>
      <c r="Q439" s="35" t="s">
        <v>18</v>
      </c>
      <c r="R439" s="97" t="s">
        <v>614</v>
      </c>
    </row>
    <row r="440" spans="1:18" ht="50.25" customHeight="1">
      <c r="A440" s="25" t="s">
        <v>585</v>
      </c>
      <c r="B440" s="26">
        <v>18</v>
      </c>
      <c r="C440" s="27" t="s">
        <v>586</v>
      </c>
      <c r="D440" s="32" t="s">
        <v>587</v>
      </c>
      <c r="E440" s="183">
        <v>9</v>
      </c>
      <c r="F440" s="97" t="s">
        <v>615</v>
      </c>
      <c r="G440" s="268" t="s">
        <v>1585</v>
      </c>
      <c r="H440" s="31">
        <v>27</v>
      </c>
      <c r="I440" s="32">
        <v>2</v>
      </c>
      <c r="J440" s="33">
        <v>50.16</v>
      </c>
      <c r="K440" s="277" t="s">
        <v>1586</v>
      </c>
      <c r="L440" s="31">
        <v>142</v>
      </c>
      <c r="M440" s="35">
        <v>10</v>
      </c>
      <c r="N440" s="36">
        <v>57.64</v>
      </c>
      <c r="O440" s="37" t="s">
        <v>616</v>
      </c>
      <c r="P440" s="38" t="s">
        <v>603</v>
      </c>
      <c r="Q440" s="35" t="s">
        <v>617</v>
      </c>
      <c r="R440" s="97" t="s">
        <v>618</v>
      </c>
    </row>
    <row r="441" spans="1:18" ht="50.25" customHeight="1">
      <c r="A441" s="25" t="s">
        <v>585</v>
      </c>
      <c r="B441" s="26">
        <v>18</v>
      </c>
      <c r="C441" s="27" t="s">
        <v>586</v>
      </c>
      <c r="D441" s="32" t="s">
        <v>587</v>
      </c>
      <c r="E441" s="183">
        <v>10</v>
      </c>
      <c r="F441" s="97" t="s">
        <v>619</v>
      </c>
      <c r="G441" s="268" t="s">
        <v>1587</v>
      </c>
      <c r="H441" s="31">
        <v>27</v>
      </c>
      <c r="I441" s="32">
        <v>3</v>
      </c>
      <c r="J441" s="33">
        <v>48.01</v>
      </c>
      <c r="K441" s="277" t="s">
        <v>1588</v>
      </c>
      <c r="L441" s="31">
        <v>142</v>
      </c>
      <c r="M441" s="35">
        <v>11</v>
      </c>
      <c r="N441" s="36">
        <v>32.450000000000003</v>
      </c>
      <c r="O441" s="37" t="s">
        <v>589</v>
      </c>
      <c r="P441" s="38" t="s">
        <v>620</v>
      </c>
      <c r="Q441" s="35" t="s">
        <v>18</v>
      </c>
      <c r="R441" s="97" t="s">
        <v>621</v>
      </c>
    </row>
    <row r="442" spans="1:18" ht="50.25" customHeight="1">
      <c r="A442" s="25" t="s">
        <v>585</v>
      </c>
      <c r="B442" s="26">
        <v>18</v>
      </c>
      <c r="C442" s="27" t="s">
        <v>586</v>
      </c>
      <c r="D442" s="32" t="s">
        <v>587</v>
      </c>
      <c r="E442" s="183">
        <v>11</v>
      </c>
      <c r="F442" s="97" t="s">
        <v>622</v>
      </c>
      <c r="G442" s="268" t="s">
        <v>1589</v>
      </c>
      <c r="H442" s="31">
        <v>27</v>
      </c>
      <c r="I442" s="32">
        <v>4</v>
      </c>
      <c r="J442" s="33">
        <v>30.46</v>
      </c>
      <c r="K442" s="277" t="s">
        <v>1590</v>
      </c>
      <c r="L442" s="31">
        <v>142</v>
      </c>
      <c r="M442" s="35">
        <v>11</v>
      </c>
      <c r="N442" s="36">
        <v>6.54</v>
      </c>
      <c r="O442" s="37" t="s">
        <v>589</v>
      </c>
      <c r="P442" s="38" t="s">
        <v>623</v>
      </c>
      <c r="Q442" s="35" t="s">
        <v>610</v>
      </c>
      <c r="R442" s="97" t="s">
        <v>624</v>
      </c>
    </row>
    <row r="443" spans="1:18" ht="35.1" customHeight="1" thickBot="1">
      <c r="A443" s="71" t="s">
        <v>585</v>
      </c>
      <c r="B443" s="72">
        <v>18</v>
      </c>
      <c r="C443" s="73" t="s">
        <v>586</v>
      </c>
      <c r="D443" s="74" t="s">
        <v>587</v>
      </c>
      <c r="E443" s="193">
        <v>12</v>
      </c>
      <c r="F443" s="147" t="s">
        <v>625</v>
      </c>
      <c r="G443" s="274" t="s">
        <v>1591</v>
      </c>
      <c r="H443" s="77">
        <v>27</v>
      </c>
      <c r="I443" s="74">
        <v>5</v>
      </c>
      <c r="J443" s="122">
        <v>37.04</v>
      </c>
      <c r="K443" s="278" t="s">
        <v>1592</v>
      </c>
      <c r="L443" s="77">
        <v>142</v>
      </c>
      <c r="M443" s="123">
        <v>11</v>
      </c>
      <c r="N443" s="82">
        <v>55.98</v>
      </c>
      <c r="O443" s="124" t="s">
        <v>589</v>
      </c>
      <c r="P443" s="125" t="s">
        <v>626</v>
      </c>
      <c r="Q443" s="123" t="s">
        <v>627</v>
      </c>
      <c r="R443" s="147" t="s">
        <v>285</v>
      </c>
    </row>
    <row r="444" spans="1:18" ht="35.1" customHeight="1" thickTop="1">
      <c r="A444" s="83" t="s">
        <v>628</v>
      </c>
      <c r="B444" s="84">
        <v>19</v>
      </c>
      <c r="C444" s="85" t="s">
        <v>629</v>
      </c>
      <c r="D444" s="86" t="s">
        <v>630</v>
      </c>
      <c r="E444" s="87">
        <v>1</v>
      </c>
      <c r="F444" s="93" t="s">
        <v>1593</v>
      </c>
      <c r="G444" s="252" t="s">
        <v>1594</v>
      </c>
      <c r="H444" s="195">
        <v>34</v>
      </c>
      <c r="I444" s="60">
        <v>59</v>
      </c>
      <c r="J444" s="196" t="s">
        <v>1672</v>
      </c>
      <c r="K444" s="252"/>
      <c r="L444" s="195">
        <v>139</v>
      </c>
      <c r="M444" s="105">
        <v>49</v>
      </c>
      <c r="N444" s="196" t="s">
        <v>1672</v>
      </c>
      <c r="O444" s="94" t="s">
        <v>141</v>
      </c>
      <c r="P444" s="95" t="s">
        <v>156</v>
      </c>
      <c r="Q444" s="92" t="s">
        <v>631</v>
      </c>
      <c r="R444" s="93" t="s">
        <v>19</v>
      </c>
    </row>
    <row r="445" spans="1:18" ht="35.1" customHeight="1">
      <c r="A445" s="25" t="s">
        <v>632</v>
      </c>
      <c r="B445" s="26">
        <v>19</v>
      </c>
      <c r="C445" s="27" t="s">
        <v>629</v>
      </c>
      <c r="D445" s="28" t="s">
        <v>630</v>
      </c>
      <c r="E445" s="29">
        <v>2</v>
      </c>
      <c r="F445" s="36" t="s">
        <v>1595</v>
      </c>
      <c r="G445" s="242" t="s">
        <v>1596</v>
      </c>
      <c r="H445" s="197">
        <v>34</v>
      </c>
      <c r="I445" s="32">
        <v>59</v>
      </c>
      <c r="J445" s="196" t="s">
        <v>1672</v>
      </c>
      <c r="K445" s="242"/>
      <c r="L445" s="197">
        <v>139</v>
      </c>
      <c r="M445" s="35">
        <v>49</v>
      </c>
      <c r="N445" s="196" t="s">
        <v>1672</v>
      </c>
      <c r="O445" s="37" t="s">
        <v>141</v>
      </c>
      <c r="P445" s="38" t="s">
        <v>156</v>
      </c>
      <c r="Q445" s="35" t="s">
        <v>631</v>
      </c>
      <c r="R445" s="36" t="s">
        <v>19</v>
      </c>
    </row>
    <row r="446" spans="1:18" ht="35.1" customHeight="1">
      <c r="A446" s="25" t="s">
        <v>632</v>
      </c>
      <c r="B446" s="26">
        <v>19</v>
      </c>
      <c r="C446" s="27" t="s">
        <v>629</v>
      </c>
      <c r="D446" s="28" t="s">
        <v>633</v>
      </c>
      <c r="E446" s="29">
        <v>3</v>
      </c>
      <c r="F446" s="36" t="s">
        <v>634</v>
      </c>
      <c r="G446" s="242" t="s">
        <v>1597</v>
      </c>
      <c r="H446" s="197">
        <v>34</v>
      </c>
      <c r="I446" s="32">
        <v>58</v>
      </c>
      <c r="J446" s="196" t="s">
        <v>1672</v>
      </c>
      <c r="K446" s="242"/>
      <c r="L446" s="197">
        <v>139</v>
      </c>
      <c r="M446" s="35">
        <v>46</v>
      </c>
      <c r="N446" s="196" t="s">
        <v>1672</v>
      </c>
      <c r="O446" s="37" t="s">
        <v>635</v>
      </c>
      <c r="P446" s="38" t="s">
        <v>636</v>
      </c>
      <c r="Q446" s="35" t="s">
        <v>637</v>
      </c>
      <c r="R446" s="36" t="s">
        <v>638</v>
      </c>
    </row>
    <row r="447" spans="1:18" ht="35.1" customHeight="1">
      <c r="A447" s="25" t="s">
        <v>632</v>
      </c>
      <c r="B447" s="26">
        <v>19</v>
      </c>
      <c r="C447" s="27" t="s">
        <v>629</v>
      </c>
      <c r="D447" s="28" t="s">
        <v>633</v>
      </c>
      <c r="E447" s="29">
        <v>4</v>
      </c>
      <c r="F447" s="36" t="s">
        <v>639</v>
      </c>
      <c r="G447" s="242" t="s">
        <v>1598</v>
      </c>
      <c r="H447" s="197">
        <v>34</v>
      </c>
      <c r="I447" s="32">
        <v>58</v>
      </c>
      <c r="J447" s="196" t="s">
        <v>1672</v>
      </c>
      <c r="K447" s="242"/>
      <c r="L447" s="197">
        <v>139</v>
      </c>
      <c r="M447" s="35">
        <v>46</v>
      </c>
      <c r="N447" s="196" t="s">
        <v>1672</v>
      </c>
      <c r="O447" s="198" t="s">
        <v>635</v>
      </c>
      <c r="P447" s="199" t="s">
        <v>156</v>
      </c>
      <c r="Q447" s="200" t="s">
        <v>640</v>
      </c>
      <c r="R447" s="201" t="s">
        <v>81</v>
      </c>
    </row>
    <row r="448" spans="1:18" ht="27.6" customHeight="1">
      <c r="A448" s="25" t="s">
        <v>632</v>
      </c>
      <c r="B448" s="26">
        <v>19</v>
      </c>
      <c r="C448" s="27" t="s">
        <v>629</v>
      </c>
      <c r="D448" s="28" t="s">
        <v>633</v>
      </c>
      <c r="E448" s="29">
        <v>5</v>
      </c>
      <c r="F448" s="36" t="s">
        <v>641</v>
      </c>
      <c r="G448" s="242" t="s">
        <v>1599</v>
      </c>
      <c r="H448" s="197">
        <v>35</v>
      </c>
      <c r="I448" s="32">
        <v>1</v>
      </c>
      <c r="J448" s="196" t="s">
        <v>1672</v>
      </c>
      <c r="K448" s="242"/>
      <c r="L448" s="197">
        <v>139</v>
      </c>
      <c r="M448" s="35">
        <v>49</v>
      </c>
      <c r="N448" s="196" t="s">
        <v>1672</v>
      </c>
      <c r="O448" s="37" t="s">
        <v>1600</v>
      </c>
      <c r="P448" s="38" t="s">
        <v>156</v>
      </c>
      <c r="Q448" s="35" t="s">
        <v>631</v>
      </c>
      <c r="R448" s="36" t="s">
        <v>642</v>
      </c>
    </row>
    <row r="449" spans="1:18" ht="27.6" customHeight="1" thickBot="1">
      <c r="A449" s="76" t="s">
        <v>632</v>
      </c>
      <c r="B449" s="732">
        <v>19</v>
      </c>
      <c r="C449" s="73" t="s">
        <v>629</v>
      </c>
      <c r="D449" s="121" t="s">
        <v>633</v>
      </c>
      <c r="E449" s="75">
        <v>6</v>
      </c>
      <c r="F449" s="82" t="s">
        <v>643</v>
      </c>
      <c r="G449" s="256"/>
      <c r="H449" s="730">
        <v>34</v>
      </c>
      <c r="I449" s="74">
        <v>58</v>
      </c>
      <c r="J449" s="731" t="s">
        <v>1672</v>
      </c>
      <c r="K449" s="256"/>
      <c r="L449" s="730">
        <v>139</v>
      </c>
      <c r="M449" s="123">
        <v>46</v>
      </c>
      <c r="N449" s="731" t="s">
        <v>1672</v>
      </c>
      <c r="O449" s="124" t="s">
        <v>644</v>
      </c>
      <c r="P449" s="125" t="s">
        <v>176</v>
      </c>
      <c r="Q449" s="123" t="s">
        <v>645</v>
      </c>
      <c r="R449" s="82" t="s">
        <v>646</v>
      </c>
    </row>
    <row r="450" spans="1:18" ht="35.1" customHeight="1" thickTop="1">
      <c r="A450" s="83" t="s">
        <v>647</v>
      </c>
      <c r="B450" s="84">
        <v>20</v>
      </c>
      <c r="C450" s="85" t="s">
        <v>648</v>
      </c>
      <c r="D450" s="86" t="s">
        <v>649</v>
      </c>
      <c r="E450" s="87">
        <v>1</v>
      </c>
      <c r="F450" s="88" t="s">
        <v>650</v>
      </c>
      <c r="G450" s="617" t="s">
        <v>863</v>
      </c>
      <c r="H450" s="89">
        <v>32</v>
      </c>
      <c r="I450" s="90">
        <v>39</v>
      </c>
      <c r="J450" s="93" t="s">
        <v>1672</v>
      </c>
      <c r="K450" s="252"/>
      <c r="L450" s="89">
        <v>128</v>
      </c>
      <c r="M450" s="90">
        <v>39</v>
      </c>
      <c r="N450" s="93" t="s">
        <v>1672</v>
      </c>
      <c r="O450" s="94" t="s">
        <v>1600</v>
      </c>
      <c r="P450" s="618" t="s">
        <v>651</v>
      </c>
      <c r="Q450" s="618" t="s">
        <v>1601</v>
      </c>
      <c r="R450" s="93" t="s">
        <v>128</v>
      </c>
    </row>
    <row r="451" spans="1:18" ht="35.1" customHeight="1">
      <c r="A451" s="25" t="s">
        <v>647</v>
      </c>
      <c r="B451" s="26">
        <v>20</v>
      </c>
      <c r="C451" s="27" t="s">
        <v>648</v>
      </c>
      <c r="D451" s="28" t="s">
        <v>649</v>
      </c>
      <c r="E451" s="29">
        <v>2</v>
      </c>
      <c r="F451" s="97" t="s">
        <v>652</v>
      </c>
      <c r="G451" s="244" t="s">
        <v>1602</v>
      </c>
      <c r="H451" s="31">
        <v>32</v>
      </c>
      <c r="I451" s="32">
        <v>39</v>
      </c>
      <c r="J451" s="33" t="s">
        <v>1672</v>
      </c>
      <c r="K451" s="242"/>
      <c r="L451" s="31">
        <v>128</v>
      </c>
      <c r="M451" s="32">
        <v>39</v>
      </c>
      <c r="N451" s="36" t="s">
        <v>1672</v>
      </c>
      <c r="O451" s="37" t="s">
        <v>1600</v>
      </c>
      <c r="P451" s="202" t="s">
        <v>653</v>
      </c>
      <c r="Q451" s="202" t="s">
        <v>1603</v>
      </c>
      <c r="R451" s="36" t="s">
        <v>372</v>
      </c>
    </row>
    <row r="452" spans="1:18" ht="35.1" customHeight="1">
      <c r="A452" s="25" t="s">
        <v>647</v>
      </c>
      <c r="B452" s="26">
        <v>20</v>
      </c>
      <c r="C452" s="27" t="s">
        <v>648</v>
      </c>
      <c r="D452" s="28" t="s">
        <v>649</v>
      </c>
      <c r="E452" s="29">
        <v>3</v>
      </c>
      <c r="F452" s="97" t="s">
        <v>654</v>
      </c>
      <c r="G452" s="244" t="s">
        <v>1602</v>
      </c>
      <c r="H452" s="31">
        <v>32</v>
      </c>
      <c r="I452" s="32">
        <v>34</v>
      </c>
      <c r="J452" s="33" t="s">
        <v>1672</v>
      </c>
      <c r="K452" s="242"/>
      <c r="L452" s="31">
        <v>128</v>
      </c>
      <c r="M452" s="32">
        <v>43</v>
      </c>
      <c r="N452" s="36" t="s">
        <v>1672</v>
      </c>
      <c r="O452" s="37" t="s">
        <v>1604</v>
      </c>
      <c r="P452" s="202" t="s">
        <v>655</v>
      </c>
      <c r="Q452" s="202" t="s">
        <v>864</v>
      </c>
      <c r="R452" s="36" t="s">
        <v>96</v>
      </c>
    </row>
    <row r="453" spans="1:18" ht="35.1" customHeight="1">
      <c r="A453" s="25" t="s">
        <v>647</v>
      </c>
      <c r="B453" s="26">
        <v>20</v>
      </c>
      <c r="C453" s="27" t="s">
        <v>648</v>
      </c>
      <c r="D453" s="28" t="s">
        <v>649</v>
      </c>
      <c r="E453" s="29">
        <v>4</v>
      </c>
      <c r="F453" s="97" t="s">
        <v>656</v>
      </c>
      <c r="G453" s="244"/>
      <c r="H453" s="31">
        <v>32</v>
      </c>
      <c r="I453" s="32">
        <v>34</v>
      </c>
      <c r="J453" s="33" t="s">
        <v>1672</v>
      </c>
      <c r="K453" s="242"/>
      <c r="L453" s="31">
        <v>128</v>
      </c>
      <c r="M453" s="32">
        <v>43</v>
      </c>
      <c r="N453" s="36" t="s">
        <v>1672</v>
      </c>
      <c r="O453" s="37" t="s">
        <v>1604</v>
      </c>
      <c r="P453" s="202" t="s">
        <v>655</v>
      </c>
      <c r="Q453" s="202" t="s">
        <v>864</v>
      </c>
      <c r="R453" s="36" t="s">
        <v>96</v>
      </c>
    </row>
    <row r="454" spans="1:18" ht="35.1" customHeight="1">
      <c r="A454" s="25" t="s">
        <v>647</v>
      </c>
      <c r="B454" s="26">
        <v>20</v>
      </c>
      <c r="C454" s="27" t="s">
        <v>648</v>
      </c>
      <c r="D454" s="28" t="s">
        <v>649</v>
      </c>
      <c r="E454" s="29">
        <v>5</v>
      </c>
      <c r="F454" s="97" t="s">
        <v>657</v>
      </c>
      <c r="G454" s="244"/>
      <c r="H454" s="31">
        <v>32</v>
      </c>
      <c r="I454" s="32">
        <v>34</v>
      </c>
      <c r="J454" s="33" t="s">
        <v>1672</v>
      </c>
      <c r="K454" s="242"/>
      <c r="L454" s="31">
        <v>128</v>
      </c>
      <c r="M454" s="32">
        <v>43</v>
      </c>
      <c r="N454" s="36" t="s">
        <v>1672</v>
      </c>
      <c r="O454" s="37" t="s">
        <v>1604</v>
      </c>
      <c r="P454" s="202" t="s">
        <v>655</v>
      </c>
      <c r="Q454" s="202" t="s">
        <v>1605</v>
      </c>
      <c r="R454" s="36" t="s">
        <v>430</v>
      </c>
    </row>
    <row r="455" spans="1:18" ht="39.950000000000003" customHeight="1">
      <c r="A455" s="25" t="s">
        <v>647</v>
      </c>
      <c r="B455" s="26">
        <v>20</v>
      </c>
      <c r="C455" s="27" t="s">
        <v>648</v>
      </c>
      <c r="D455" s="28" t="s">
        <v>649</v>
      </c>
      <c r="E455" s="29">
        <v>6</v>
      </c>
      <c r="F455" s="97" t="s">
        <v>658</v>
      </c>
      <c r="G455" s="242" t="s">
        <v>1606</v>
      </c>
      <c r="H455" s="31">
        <v>33</v>
      </c>
      <c r="I455" s="32">
        <v>48</v>
      </c>
      <c r="J455" s="33" t="s">
        <v>1672</v>
      </c>
      <c r="K455" s="242" t="s">
        <v>1136</v>
      </c>
      <c r="L455" s="31">
        <v>129</v>
      </c>
      <c r="M455" s="35">
        <v>40</v>
      </c>
      <c r="N455" s="36" t="s">
        <v>1672</v>
      </c>
      <c r="O455" s="37" t="s">
        <v>135</v>
      </c>
      <c r="P455" s="202" t="s">
        <v>659</v>
      </c>
      <c r="Q455" s="202" t="s">
        <v>1605</v>
      </c>
      <c r="R455" s="36" t="s">
        <v>372</v>
      </c>
    </row>
    <row r="456" spans="1:18" ht="27.6" customHeight="1">
      <c r="A456" s="25" t="s">
        <v>647</v>
      </c>
      <c r="B456" s="26">
        <v>20</v>
      </c>
      <c r="C456" s="27" t="s">
        <v>648</v>
      </c>
      <c r="D456" s="28" t="s">
        <v>649</v>
      </c>
      <c r="E456" s="29">
        <v>7</v>
      </c>
      <c r="F456" s="97" t="s">
        <v>660</v>
      </c>
      <c r="G456" s="242" t="s">
        <v>1607</v>
      </c>
      <c r="H456" s="31">
        <v>33</v>
      </c>
      <c r="I456" s="32">
        <v>45</v>
      </c>
      <c r="J456" s="33" t="s">
        <v>1672</v>
      </c>
      <c r="K456" s="242" t="s">
        <v>1137</v>
      </c>
      <c r="L456" s="31">
        <v>129</v>
      </c>
      <c r="M456" s="35">
        <v>39</v>
      </c>
      <c r="N456" s="36" t="s">
        <v>1672</v>
      </c>
      <c r="O456" s="37" t="s">
        <v>135</v>
      </c>
      <c r="P456" s="202" t="s">
        <v>661</v>
      </c>
      <c r="Q456" s="202" t="s">
        <v>1601</v>
      </c>
      <c r="R456" s="36" t="s">
        <v>372</v>
      </c>
    </row>
    <row r="457" spans="1:18" ht="27.6" customHeight="1">
      <c r="A457" s="25" t="s">
        <v>647</v>
      </c>
      <c r="B457" s="26">
        <v>20</v>
      </c>
      <c r="C457" s="27" t="s">
        <v>648</v>
      </c>
      <c r="D457" s="28" t="s">
        <v>649</v>
      </c>
      <c r="E457" s="29">
        <v>8</v>
      </c>
      <c r="F457" s="97" t="s">
        <v>662</v>
      </c>
      <c r="G457" s="242" t="s">
        <v>1608</v>
      </c>
      <c r="H457" s="31">
        <v>33</v>
      </c>
      <c r="I457" s="32">
        <v>46</v>
      </c>
      <c r="J457" s="33" t="s">
        <v>1672</v>
      </c>
      <c r="K457" s="242" t="s">
        <v>1138</v>
      </c>
      <c r="L457" s="31">
        <v>129</v>
      </c>
      <c r="M457" s="35">
        <v>39</v>
      </c>
      <c r="N457" s="36" t="s">
        <v>1672</v>
      </c>
      <c r="O457" s="37" t="s">
        <v>135</v>
      </c>
      <c r="P457" s="202" t="s">
        <v>659</v>
      </c>
      <c r="Q457" s="202" t="s">
        <v>1609</v>
      </c>
      <c r="R457" s="36" t="s">
        <v>372</v>
      </c>
    </row>
    <row r="458" spans="1:18" ht="35.1" customHeight="1">
      <c r="A458" s="25" t="s">
        <v>647</v>
      </c>
      <c r="B458" s="26">
        <v>20</v>
      </c>
      <c r="C458" s="27" t="s">
        <v>648</v>
      </c>
      <c r="D458" s="28" t="s">
        <v>649</v>
      </c>
      <c r="E458" s="29">
        <v>9</v>
      </c>
      <c r="F458" s="97" t="s">
        <v>663</v>
      </c>
      <c r="G458" s="242" t="s">
        <v>1610</v>
      </c>
      <c r="H458" s="31">
        <v>34</v>
      </c>
      <c r="I458" s="32">
        <v>24</v>
      </c>
      <c r="J458" s="33" t="s">
        <v>1672</v>
      </c>
      <c r="K458" s="242" t="s">
        <v>1136</v>
      </c>
      <c r="L458" s="31">
        <v>129</v>
      </c>
      <c r="M458" s="35">
        <v>16</v>
      </c>
      <c r="N458" s="36" t="s">
        <v>1672</v>
      </c>
      <c r="O458" s="37" t="s">
        <v>135</v>
      </c>
      <c r="P458" s="202" t="s">
        <v>659</v>
      </c>
      <c r="Q458" s="202" t="s">
        <v>1603</v>
      </c>
      <c r="R458" s="36" t="s">
        <v>372</v>
      </c>
    </row>
    <row r="459" spans="1:18" ht="35.1" customHeight="1">
      <c r="A459" s="25" t="s">
        <v>647</v>
      </c>
      <c r="B459" s="26">
        <v>20</v>
      </c>
      <c r="C459" s="27" t="s">
        <v>648</v>
      </c>
      <c r="D459" s="28" t="s">
        <v>649</v>
      </c>
      <c r="E459" s="29">
        <v>10</v>
      </c>
      <c r="F459" s="97" t="s">
        <v>664</v>
      </c>
      <c r="G459" s="244" t="s">
        <v>1602</v>
      </c>
      <c r="H459" s="31">
        <v>34</v>
      </c>
      <c r="I459" s="32">
        <v>16</v>
      </c>
      <c r="J459" s="33" t="s">
        <v>1672</v>
      </c>
      <c r="K459" s="242"/>
      <c r="L459" s="31">
        <v>129</v>
      </c>
      <c r="M459" s="32">
        <v>19</v>
      </c>
      <c r="N459" s="36" t="s">
        <v>1672</v>
      </c>
      <c r="O459" s="37" t="s">
        <v>1600</v>
      </c>
      <c r="P459" s="202" t="s">
        <v>653</v>
      </c>
      <c r="Q459" s="202" t="s">
        <v>1611</v>
      </c>
      <c r="R459" s="36" t="s">
        <v>665</v>
      </c>
    </row>
    <row r="460" spans="1:18" ht="35.1" customHeight="1">
      <c r="A460" s="25" t="s">
        <v>647</v>
      </c>
      <c r="B460" s="26">
        <v>20</v>
      </c>
      <c r="C460" s="27" t="s">
        <v>648</v>
      </c>
      <c r="D460" s="28" t="s">
        <v>649</v>
      </c>
      <c r="E460" s="29">
        <v>11</v>
      </c>
      <c r="F460" s="97" t="s">
        <v>666</v>
      </c>
      <c r="G460" s="244"/>
      <c r="H460" s="45">
        <v>32</v>
      </c>
      <c r="I460" s="28">
        <v>48</v>
      </c>
      <c r="J460" s="33" t="s">
        <v>1672</v>
      </c>
      <c r="K460" s="242"/>
      <c r="L460" s="45">
        <v>129</v>
      </c>
      <c r="M460" s="28">
        <v>3</v>
      </c>
      <c r="N460" s="36" t="s">
        <v>1672</v>
      </c>
      <c r="O460" s="37" t="s">
        <v>1604</v>
      </c>
      <c r="P460" s="202" t="s">
        <v>655</v>
      </c>
      <c r="Q460" s="202" t="s">
        <v>667</v>
      </c>
      <c r="R460" s="36" t="s">
        <v>665</v>
      </c>
    </row>
    <row r="461" spans="1:18" ht="27.6" customHeight="1">
      <c r="A461" s="25" t="s">
        <v>647</v>
      </c>
      <c r="B461" s="26">
        <v>20</v>
      </c>
      <c r="C461" s="27" t="s">
        <v>648</v>
      </c>
      <c r="D461" s="28" t="s">
        <v>649</v>
      </c>
      <c r="E461" s="29">
        <v>12</v>
      </c>
      <c r="F461" s="97" t="s">
        <v>668</v>
      </c>
      <c r="G461" s="244"/>
      <c r="H461" s="45">
        <v>32</v>
      </c>
      <c r="I461" s="28">
        <v>49</v>
      </c>
      <c r="J461" s="33" t="s">
        <v>1672</v>
      </c>
      <c r="K461" s="242"/>
      <c r="L461" s="45">
        <v>129</v>
      </c>
      <c r="M461" s="28">
        <v>2</v>
      </c>
      <c r="N461" s="36" t="s">
        <v>1672</v>
      </c>
      <c r="O461" s="37" t="s">
        <v>1604</v>
      </c>
      <c r="P461" s="202" t="s">
        <v>655</v>
      </c>
      <c r="Q461" s="202" t="s">
        <v>669</v>
      </c>
      <c r="R461" s="36" t="s">
        <v>88</v>
      </c>
    </row>
    <row r="462" spans="1:18" ht="35.1" customHeight="1">
      <c r="A462" s="25" t="s">
        <v>647</v>
      </c>
      <c r="B462" s="26">
        <v>20</v>
      </c>
      <c r="C462" s="27" t="s">
        <v>648</v>
      </c>
      <c r="D462" s="28" t="s">
        <v>649</v>
      </c>
      <c r="E462" s="29">
        <v>13</v>
      </c>
      <c r="F462" s="97" t="s">
        <v>670</v>
      </c>
      <c r="G462" s="244"/>
      <c r="H462" s="45">
        <v>32</v>
      </c>
      <c r="I462" s="28">
        <v>48</v>
      </c>
      <c r="J462" s="33" t="s">
        <v>1672</v>
      </c>
      <c r="K462" s="242"/>
      <c r="L462" s="45">
        <v>129</v>
      </c>
      <c r="M462" s="28">
        <v>3</v>
      </c>
      <c r="N462" s="36" t="s">
        <v>1672</v>
      </c>
      <c r="O462" s="37" t="s">
        <v>1604</v>
      </c>
      <c r="P462" s="202" t="s">
        <v>655</v>
      </c>
      <c r="Q462" s="202" t="s">
        <v>669</v>
      </c>
      <c r="R462" s="33">
        <v>7</v>
      </c>
    </row>
    <row r="463" spans="1:18" ht="35.1" customHeight="1">
      <c r="A463" s="46" t="s">
        <v>647</v>
      </c>
      <c r="B463" s="47">
        <v>20</v>
      </c>
      <c r="C463" s="48" t="s">
        <v>648</v>
      </c>
      <c r="D463" s="49" t="s">
        <v>649</v>
      </c>
      <c r="E463" s="50">
        <v>14</v>
      </c>
      <c r="F463" s="98" t="s">
        <v>671</v>
      </c>
      <c r="G463" s="245"/>
      <c r="H463" s="52">
        <v>32</v>
      </c>
      <c r="I463" s="49">
        <v>52</v>
      </c>
      <c r="J463" s="33" t="s">
        <v>1672</v>
      </c>
      <c r="K463" s="246"/>
      <c r="L463" s="52">
        <v>128</v>
      </c>
      <c r="M463" s="49">
        <v>58</v>
      </c>
      <c r="N463" s="53" t="s">
        <v>1672</v>
      </c>
      <c r="O463" s="54" t="s">
        <v>141</v>
      </c>
      <c r="P463" s="203" t="s">
        <v>653</v>
      </c>
      <c r="Q463" s="203" t="s">
        <v>631</v>
      </c>
      <c r="R463" s="53" t="s">
        <v>128</v>
      </c>
    </row>
    <row r="464" spans="1:18" ht="35.1" customHeight="1">
      <c r="A464" s="25" t="s">
        <v>647</v>
      </c>
      <c r="B464" s="26">
        <v>20</v>
      </c>
      <c r="C464" s="27" t="s">
        <v>648</v>
      </c>
      <c r="D464" s="28" t="s">
        <v>649</v>
      </c>
      <c r="E464" s="29">
        <v>15</v>
      </c>
      <c r="F464" s="97" t="s">
        <v>672</v>
      </c>
      <c r="G464" s="244"/>
      <c r="H464" s="31">
        <v>32</v>
      </c>
      <c r="I464" s="32">
        <v>44</v>
      </c>
      <c r="J464" s="33" t="s">
        <v>1672</v>
      </c>
      <c r="K464" s="242"/>
      <c r="L464" s="31">
        <v>128</v>
      </c>
      <c r="M464" s="32">
        <v>52</v>
      </c>
      <c r="N464" s="36" t="s">
        <v>1672</v>
      </c>
      <c r="O464" s="37" t="s">
        <v>1600</v>
      </c>
      <c r="P464" s="202" t="s">
        <v>673</v>
      </c>
      <c r="Q464" s="202" t="s">
        <v>864</v>
      </c>
      <c r="R464" s="36" t="s">
        <v>96</v>
      </c>
    </row>
    <row r="465" spans="1:18" ht="35.1" customHeight="1">
      <c r="A465" s="46" t="s">
        <v>647</v>
      </c>
      <c r="B465" s="47">
        <v>20</v>
      </c>
      <c r="C465" s="48" t="s">
        <v>648</v>
      </c>
      <c r="D465" s="49" t="s">
        <v>649</v>
      </c>
      <c r="E465" s="50">
        <v>16</v>
      </c>
      <c r="F465" s="98" t="s">
        <v>674</v>
      </c>
      <c r="G465" s="245"/>
      <c r="H465" s="99">
        <v>34</v>
      </c>
      <c r="I465" s="100">
        <v>16</v>
      </c>
      <c r="J465" s="219" t="s">
        <v>1672</v>
      </c>
      <c r="K465" s="246"/>
      <c r="L465" s="99">
        <v>129</v>
      </c>
      <c r="M465" s="100">
        <v>19</v>
      </c>
      <c r="N465" s="729" t="s">
        <v>1672</v>
      </c>
      <c r="O465" s="54" t="s">
        <v>141</v>
      </c>
      <c r="P465" s="203" t="s">
        <v>653</v>
      </c>
      <c r="Q465" s="203" t="s">
        <v>675</v>
      </c>
      <c r="R465" s="53" t="s">
        <v>1612</v>
      </c>
    </row>
    <row r="466" spans="1:18" ht="35.1" customHeight="1">
      <c r="A466" s="25" t="s">
        <v>647</v>
      </c>
      <c r="B466" s="26">
        <v>20</v>
      </c>
      <c r="C466" s="27" t="s">
        <v>648</v>
      </c>
      <c r="D466" s="28" t="s">
        <v>649</v>
      </c>
      <c r="E466" s="29">
        <v>17</v>
      </c>
      <c r="F466" s="97" t="s">
        <v>2020</v>
      </c>
      <c r="G466" s="244"/>
      <c r="H466" s="31">
        <v>32</v>
      </c>
      <c r="I466" s="32">
        <v>44</v>
      </c>
      <c r="J466" s="33" t="s">
        <v>1672</v>
      </c>
      <c r="K466" s="242"/>
      <c r="L466" s="31">
        <v>128</v>
      </c>
      <c r="M466" s="32">
        <v>52</v>
      </c>
      <c r="N466" s="33" t="s">
        <v>1672</v>
      </c>
      <c r="O466" s="37" t="s">
        <v>2054</v>
      </c>
      <c r="P466" s="202" t="s">
        <v>2057</v>
      </c>
      <c r="Q466" s="202" t="s">
        <v>864</v>
      </c>
      <c r="R466" s="36" t="s">
        <v>2056</v>
      </c>
    </row>
    <row r="467" spans="1:18" ht="35.1" customHeight="1">
      <c r="A467" s="25" t="s">
        <v>647</v>
      </c>
      <c r="B467" s="26">
        <v>20</v>
      </c>
      <c r="C467" s="27" t="s">
        <v>648</v>
      </c>
      <c r="D467" s="28" t="s">
        <v>649</v>
      </c>
      <c r="E467" s="304">
        <v>18</v>
      </c>
      <c r="F467" s="305" t="s">
        <v>2021</v>
      </c>
      <c r="G467" s="244"/>
      <c r="H467" s="31">
        <v>32</v>
      </c>
      <c r="I467" s="32">
        <v>43</v>
      </c>
      <c r="J467" s="219" t="s">
        <v>1672</v>
      </c>
      <c r="K467" s="242"/>
      <c r="L467" s="31">
        <v>128</v>
      </c>
      <c r="M467" s="32">
        <v>51</v>
      </c>
      <c r="N467" s="729" t="s">
        <v>1672</v>
      </c>
      <c r="O467" s="37" t="s">
        <v>2054</v>
      </c>
      <c r="P467" s="202" t="s">
        <v>2059</v>
      </c>
      <c r="Q467" s="202" t="s">
        <v>18</v>
      </c>
      <c r="R467" s="36" t="s">
        <v>2058</v>
      </c>
    </row>
    <row r="468" spans="1:18" ht="35.1" customHeight="1">
      <c r="A468" s="25" t="s">
        <v>647</v>
      </c>
      <c r="B468" s="26">
        <v>20</v>
      </c>
      <c r="C468" s="27" t="s">
        <v>648</v>
      </c>
      <c r="D468" s="28" t="s">
        <v>649</v>
      </c>
      <c r="E468" s="304">
        <v>19</v>
      </c>
      <c r="F468" s="305" t="s">
        <v>2022</v>
      </c>
      <c r="G468" s="244"/>
      <c r="H468" s="31">
        <v>32</v>
      </c>
      <c r="I468" s="32">
        <v>56</v>
      </c>
      <c r="J468" s="33" t="s">
        <v>1672</v>
      </c>
      <c r="K468" s="242"/>
      <c r="L468" s="31">
        <v>129</v>
      </c>
      <c r="M468" s="32">
        <v>0</v>
      </c>
      <c r="N468" s="33" t="s">
        <v>1672</v>
      </c>
      <c r="O468" s="37" t="s">
        <v>2054</v>
      </c>
      <c r="P468" s="202" t="s">
        <v>2061</v>
      </c>
      <c r="Q468" s="202" t="s">
        <v>18</v>
      </c>
      <c r="R468" s="36" t="s">
        <v>2060</v>
      </c>
    </row>
    <row r="469" spans="1:18" ht="35.1" customHeight="1" thickBot="1">
      <c r="A469" s="71" t="s">
        <v>647</v>
      </c>
      <c r="B469" s="72">
        <v>20</v>
      </c>
      <c r="C469" s="73" t="s">
        <v>648</v>
      </c>
      <c r="D469" s="121" t="s">
        <v>649</v>
      </c>
      <c r="E469" s="290">
        <v>20</v>
      </c>
      <c r="F469" s="293" t="s">
        <v>2023</v>
      </c>
      <c r="G469" s="250"/>
      <c r="H469" s="77">
        <v>32</v>
      </c>
      <c r="I469" s="74">
        <v>56</v>
      </c>
      <c r="J469" s="204" t="s">
        <v>1672</v>
      </c>
      <c r="K469" s="256"/>
      <c r="L469" s="77">
        <v>129</v>
      </c>
      <c r="M469" s="74">
        <v>2</v>
      </c>
      <c r="N469" s="79" t="s">
        <v>1672</v>
      </c>
      <c r="O469" s="124" t="s">
        <v>2055</v>
      </c>
      <c r="P469" s="205" t="s">
        <v>2063</v>
      </c>
      <c r="Q469" s="205" t="s">
        <v>18</v>
      </c>
      <c r="R469" s="82" t="s">
        <v>2062</v>
      </c>
    </row>
    <row r="470" spans="1:18" ht="35.1" customHeight="1" thickTop="1">
      <c r="A470" s="83" t="s">
        <v>676</v>
      </c>
      <c r="B470" s="84">
        <v>21</v>
      </c>
      <c r="C470" s="85" t="s">
        <v>677</v>
      </c>
      <c r="D470" s="86" t="s">
        <v>678</v>
      </c>
      <c r="E470" s="87">
        <v>1</v>
      </c>
      <c r="F470" s="88" t="s">
        <v>679</v>
      </c>
      <c r="G470" s="252" t="s">
        <v>1613</v>
      </c>
      <c r="H470" s="89">
        <v>33</v>
      </c>
      <c r="I470" s="90">
        <v>27</v>
      </c>
      <c r="J470" s="91">
        <v>24.4</v>
      </c>
      <c r="K470" s="252" t="s">
        <v>1614</v>
      </c>
      <c r="L470" s="89">
        <v>135</v>
      </c>
      <c r="M470" s="92">
        <v>45</v>
      </c>
      <c r="N470" s="93">
        <v>29.2</v>
      </c>
      <c r="O470" s="94" t="s">
        <v>141</v>
      </c>
      <c r="P470" s="95" t="s">
        <v>680</v>
      </c>
      <c r="Q470" s="92" t="s">
        <v>681</v>
      </c>
      <c r="R470" s="93" t="s">
        <v>682</v>
      </c>
    </row>
    <row r="471" spans="1:18" ht="45">
      <c r="A471" s="25" t="s">
        <v>676</v>
      </c>
      <c r="B471" s="26">
        <v>21</v>
      </c>
      <c r="C471" s="27" t="s">
        <v>677</v>
      </c>
      <c r="D471" s="28" t="s">
        <v>678</v>
      </c>
      <c r="E471" s="29">
        <v>2</v>
      </c>
      <c r="F471" s="97" t="s">
        <v>683</v>
      </c>
      <c r="G471" s="242" t="s">
        <v>1615</v>
      </c>
      <c r="H471" s="31">
        <v>33</v>
      </c>
      <c r="I471" s="32">
        <v>28</v>
      </c>
      <c r="J471" s="33">
        <v>52</v>
      </c>
      <c r="K471" s="242" t="s">
        <v>1616</v>
      </c>
      <c r="L471" s="31">
        <v>135</v>
      </c>
      <c r="M471" s="35">
        <v>44</v>
      </c>
      <c r="N471" s="36">
        <v>55.4</v>
      </c>
      <c r="O471" s="37" t="s">
        <v>684</v>
      </c>
      <c r="P471" s="38" t="s">
        <v>156</v>
      </c>
      <c r="Q471" s="35" t="s">
        <v>68</v>
      </c>
      <c r="R471" s="36" t="s">
        <v>35</v>
      </c>
    </row>
    <row r="472" spans="1:18" ht="39.950000000000003" customHeight="1">
      <c r="A472" s="25" t="s">
        <v>676</v>
      </c>
      <c r="B472" s="26">
        <v>21</v>
      </c>
      <c r="C472" s="27" t="s">
        <v>677</v>
      </c>
      <c r="D472" s="28" t="s">
        <v>678</v>
      </c>
      <c r="E472" s="29">
        <v>3</v>
      </c>
      <c r="F472" s="97" t="s">
        <v>1617</v>
      </c>
      <c r="G472" s="242" t="s">
        <v>1618</v>
      </c>
      <c r="H472" s="31">
        <v>33</v>
      </c>
      <c r="I472" s="32">
        <v>27</v>
      </c>
      <c r="J472" s="33">
        <v>14.2</v>
      </c>
      <c r="K472" s="242" t="s">
        <v>1619</v>
      </c>
      <c r="L472" s="31">
        <v>135</v>
      </c>
      <c r="M472" s="35">
        <v>45</v>
      </c>
      <c r="N472" s="36">
        <v>10.1</v>
      </c>
      <c r="O472" s="37" t="s">
        <v>45</v>
      </c>
      <c r="P472" s="38" t="s">
        <v>685</v>
      </c>
      <c r="Q472" s="35" t="s">
        <v>631</v>
      </c>
      <c r="R472" s="36" t="s">
        <v>686</v>
      </c>
    </row>
    <row r="473" spans="1:18" ht="33.75">
      <c r="A473" s="25" t="s">
        <v>676</v>
      </c>
      <c r="B473" s="26">
        <v>21</v>
      </c>
      <c r="C473" s="27" t="s">
        <v>677</v>
      </c>
      <c r="D473" s="28" t="s">
        <v>678</v>
      </c>
      <c r="E473" s="29">
        <v>4</v>
      </c>
      <c r="F473" s="97" t="s">
        <v>1620</v>
      </c>
      <c r="G473" s="244" t="s">
        <v>1139</v>
      </c>
      <c r="H473" s="45">
        <v>33</v>
      </c>
      <c r="I473" s="28">
        <v>27</v>
      </c>
      <c r="J473" s="36">
        <v>8</v>
      </c>
      <c r="K473" s="242"/>
      <c r="L473" s="45">
        <v>135</v>
      </c>
      <c r="M473" s="28">
        <v>45</v>
      </c>
      <c r="N473" s="36">
        <v>10.5</v>
      </c>
      <c r="O473" s="37" t="s">
        <v>45</v>
      </c>
      <c r="P473" s="38" t="s">
        <v>687</v>
      </c>
      <c r="Q473" s="35" t="s">
        <v>1621</v>
      </c>
      <c r="R473" s="36" t="s">
        <v>665</v>
      </c>
    </row>
    <row r="474" spans="1:18" ht="39.950000000000003" customHeight="1">
      <c r="A474" s="25" t="s">
        <v>676</v>
      </c>
      <c r="B474" s="26">
        <v>21</v>
      </c>
      <c r="C474" s="27" t="s">
        <v>677</v>
      </c>
      <c r="D474" s="28" t="s">
        <v>678</v>
      </c>
      <c r="E474" s="29">
        <v>5</v>
      </c>
      <c r="F474" s="97" t="s">
        <v>688</v>
      </c>
      <c r="G474" s="242" t="s">
        <v>1622</v>
      </c>
      <c r="H474" s="31">
        <v>33</v>
      </c>
      <c r="I474" s="32">
        <v>28</v>
      </c>
      <c r="J474" s="33">
        <v>31</v>
      </c>
      <c r="K474" s="242" t="s">
        <v>1623</v>
      </c>
      <c r="L474" s="31">
        <v>135</v>
      </c>
      <c r="M474" s="35">
        <v>44</v>
      </c>
      <c r="N474" s="36">
        <v>53.6</v>
      </c>
      <c r="O474" s="206" t="s">
        <v>689</v>
      </c>
      <c r="P474" s="38" t="s">
        <v>690</v>
      </c>
      <c r="Q474" s="35" t="s">
        <v>691</v>
      </c>
      <c r="R474" s="36" t="s">
        <v>128</v>
      </c>
    </row>
    <row r="475" spans="1:18" ht="35.1" customHeight="1">
      <c r="A475" s="25" t="s">
        <v>676</v>
      </c>
      <c r="B475" s="26">
        <v>21</v>
      </c>
      <c r="C475" s="27" t="s">
        <v>677</v>
      </c>
      <c r="D475" s="28" t="s">
        <v>678</v>
      </c>
      <c r="E475" s="29">
        <v>6</v>
      </c>
      <c r="F475" s="97" t="s">
        <v>692</v>
      </c>
      <c r="G475" s="242" t="s">
        <v>1624</v>
      </c>
      <c r="H475" s="31">
        <v>33</v>
      </c>
      <c r="I475" s="32">
        <v>29</v>
      </c>
      <c r="J475" s="33">
        <v>10.1</v>
      </c>
      <c r="K475" s="242" t="s">
        <v>1625</v>
      </c>
      <c r="L475" s="31">
        <v>135</v>
      </c>
      <c r="M475" s="35">
        <v>46</v>
      </c>
      <c r="N475" s="36">
        <v>14.3</v>
      </c>
      <c r="O475" s="206" t="s">
        <v>693</v>
      </c>
      <c r="P475" s="38" t="s">
        <v>685</v>
      </c>
      <c r="Q475" s="35" t="s">
        <v>68</v>
      </c>
      <c r="R475" s="36" t="s">
        <v>128</v>
      </c>
    </row>
    <row r="476" spans="1:18" ht="35.1" customHeight="1">
      <c r="A476" s="25" t="s">
        <v>676</v>
      </c>
      <c r="B476" s="26">
        <v>21</v>
      </c>
      <c r="C476" s="27" t="s">
        <v>677</v>
      </c>
      <c r="D476" s="28" t="s">
        <v>678</v>
      </c>
      <c r="E476" s="29">
        <v>7</v>
      </c>
      <c r="F476" s="97" t="s">
        <v>694</v>
      </c>
      <c r="G476" s="242" t="s">
        <v>1626</v>
      </c>
      <c r="H476" s="31">
        <v>33</v>
      </c>
      <c r="I476" s="32">
        <v>28</v>
      </c>
      <c r="J476" s="33">
        <v>46.7</v>
      </c>
      <c r="K476" s="242" t="s">
        <v>1627</v>
      </c>
      <c r="L476" s="31">
        <v>135</v>
      </c>
      <c r="M476" s="35">
        <v>45</v>
      </c>
      <c r="N476" s="36">
        <v>14.1</v>
      </c>
      <c r="O476" s="37" t="s">
        <v>45</v>
      </c>
      <c r="P476" s="38" t="s">
        <v>695</v>
      </c>
      <c r="Q476" s="35" t="s">
        <v>696</v>
      </c>
      <c r="R476" s="36" t="s">
        <v>96</v>
      </c>
    </row>
    <row r="477" spans="1:18" ht="35.1" customHeight="1">
      <c r="A477" s="25" t="s">
        <v>676</v>
      </c>
      <c r="B477" s="26">
        <v>21</v>
      </c>
      <c r="C477" s="27" t="s">
        <v>677</v>
      </c>
      <c r="D477" s="28" t="s">
        <v>678</v>
      </c>
      <c r="E477" s="29">
        <v>8</v>
      </c>
      <c r="F477" s="97" t="s">
        <v>697</v>
      </c>
      <c r="G477" s="242" t="s">
        <v>1628</v>
      </c>
      <c r="H477" s="31">
        <v>33</v>
      </c>
      <c r="I477" s="32">
        <v>28</v>
      </c>
      <c r="J477" s="33">
        <v>44.7</v>
      </c>
      <c r="K477" s="242" t="s">
        <v>1629</v>
      </c>
      <c r="L477" s="31">
        <v>135</v>
      </c>
      <c r="M477" s="35">
        <v>44</v>
      </c>
      <c r="N477" s="36">
        <v>36.6</v>
      </c>
      <c r="O477" s="37" t="s">
        <v>45</v>
      </c>
      <c r="P477" s="38" t="s">
        <v>698</v>
      </c>
      <c r="Q477" s="35" t="s">
        <v>18</v>
      </c>
      <c r="R477" s="36" t="s">
        <v>364</v>
      </c>
    </row>
    <row r="478" spans="1:18" ht="35.1" customHeight="1">
      <c r="A478" s="25" t="s">
        <v>676</v>
      </c>
      <c r="B478" s="26">
        <v>21</v>
      </c>
      <c r="C478" s="27" t="s">
        <v>677</v>
      </c>
      <c r="D478" s="28" t="s">
        <v>678</v>
      </c>
      <c r="E478" s="29">
        <v>9</v>
      </c>
      <c r="F478" s="97" t="s">
        <v>699</v>
      </c>
      <c r="G478" s="242" t="s">
        <v>1630</v>
      </c>
      <c r="H478" s="31">
        <v>33</v>
      </c>
      <c r="I478" s="32">
        <v>28</v>
      </c>
      <c r="J478" s="33">
        <v>27.4</v>
      </c>
      <c r="K478" s="242" t="s">
        <v>1631</v>
      </c>
      <c r="L478" s="31">
        <v>135</v>
      </c>
      <c r="M478" s="35">
        <v>44</v>
      </c>
      <c r="N478" s="36">
        <v>9.6999999999999993</v>
      </c>
      <c r="O478" s="37" t="s">
        <v>700</v>
      </c>
      <c r="P478" s="38" t="s">
        <v>156</v>
      </c>
      <c r="Q478" s="35" t="s">
        <v>675</v>
      </c>
      <c r="R478" s="36" t="s">
        <v>85</v>
      </c>
    </row>
    <row r="479" spans="1:18" ht="35.1" customHeight="1">
      <c r="A479" s="25" t="s">
        <v>676</v>
      </c>
      <c r="B479" s="26">
        <v>21</v>
      </c>
      <c r="C479" s="27" t="s">
        <v>677</v>
      </c>
      <c r="D479" s="28" t="s">
        <v>678</v>
      </c>
      <c r="E479" s="29">
        <v>10</v>
      </c>
      <c r="F479" s="97" t="s">
        <v>701</v>
      </c>
      <c r="G479" s="242" t="s">
        <v>1632</v>
      </c>
      <c r="H479" s="31">
        <v>33</v>
      </c>
      <c r="I479" s="32">
        <v>28</v>
      </c>
      <c r="J479" s="33">
        <v>39.6</v>
      </c>
      <c r="K479" s="242" t="s">
        <v>1633</v>
      </c>
      <c r="L479" s="31">
        <v>135</v>
      </c>
      <c r="M479" s="35">
        <v>43</v>
      </c>
      <c r="N479" s="36">
        <v>27.5</v>
      </c>
      <c r="O479" s="37" t="s">
        <v>702</v>
      </c>
      <c r="P479" s="38" t="s">
        <v>703</v>
      </c>
      <c r="Q479" s="35" t="s">
        <v>18</v>
      </c>
      <c r="R479" s="36" t="s">
        <v>112</v>
      </c>
    </row>
    <row r="480" spans="1:18" ht="35.1" customHeight="1">
      <c r="A480" s="25" t="s">
        <v>676</v>
      </c>
      <c r="B480" s="26">
        <v>21</v>
      </c>
      <c r="C480" s="27" t="s">
        <v>677</v>
      </c>
      <c r="D480" s="28" t="s">
        <v>678</v>
      </c>
      <c r="E480" s="29">
        <v>11</v>
      </c>
      <c r="F480" s="97" t="s">
        <v>704</v>
      </c>
      <c r="G480" s="242" t="s">
        <v>1634</v>
      </c>
      <c r="H480" s="31">
        <v>33</v>
      </c>
      <c r="I480" s="32">
        <v>28</v>
      </c>
      <c r="J480" s="33">
        <v>50</v>
      </c>
      <c r="K480" s="242" t="s">
        <v>1635</v>
      </c>
      <c r="L480" s="31">
        <v>135</v>
      </c>
      <c r="M480" s="35">
        <v>44</v>
      </c>
      <c r="N480" s="36">
        <v>46.5</v>
      </c>
      <c r="O480" s="37" t="s">
        <v>635</v>
      </c>
      <c r="P480" s="38" t="s">
        <v>685</v>
      </c>
      <c r="Q480" s="35" t="s">
        <v>705</v>
      </c>
      <c r="R480" s="36" t="s">
        <v>372</v>
      </c>
    </row>
    <row r="481" spans="1:20" ht="35.1" customHeight="1">
      <c r="A481" s="25" t="s">
        <v>676</v>
      </c>
      <c r="B481" s="26">
        <v>21</v>
      </c>
      <c r="C481" s="27" t="s">
        <v>677</v>
      </c>
      <c r="D481" s="28" t="s">
        <v>678</v>
      </c>
      <c r="E481" s="29">
        <v>12</v>
      </c>
      <c r="F481" s="97" t="s">
        <v>706</v>
      </c>
      <c r="G481" s="242" t="s">
        <v>1636</v>
      </c>
      <c r="H481" s="31">
        <v>33</v>
      </c>
      <c r="I481" s="32">
        <v>29</v>
      </c>
      <c r="J481" s="33">
        <v>3.7</v>
      </c>
      <c r="K481" s="242" t="s">
        <v>1637</v>
      </c>
      <c r="L481" s="31">
        <v>135</v>
      </c>
      <c r="M481" s="35">
        <v>44</v>
      </c>
      <c r="N481" s="36">
        <v>4.5999999999999996</v>
      </c>
      <c r="O481" s="37" t="s">
        <v>707</v>
      </c>
      <c r="P481" s="38" t="s">
        <v>708</v>
      </c>
      <c r="Q481" s="35" t="s">
        <v>68</v>
      </c>
      <c r="R481" s="36" t="s">
        <v>96</v>
      </c>
    </row>
    <row r="482" spans="1:20" ht="35.1" customHeight="1">
      <c r="A482" s="25" t="s">
        <v>676</v>
      </c>
      <c r="B482" s="26">
        <v>21</v>
      </c>
      <c r="C482" s="27" t="s">
        <v>677</v>
      </c>
      <c r="D482" s="28" t="s">
        <v>678</v>
      </c>
      <c r="E482" s="29">
        <v>13</v>
      </c>
      <c r="F482" s="97" t="s">
        <v>709</v>
      </c>
      <c r="G482" s="242" t="s">
        <v>1638</v>
      </c>
      <c r="H482" s="31">
        <v>33</v>
      </c>
      <c r="I482" s="32">
        <v>29</v>
      </c>
      <c r="J482" s="33">
        <v>52.3</v>
      </c>
      <c r="K482" s="242" t="s">
        <v>1639</v>
      </c>
      <c r="L482" s="31">
        <v>135</v>
      </c>
      <c r="M482" s="35">
        <v>41</v>
      </c>
      <c r="N482" s="36">
        <v>38.1</v>
      </c>
      <c r="O482" s="37" t="s">
        <v>635</v>
      </c>
      <c r="P482" s="38" t="s">
        <v>156</v>
      </c>
      <c r="Q482" s="35" t="s">
        <v>667</v>
      </c>
      <c r="R482" s="36" t="s">
        <v>151</v>
      </c>
    </row>
    <row r="483" spans="1:20" ht="39.950000000000003" customHeight="1">
      <c r="A483" s="25" t="s">
        <v>676</v>
      </c>
      <c r="B483" s="26">
        <v>21</v>
      </c>
      <c r="C483" s="27" t="s">
        <v>677</v>
      </c>
      <c r="D483" s="28" t="s">
        <v>678</v>
      </c>
      <c r="E483" s="29">
        <v>14</v>
      </c>
      <c r="F483" s="97" t="s">
        <v>710</v>
      </c>
      <c r="G483" s="242" t="s">
        <v>1638</v>
      </c>
      <c r="H483" s="31">
        <v>33</v>
      </c>
      <c r="I483" s="32">
        <v>29</v>
      </c>
      <c r="J483" s="33">
        <v>52.3</v>
      </c>
      <c r="K483" s="242" t="s">
        <v>1639</v>
      </c>
      <c r="L483" s="31">
        <v>135</v>
      </c>
      <c r="M483" s="35">
        <v>41</v>
      </c>
      <c r="N483" s="36">
        <v>38.1</v>
      </c>
      <c r="O483" s="37" t="s">
        <v>635</v>
      </c>
      <c r="P483" s="38" t="s">
        <v>156</v>
      </c>
      <c r="Q483" s="35" t="s">
        <v>705</v>
      </c>
      <c r="R483" s="36" t="s">
        <v>15</v>
      </c>
    </row>
    <row r="484" spans="1:20" ht="35.1" customHeight="1">
      <c r="A484" s="25" t="s">
        <v>676</v>
      </c>
      <c r="B484" s="26">
        <v>21</v>
      </c>
      <c r="C484" s="27" t="s">
        <v>677</v>
      </c>
      <c r="D484" s="28" t="s">
        <v>678</v>
      </c>
      <c r="E484" s="29">
        <v>15</v>
      </c>
      <c r="F484" s="97" t="s">
        <v>711</v>
      </c>
      <c r="G484" s="242" t="s">
        <v>1640</v>
      </c>
      <c r="H484" s="31">
        <v>33</v>
      </c>
      <c r="I484" s="32">
        <v>28</v>
      </c>
      <c r="J484" s="33">
        <v>35.299999999999997</v>
      </c>
      <c r="K484" s="242" t="s">
        <v>1641</v>
      </c>
      <c r="L484" s="31">
        <v>135</v>
      </c>
      <c r="M484" s="35">
        <v>39</v>
      </c>
      <c r="N484" s="36">
        <v>55.8</v>
      </c>
      <c r="O484" s="37" t="s">
        <v>700</v>
      </c>
      <c r="P484" s="38" t="s">
        <v>156</v>
      </c>
      <c r="Q484" s="35" t="s">
        <v>18</v>
      </c>
      <c r="R484" s="36" t="s">
        <v>712</v>
      </c>
    </row>
    <row r="485" spans="1:20" ht="35.1" customHeight="1">
      <c r="A485" s="25" t="s">
        <v>676</v>
      </c>
      <c r="B485" s="26">
        <v>21</v>
      </c>
      <c r="C485" s="27" t="s">
        <v>677</v>
      </c>
      <c r="D485" s="28" t="s">
        <v>713</v>
      </c>
      <c r="E485" s="29">
        <v>16</v>
      </c>
      <c r="F485" s="97" t="s">
        <v>714</v>
      </c>
      <c r="G485" s="242"/>
      <c r="H485" s="31">
        <v>33</v>
      </c>
      <c r="I485" s="32">
        <v>55</v>
      </c>
      <c r="J485" s="33">
        <v>17.8</v>
      </c>
      <c r="K485" s="242"/>
      <c r="L485" s="31">
        <v>136</v>
      </c>
      <c r="M485" s="35">
        <v>12</v>
      </c>
      <c r="N485" s="33">
        <v>2.2999999999999998</v>
      </c>
      <c r="O485" s="37" t="s">
        <v>715</v>
      </c>
      <c r="P485" s="38" t="s">
        <v>176</v>
      </c>
      <c r="Q485" s="35" t="s">
        <v>716</v>
      </c>
      <c r="R485" s="36" t="s">
        <v>717</v>
      </c>
    </row>
    <row r="486" spans="1:20" ht="27.6" customHeight="1">
      <c r="A486" s="25" t="s">
        <v>676</v>
      </c>
      <c r="B486" s="26">
        <v>21</v>
      </c>
      <c r="C486" s="27" t="s">
        <v>677</v>
      </c>
      <c r="D486" s="28" t="s">
        <v>713</v>
      </c>
      <c r="E486" s="29">
        <v>17</v>
      </c>
      <c r="F486" s="97" t="s">
        <v>718</v>
      </c>
      <c r="G486" s="242"/>
      <c r="H486" s="31">
        <v>33</v>
      </c>
      <c r="I486" s="32">
        <v>56</v>
      </c>
      <c r="J486" s="33">
        <v>15.8</v>
      </c>
      <c r="K486" s="242"/>
      <c r="L486" s="31">
        <v>136</v>
      </c>
      <c r="M486" s="35">
        <v>11</v>
      </c>
      <c r="N486" s="36">
        <v>52.2</v>
      </c>
      <c r="O486" s="37" t="s">
        <v>715</v>
      </c>
      <c r="P486" s="38" t="s">
        <v>176</v>
      </c>
      <c r="Q486" s="35" t="s">
        <v>18</v>
      </c>
      <c r="R486" s="36" t="s">
        <v>719</v>
      </c>
      <c r="T486" s="207" t="s">
        <v>720</v>
      </c>
    </row>
    <row r="487" spans="1:20" ht="39.950000000000003" customHeight="1" thickBot="1">
      <c r="A487" s="46" t="s">
        <v>676</v>
      </c>
      <c r="B487" s="47">
        <v>21</v>
      </c>
      <c r="C487" s="48" t="s">
        <v>677</v>
      </c>
      <c r="D487" s="49" t="s">
        <v>678</v>
      </c>
      <c r="E487" s="50">
        <v>18</v>
      </c>
      <c r="F487" s="98" t="s">
        <v>721</v>
      </c>
      <c r="G487" s="246"/>
      <c r="H487" s="99">
        <v>33</v>
      </c>
      <c r="I487" s="100">
        <v>28</v>
      </c>
      <c r="J487" s="101">
        <v>38.4</v>
      </c>
      <c r="K487" s="246"/>
      <c r="L487" s="99">
        <v>135</v>
      </c>
      <c r="M487" s="56">
        <v>49</v>
      </c>
      <c r="N487" s="101">
        <v>11.3</v>
      </c>
      <c r="O487" s="54" t="s">
        <v>722</v>
      </c>
      <c r="P487" s="55" t="s">
        <v>723</v>
      </c>
      <c r="Q487" s="56" t="s">
        <v>18</v>
      </c>
      <c r="R487" s="53" t="s">
        <v>724</v>
      </c>
    </row>
    <row r="488" spans="1:20" ht="27.6" customHeight="1" thickTop="1">
      <c r="A488" s="57" t="s">
        <v>725</v>
      </c>
      <c r="B488" s="58">
        <v>22</v>
      </c>
      <c r="C488" s="59" t="s">
        <v>726</v>
      </c>
      <c r="D488" s="60" t="s">
        <v>727</v>
      </c>
      <c r="E488" s="61">
        <v>1</v>
      </c>
      <c r="F488" s="102" t="s">
        <v>728</v>
      </c>
      <c r="G488" s="248" t="s">
        <v>1140</v>
      </c>
      <c r="H488" s="103">
        <v>33</v>
      </c>
      <c r="I488" s="60">
        <v>2</v>
      </c>
      <c r="J488" s="104">
        <v>37.1</v>
      </c>
      <c r="K488" s="265" t="s">
        <v>1141</v>
      </c>
      <c r="L488" s="103">
        <v>132</v>
      </c>
      <c r="M488" s="105">
        <v>29</v>
      </c>
      <c r="N488" s="65">
        <v>4.8</v>
      </c>
      <c r="O488" s="106" t="s">
        <v>729</v>
      </c>
      <c r="P488" s="208" t="s">
        <v>730</v>
      </c>
      <c r="Q488" s="105" t="s">
        <v>18</v>
      </c>
      <c r="R488" s="209" t="s">
        <v>168</v>
      </c>
      <c r="T488" s="210"/>
    </row>
    <row r="489" spans="1:20" ht="27.6" customHeight="1">
      <c r="A489" s="25" t="s">
        <v>725</v>
      </c>
      <c r="B489" s="26">
        <v>22</v>
      </c>
      <c r="C489" s="27" t="s">
        <v>726</v>
      </c>
      <c r="D489" s="32" t="s">
        <v>727</v>
      </c>
      <c r="E489" s="29">
        <v>2</v>
      </c>
      <c r="F489" s="97" t="s">
        <v>731</v>
      </c>
      <c r="G489" s="242" t="s">
        <v>1142</v>
      </c>
      <c r="H489" s="31">
        <v>32</v>
      </c>
      <c r="I489" s="32">
        <v>57</v>
      </c>
      <c r="J489" s="33">
        <v>5.4</v>
      </c>
      <c r="K489" s="34" t="s">
        <v>1143</v>
      </c>
      <c r="L489" s="31">
        <v>132</v>
      </c>
      <c r="M489" s="35">
        <v>27</v>
      </c>
      <c r="N489" s="36">
        <v>23.2</v>
      </c>
      <c r="O489" s="37" t="s">
        <v>732</v>
      </c>
      <c r="P489" s="211" t="s">
        <v>733</v>
      </c>
      <c r="Q489" s="35" t="s">
        <v>18</v>
      </c>
      <c r="R489" s="212" t="s">
        <v>734</v>
      </c>
      <c r="T489" s="210"/>
    </row>
    <row r="490" spans="1:20" ht="27.6" customHeight="1">
      <c r="A490" s="25" t="s">
        <v>725</v>
      </c>
      <c r="B490" s="26">
        <v>22</v>
      </c>
      <c r="C490" s="27" t="s">
        <v>726</v>
      </c>
      <c r="D490" s="32" t="s">
        <v>727</v>
      </c>
      <c r="E490" s="29">
        <v>3</v>
      </c>
      <c r="F490" s="97" t="s">
        <v>735</v>
      </c>
      <c r="G490" s="242" t="s">
        <v>1144</v>
      </c>
      <c r="H490" s="31">
        <v>32</v>
      </c>
      <c r="I490" s="32">
        <v>55</v>
      </c>
      <c r="J490" s="33">
        <v>45.4</v>
      </c>
      <c r="K490" s="34" t="s">
        <v>1145</v>
      </c>
      <c r="L490" s="31">
        <v>132</v>
      </c>
      <c r="M490" s="35">
        <v>34</v>
      </c>
      <c r="N490" s="36">
        <v>8.1999999999999993</v>
      </c>
      <c r="O490" s="37" t="s">
        <v>732</v>
      </c>
      <c r="P490" s="211" t="s">
        <v>736</v>
      </c>
      <c r="Q490" s="35" t="s">
        <v>18</v>
      </c>
      <c r="R490" s="212" t="s">
        <v>737</v>
      </c>
      <c r="T490" s="210"/>
    </row>
    <row r="491" spans="1:20" ht="27.6" customHeight="1">
      <c r="A491" s="25" t="s">
        <v>725</v>
      </c>
      <c r="B491" s="26">
        <v>22</v>
      </c>
      <c r="C491" s="27" t="s">
        <v>726</v>
      </c>
      <c r="D491" s="32" t="s">
        <v>738</v>
      </c>
      <c r="E491" s="29">
        <v>4</v>
      </c>
      <c r="F491" s="97" t="s">
        <v>739</v>
      </c>
      <c r="G491" s="242" t="s">
        <v>1146</v>
      </c>
      <c r="H491" s="31">
        <v>32</v>
      </c>
      <c r="I491" s="32">
        <v>52</v>
      </c>
      <c r="J491" s="33">
        <v>43.5</v>
      </c>
      <c r="K491" s="34" t="s">
        <v>1147</v>
      </c>
      <c r="L491" s="31">
        <v>132</v>
      </c>
      <c r="M491" s="35">
        <v>41</v>
      </c>
      <c r="N491" s="36">
        <v>23.2</v>
      </c>
      <c r="O491" s="37" t="s">
        <v>740</v>
      </c>
      <c r="P491" s="211" t="s">
        <v>741</v>
      </c>
      <c r="Q491" s="35" t="s">
        <v>18</v>
      </c>
      <c r="R491" s="212" t="s">
        <v>364</v>
      </c>
      <c r="T491" s="210"/>
    </row>
    <row r="492" spans="1:20" ht="27.6" customHeight="1">
      <c r="A492" s="25" t="s">
        <v>725</v>
      </c>
      <c r="B492" s="26">
        <v>22</v>
      </c>
      <c r="C492" s="27" t="s">
        <v>726</v>
      </c>
      <c r="D492" s="32" t="s">
        <v>738</v>
      </c>
      <c r="E492" s="29">
        <v>5</v>
      </c>
      <c r="F492" s="97" t="s">
        <v>742</v>
      </c>
      <c r="G492" s="242" t="s">
        <v>1148</v>
      </c>
      <c r="H492" s="31">
        <v>32</v>
      </c>
      <c r="I492" s="32">
        <v>51</v>
      </c>
      <c r="J492" s="33">
        <v>47.6</v>
      </c>
      <c r="K492" s="34" t="s">
        <v>1149</v>
      </c>
      <c r="L492" s="31">
        <v>132</v>
      </c>
      <c r="M492" s="35">
        <v>40</v>
      </c>
      <c r="N492" s="36">
        <v>10.199999999999999</v>
      </c>
      <c r="O492" s="37" t="s">
        <v>729</v>
      </c>
      <c r="P492" s="211" t="s">
        <v>741</v>
      </c>
      <c r="Q492" s="35" t="s">
        <v>18</v>
      </c>
      <c r="R492" s="212" t="s">
        <v>15</v>
      </c>
      <c r="T492" s="210"/>
    </row>
    <row r="493" spans="1:20" ht="27.6" customHeight="1">
      <c r="A493" s="25" t="s">
        <v>725</v>
      </c>
      <c r="B493" s="26">
        <v>22</v>
      </c>
      <c r="C493" s="27" t="s">
        <v>726</v>
      </c>
      <c r="D493" s="32" t="s">
        <v>738</v>
      </c>
      <c r="E493" s="29">
        <v>6</v>
      </c>
      <c r="F493" s="97" t="s">
        <v>743</v>
      </c>
      <c r="G493" s="242" t="s">
        <v>1150</v>
      </c>
      <c r="H493" s="31">
        <v>32</v>
      </c>
      <c r="I493" s="32">
        <v>49</v>
      </c>
      <c r="J493" s="33">
        <v>28.6</v>
      </c>
      <c r="K493" s="34" t="s">
        <v>1151</v>
      </c>
      <c r="L493" s="31">
        <v>132</v>
      </c>
      <c r="M493" s="35">
        <v>38</v>
      </c>
      <c r="N493" s="36">
        <v>57.3</v>
      </c>
      <c r="O493" s="37" t="s">
        <v>729</v>
      </c>
      <c r="P493" s="211" t="s">
        <v>736</v>
      </c>
      <c r="Q493" s="35" t="s">
        <v>18</v>
      </c>
      <c r="R493" s="212" t="s">
        <v>107</v>
      </c>
      <c r="T493" s="210"/>
    </row>
    <row r="494" spans="1:20" ht="27.6" customHeight="1">
      <c r="A494" s="25" t="s">
        <v>725</v>
      </c>
      <c r="B494" s="26">
        <v>22</v>
      </c>
      <c r="C494" s="27" t="s">
        <v>726</v>
      </c>
      <c r="D494" s="32" t="s">
        <v>738</v>
      </c>
      <c r="E494" s="29">
        <v>7</v>
      </c>
      <c r="F494" s="97" t="s">
        <v>744</v>
      </c>
      <c r="G494" s="242" t="s">
        <v>1152</v>
      </c>
      <c r="H494" s="31">
        <v>32</v>
      </c>
      <c r="I494" s="32">
        <v>46</v>
      </c>
      <c r="J494" s="33">
        <v>25</v>
      </c>
      <c r="K494" s="34" t="s">
        <v>1153</v>
      </c>
      <c r="L494" s="31">
        <v>132</v>
      </c>
      <c r="M494" s="35">
        <v>37</v>
      </c>
      <c r="N494" s="36">
        <v>29.4</v>
      </c>
      <c r="O494" s="37" t="s">
        <v>732</v>
      </c>
      <c r="P494" s="211" t="s">
        <v>736</v>
      </c>
      <c r="Q494" s="35" t="s">
        <v>18</v>
      </c>
      <c r="R494" s="212" t="s">
        <v>168</v>
      </c>
      <c r="T494" s="210"/>
    </row>
    <row r="495" spans="1:20" ht="27.6" customHeight="1">
      <c r="A495" s="25" t="s">
        <v>725</v>
      </c>
      <c r="B495" s="26">
        <v>22</v>
      </c>
      <c r="C495" s="27" t="s">
        <v>726</v>
      </c>
      <c r="D495" s="32" t="s">
        <v>738</v>
      </c>
      <c r="E495" s="29">
        <v>8</v>
      </c>
      <c r="F495" s="97" t="s">
        <v>745</v>
      </c>
      <c r="G495" s="242" t="s">
        <v>1154</v>
      </c>
      <c r="H495" s="31">
        <v>32</v>
      </c>
      <c r="I495" s="32">
        <v>45</v>
      </c>
      <c r="J495" s="33">
        <v>11.4</v>
      </c>
      <c r="K495" s="34" t="s">
        <v>1155</v>
      </c>
      <c r="L495" s="31">
        <v>132</v>
      </c>
      <c r="M495" s="35">
        <v>32</v>
      </c>
      <c r="N495" s="36">
        <v>58.9</v>
      </c>
      <c r="O495" s="37" t="s">
        <v>732</v>
      </c>
      <c r="P495" s="211" t="s">
        <v>736</v>
      </c>
      <c r="Q495" s="35" t="s">
        <v>18</v>
      </c>
      <c r="R495" s="212" t="s">
        <v>746</v>
      </c>
      <c r="T495" s="210"/>
    </row>
    <row r="496" spans="1:20" ht="27.6" customHeight="1">
      <c r="A496" s="25" t="s">
        <v>725</v>
      </c>
      <c r="B496" s="26">
        <v>22</v>
      </c>
      <c r="C496" s="27" t="s">
        <v>726</v>
      </c>
      <c r="D496" s="32" t="s">
        <v>738</v>
      </c>
      <c r="E496" s="29">
        <v>9</v>
      </c>
      <c r="F496" s="97" t="s">
        <v>747</v>
      </c>
      <c r="G496" s="242" t="s">
        <v>1156</v>
      </c>
      <c r="H496" s="31">
        <v>32</v>
      </c>
      <c r="I496" s="32">
        <v>44</v>
      </c>
      <c r="J496" s="33">
        <v>43.8</v>
      </c>
      <c r="K496" s="34" t="s">
        <v>1157</v>
      </c>
      <c r="L496" s="31">
        <v>132</v>
      </c>
      <c r="M496" s="35">
        <v>34</v>
      </c>
      <c r="N496" s="36">
        <v>10.8</v>
      </c>
      <c r="O496" s="37" t="s">
        <v>748</v>
      </c>
      <c r="P496" s="211"/>
      <c r="Q496" s="35" t="s">
        <v>18</v>
      </c>
      <c r="R496" s="212"/>
      <c r="T496" s="210"/>
    </row>
    <row r="497" spans="1:20" ht="27.6" customHeight="1">
      <c r="A497" s="25" t="s">
        <v>725</v>
      </c>
      <c r="B497" s="26">
        <v>22</v>
      </c>
      <c r="C497" s="27" t="s">
        <v>726</v>
      </c>
      <c r="D497" s="32" t="s">
        <v>738</v>
      </c>
      <c r="E497" s="29">
        <v>10</v>
      </c>
      <c r="F497" s="97" t="s">
        <v>750</v>
      </c>
      <c r="G497" s="242" t="s">
        <v>1158</v>
      </c>
      <c r="H497" s="31">
        <v>32</v>
      </c>
      <c r="I497" s="32">
        <v>47</v>
      </c>
      <c r="J497" s="33">
        <v>51.5</v>
      </c>
      <c r="K497" s="34" t="s">
        <v>1159</v>
      </c>
      <c r="L497" s="31">
        <v>132</v>
      </c>
      <c r="M497" s="35">
        <v>42</v>
      </c>
      <c r="N497" s="36">
        <v>33.799999999999997</v>
      </c>
      <c r="O497" s="37" t="s">
        <v>740</v>
      </c>
      <c r="P497" s="211" t="s">
        <v>736</v>
      </c>
      <c r="Q497" s="35" t="s">
        <v>18</v>
      </c>
      <c r="R497" s="212" t="s">
        <v>751</v>
      </c>
      <c r="T497" s="210"/>
    </row>
    <row r="498" spans="1:20" ht="27.6" customHeight="1">
      <c r="A498" s="25" t="s">
        <v>725</v>
      </c>
      <c r="B498" s="26">
        <v>22</v>
      </c>
      <c r="C498" s="27" t="s">
        <v>726</v>
      </c>
      <c r="D498" s="32" t="s">
        <v>738</v>
      </c>
      <c r="E498" s="29">
        <v>11</v>
      </c>
      <c r="F498" s="97" t="s">
        <v>752</v>
      </c>
      <c r="G498" s="242" t="s">
        <v>1160</v>
      </c>
      <c r="H498" s="31">
        <v>32</v>
      </c>
      <c r="I498" s="32">
        <v>46</v>
      </c>
      <c r="J498" s="33">
        <v>35.5</v>
      </c>
      <c r="K498" s="34" t="s">
        <v>1161</v>
      </c>
      <c r="L498" s="31">
        <v>132</v>
      </c>
      <c r="M498" s="35">
        <v>43</v>
      </c>
      <c r="N498" s="36">
        <v>55.5</v>
      </c>
      <c r="O498" s="37" t="s">
        <v>753</v>
      </c>
      <c r="P498" s="211" t="s">
        <v>736</v>
      </c>
      <c r="Q498" s="35" t="s">
        <v>18</v>
      </c>
      <c r="R498" s="212" t="s">
        <v>15</v>
      </c>
      <c r="T498" s="210"/>
    </row>
    <row r="499" spans="1:20" ht="27.6" customHeight="1">
      <c r="A499" s="25" t="s">
        <v>725</v>
      </c>
      <c r="B499" s="26">
        <v>22</v>
      </c>
      <c r="C499" s="27" t="s">
        <v>726</v>
      </c>
      <c r="D499" s="32" t="s">
        <v>738</v>
      </c>
      <c r="E499" s="29">
        <v>12</v>
      </c>
      <c r="F499" s="97" t="s">
        <v>754</v>
      </c>
      <c r="G499" s="242" t="s">
        <v>1162</v>
      </c>
      <c r="H499" s="31">
        <v>32</v>
      </c>
      <c r="I499" s="32">
        <v>47</v>
      </c>
      <c r="J499" s="33">
        <v>4.8</v>
      </c>
      <c r="K499" s="34" t="s">
        <v>1163</v>
      </c>
      <c r="L499" s="31">
        <v>132</v>
      </c>
      <c r="M499" s="35">
        <v>51</v>
      </c>
      <c r="N499" s="36">
        <v>18</v>
      </c>
      <c r="O499" s="37" t="s">
        <v>729</v>
      </c>
      <c r="P499" s="211" t="s">
        <v>736</v>
      </c>
      <c r="Q499" s="35" t="s">
        <v>18</v>
      </c>
      <c r="R499" s="212" t="s">
        <v>755</v>
      </c>
      <c r="T499" s="210"/>
    </row>
    <row r="500" spans="1:20" ht="27.6" customHeight="1">
      <c r="A500" s="25" t="s">
        <v>725</v>
      </c>
      <c r="B500" s="26">
        <v>22</v>
      </c>
      <c r="C500" s="27" t="s">
        <v>726</v>
      </c>
      <c r="D500" s="32" t="s">
        <v>738</v>
      </c>
      <c r="E500" s="29">
        <v>13</v>
      </c>
      <c r="F500" s="97" t="s">
        <v>756</v>
      </c>
      <c r="G500" s="242" t="s">
        <v>1164</v>
      </c>
      <c r="H500" s="31">
        <v>32</v>
      </c>
      <c r="I500" s="32">
        <v>47</v>
      </c>
      <c r="J500" s="33">
        <v>12.2</v>
      </c>
      <c r="K500" s="34" t="s">
        <v>1165</v>
      </c>
      <c r="L500" s="31">
        <v>132</v>
      </c>
      <c r="M500" s="35">
        <v>51</v>
      </c>
      <c r="N500" s="36">
        <v>48.9</v>
      </c>
      <c r="O500" s="37" t="s">
        <v>729</v>
      </c>
      <c r="P500" s="211" t="s">
        <v>736</v>
      </c>
      <c r="Q500" s="35" t="s">
        <v>18</v>
      </c>
      <c r="R500" s="212" t="s">
        <v>757</v>
      </c>
      <c r="T500" s="210"/>
    </row>
    <row r="501" spans="1:20" ht="27.6" customHeight="1">
      <c r="A501" s="25" t="s">
        <v>725</v>
      </c>
      <c r="B501" s="26">
        <v>22</v>
      </c>
      <c r="C501" s="27" t="s">
        <v>726</v>
      </c>
      <c r="D501" s="32" t="s">
        <v>738</v>
      </c>
      <c r="E501" s="29">
        <v>14</v>
      </c>
      <c r="F501" s="97" t="s">
        <v>758</v>
      </c>
      <c r="G501" s="242" t="s">
        <v>1166</v>
      </c>
      <c r="H501" s="31">
        <v>32</v>
      </c>
      <c r="I501" s="32">
        <v>47</v>
      </c>
      <c r="J501" s="33">
        <v>9.6</v>
      </c>
      <c r="K501" s="34" t="s">
        <v>1167</v>
      </c>
      <c r="L501" s="31">
        <v>132</v>
      </c>
      <c r="M501" s="35">
        <v>51</v>
      </c>
      <c r="N501" s="36">
        <v>53</v>
      </c>
      <c r="O501" s="37" t="s">
        <v>729</v>
      </c>
      <c r="P501" s="211" t="s">
        <v>736</v>
      </c>
      <c r="Q501" s="35" t="s">
        <v>18</v>
      </c>
      <c r="R501" s="212" t="s">
        <v>759</v>
      </c>
      <c r="T501" s="210"/>
    </row>
    <row r="502" spans="1:20" ht="27.6" customHeight="1">
      <c r="A502" s="25" t="s">
        <v>725</v>
      </c>
      <c r="B502" s="26">
        <v>22</v>
      </c>
      <c r="C502" s="27" t="s">
        <v>726</v>
      </c>
      <c r="D502" s="32" t="s">
        <v>738</v>
      </c>
      <c r="E502" s="29">
        <v>15</v>
      </c>
      <c r="F502" s="97" t="s">
        <v>760</v>
      </c>
      <c r="G502" s="242" t="s">
        <v>1168</v>
      </c>
      <c r="H502" s="31">
        <v>32</v>
      </c>
      <c r="I502" s="32">
        <v>46</v>
      </c>
      <c r="J502" s="33">
        <v>54.6</v>
      </c>
      <c r="K502" s="34" t="s">
        <v>1169</v>
      </c>
      <c r="L502" s="31">
        <v>132</v>
      </c>
      <c r="M502" s="35">
        <v>52</v>
      </c>
      <c r="N502" s="36">
        <v>3.3</v>
      </c>
      <c r="O502" s="37" t="s">
        <v>729</v>
      </c>
      <c r="P502" s="211" t="s">
        <v>736</v>
      </c>
      <c r="Q502" s="35" t="s">
        <v>18</v>
      </c>
      <c r="R502" s="212" t="s">
        <v>112</v>
      </c>
      <c r="T502" s="210"/>
    </row>
    <row r="503" spans="1:20" ht="27.6" customHeight="1">
      <c r="A503" s="25" t="s">
        <v>725</v>
      </c>
      <c r="B503" s="26">
        <v>22</v>
      </c>
      <c r="C503" s="27" t="s">
        <v>726</v>
      </c>
      <c r="D503" s="32" t="s">
        <v>738</v>
      </c>
      <c r="E503" s="29">
        <v>16</v>
      </c>
      <c r="F503" s="97" t="s">
        <v>761</v>
      </c>
      <c r="G503" s="242" t="s">
        <v>1170</v>
      </c>
      <c r="H503" s="31">
        <v>32</v>
      </c>
      <c r="I503" s="32">
        <v>45</v>
      </c>
      <c r="J503" s="33">
        <v>44.9</v>
      </c>
      <c r="K503" s="34" t="s">
        <v>1171</v>
      </c>
      <c r="L503" s="31">
        <v>132</v>
      </c>
      <c r="M503" s="35">
        <v>52</v>
      </c>
      <c r="N503" s="36">
        <v>5.9</v>
      </c>
      <c r="O503" s="37" t="s">
        <v>748</v>
      </c>
      <c r="P503" s="211" t="s">
        <v>762</v>
      </c>
      <c r="Q503" s="35" t="s">
        <v>18</v>
      </c>
      <c r="R503" s="212" t="s">
        <v>763</v>
      </c>
      <c r="T503" s="210"/>
    </row>
    <row r="504" spans="1:20" ht="31.5">
      <c r="A504" s="25" t="s">
        <v>725</v>
      </c>
      <c r="B504" s="26">
        <v>22</v>
      </c>
      <c r="C504" s="27" t="s">
        <v>726</v>
      </c>
      <c r="D504" s="32" t="s">
        <v>738</v>
      </c>
      <c r="E504" s="29">
        <v>17</v>
      </c>
      <c r="F504" s="97" t="s">
        <v>764</v>
      </c>
      <c r="G504" s="242" t="s">
        <v>1172</v>
      </c>
      <c r="H504" s="31">
        <v>33</v>
      </c>
      <c r="I504" s="32">
        <v>24</v>
      </c>
      <c r="J504" s="33">
        <v>17.7</v>
      </c>
      <c r="K504" s="34" t="s">
        <v>1173</v>
      </c>
      <c r="L504" s="31">
        <v>134</v>
      </c>
      <c r="M504" s="35">
        <v>1</v>
      </c>
      <c r="N504" s="36">
        <v>54.8</v>
      </c>
      <c r="O504" s="37" t="s">
        <v>765</v>
      </c>
      <c r="P504" s="211" t="s">
        <v>766</v>
      </c>
      <c r="Q504" s="35" t="s">
        <v>18</v>
      </c>
      <c r="R504" s="212" t="s">
        <v>364</v>
      </c>
      <c r="T504" s="210"/>
    </row>
    <row r="505" spans="1:20" ht="31.5">
      <c r="A505" s="25" t="s">
        <v>725</v>
      </c>
      <c r="B505" s="26">
        <v>22</v>
      </c>
      <c r="C505" s="27" t="s">
        <v>726</v>
      </c>
      <c r="D505" s="32" t="s">
        <v>738</v>
      </c>
      <c r="E505" s="29">
        <v>18</v>
      </c>
      <c r="F505" s="97" t="s">
        <v>767</v>
      </c>
      <c r="G505" s="242" t="s">
        <v>1174</v>
      </c>
      <c r="H505" s="31">
        <v>33</v>
      </c>
      <c r="I505" s="32">
        <v>24</v>
      </c>
      <c r="J505" s="33">
        <v>40.4</v>
      </c>
      <c r="K505" s="34" t="s">
        <v>1175</v>
      </c>
      <c r="L505" s="31">
        <v>134</v>
      </c>
      <c r="M505" s="35">
        <v>1</v>
      </c>
      <c r="N505" s="36">
        <v>47.5</v>
      </c>
      <c r="O505" s="37" t="s">
        <v>768</v>
      </c>
      <c r="P505" s="211" t="s">
        <v>766</v>
      </c>
      <c r="Q505" s="35" t="s">
        <v>18</v>
      </c>
      <c r="R505" s="212" t="s">
        <v>15</v>
      </c>
      <c r="T505" s="210"/>
    </row>
    <row r="506" spans="1:20" ht="31.5">
      <c r="A506" s="25" t="s">
        <v>725</v>
      </c>
      <c r="B506" s="26">
        <v>22</v>
      </c>
      <c r="C506" s="27" t="s">
        <v>726</v>
      </c>
      <c r="D506" s="32" t="s">
        <v>738</v>
      </c>
      <c r="E506" s="29">
        <v>19</v>
      </c>
      <c r="F506" s="97" t="s">
        <v>769</v>
      </c>
      <c r="G506" s="242" t="s">
        <v>1176</v>
      </c>
      <c r="H506" s="31">
        <v>33</v>
      </c>
      <c r="I506" s="32">
        <v>24</v>
      </c>
      <c r="J506" s="33">
        <v>53.3</v>
      </c>
      <c r="K506" s="34" t="s">
        <v>1177</v>
      </c>
      <c r="L506" s="31">
        <v>134</v>
      </c>
      <c r="M506" s="35">
        <v>1</v>
      </c>
      <c r="N506" s="36">
        <v>31.8</v>
      </c>
      <c r="O506" s="37" t="s">
        <v>765</v>
      </c>
      <c r="P506" s="211" t="s">
        <v>766</v>
      </c>
      <c r="Q506" s="35" t="s">
        <v>18</v>
      </c>
      <c r="R506" s="212" t="s">
        <v>128</v>
      </c>
      <c r="T506" s="210"/>
    </row>
    <row r="507" spans="1:20" ht="31.5">
      <c r="A507" s="25" t="s">
        <v>725</v>
      </c>
      <c r="B507" s="26">
        <v>22</v>
      </c>
      <c r="C507" s="27" t="s">
        <v>726</v>
      </c>
      <c r="D507" s="32" t="s">
        <v>738</v>
      </c>
      <c r="E507" s="29">
        <v>20</v>
      </c>
      <c r="F507" s="97" t="s">
        <v>770</v>
      </c>
      <c r="G507" s="242" t="s">
        <v>1178</v>
      </c>
      <c r="H507" s="31">
        <v>33</v>
      </c>
      <c r="I507" s="32">
        <v>25</v>
      </c>
      <c r="J507" s="33">
        <v>23.5</v>
      </c>
      <c r="K507" s="34" t="s">
        <v>1179</v>
      </c>
      <c r="L507" s="31">
        <v>134</v>
      </c>
      <c r="M507" s="35">
        <v>0</v>
      </c>
      <c r="N507" s="36">
        <v>22.7</v>
      </c>
      <c r="O507" s="37" t="s">
        <v>765</v>
      </c>
      <c r="P507" s="211" t="s">
        <v>766</v>
      </c>
      <c r="Q507" s="35" t="s">
        <v>18</v>
      </c>
      <c r="R507" s="212" t="s">
        <v>128</v>
      </c>
      <c r="T507" s="210"/>
    </row>
    <row r="508" spans="1:20" ht="27.6" customHeight="1">
      <c r="A508" s="25" t="s">
        <v>725</v>
      </c>
      <c r="B508" s="26">
        <v>22</v>
      </c>
      <c r="C508" s="27" t="s">
        <v>726</v>
      </c>
      <c r="D508" s="32" t="s">
        <v>771</v>
      </c>
      <c r="E508" s="29">
        <v>21</v>
      </c>
      <c r="F508" s="97" t="s">
        <v>772</v>
      </c>
      <c r="G508" s="242" t="s">
        <v>1642</v>
      </c>
      <c r="H508" s="31">
        <v>33</v>
      </c>
      <c r="I508" s="32">
        <v>32</v>
      </c>
      <c r="J508" s="33">
        <v>46.3</v>
      </c>
      <c r="K508" s="34" t="s">
        <v>1643</v>
      </c>
      <c r="L508" s="31">
        <v>134</v>
      </c>
      <c r="M508" s="35">
        <v>18</v>
      </c>
      <c r="N508" s="36">
        <v>25.7</v>
      </c>
      <c r="O508" s="37" t="s">
        <v>740</v>
      </c>
      <c r="P508" s="211" t="s">
        <v>773</v>
      </c>
      <c r="Q508" s="35" t="s">
        <v>18</v>
      </c>
      <c r="R508" s="212" t="s">
        <v>96</v>
      </c>
      <c r="T508" s="210"/>
    </row>
    <row r="509" spans="1:20" ht="27.6" customHeight="1">
      <c r="A509" s="25" t="s">
        <v>725</v>
      </c>
      <c r="B509" s="26">
        <v>22</v>
      </c>
      <c r="C509" s="27" t="s">
        <v>726</v>
      </c>
      <c r="D509" s="32" t="s">
        <v>771</v>
      </c>
      <c r="E509" s="29">
        <v>22</v>
      </c>
      <c r="F509" s="97" t="s">
        <v>774</v>
      </c>
      <c r="G509" s="242" t="s">
        <v>1644</v>
      </c>
      <c r="H509" s="31">
        <v>33</v>
      </c>
      <c r="I509" s="32">
        <v>32</v>
      </c>
      <c r="J509" s="33">
        <v>41.2</v>
      </c>
      <c r="K509" s="34" t="s">
        <v>1645</v>
      </c>
      <c r="L509" s="31">
        <v>134</v>
      </c>
      <c r="M509" s="35">
        <v>18</v>
      </c>
      <c r="N509" s="36">
        <v>52.3</v>
      </c>
      <c r="O509" s="37" t="s">
        <v>740</v>
      </c>
      <c r="P509" s="211" t="s">
        <v>773</v>
      </c>
      <c r="Q509" s="35" t="s">
        <v>18</v>
      </c>
      <c r="R509" s="212" t="s">
        <v>364</v>
      </c>
      <c r="T509" s="210"/>
    </row>
    <row r="510" spans="1:20" ht="27.6" customHeight="1">
      <c r="A510" s="25" t="s">
        <v>725</v>
      </c>
      <c r="B510" s="26">
        <v>22</v>
      </c>
      <c r="C510" s="27" t="s">
        <v>726</v>
      </c>
      <c r="D510" s="32" t="s">
        <v>771</v>
      </c>
      <c r="E510" s="29">
        <v>23</v>
      </c>
      <c r="F510" s="97" t="s">
        <v>775</v>
      </c>
      <c r="G510" s="242" t="s">
        <v>1644</v>
      </c>
      <c r="H510" s="31">
        <v>33</v>
      </c>
      <c r="I510" s="32">
        <v>32</v>
      </c>
      <c r="J510" s="33">
        <v>41.2</v>
      </c>
      <c r="K510" s="34" t="s">
        <v>1645</v>
      </c>
      <c r="L510" s="31">
        <v>134</v>
      </c>
      <c r="M510" s="35">
        <v>18</v>
      </c>
      <c r="N510" s="36">
        <v>52.3</v>
      </c>
      <c r="O510" s="37" t="s">
        <v>740</v>
      </c>
      <c r="P510" s="211" t="s">
        <v>773</v>
      </c>
      <c r="Q510" s="35" t="s">
        <v>18</v>
      </c>
      <c r="R510" s="212" t="s">
        <v>90</v>
      </c>
      <c r="T510" s="210"/>
    </row>
    <row r="511" spans="1:20" ht="27.6" customHeight="1">
      <c r="A511" s="25" t="s">
        <v>725</v>
      </c>
      <c r="B511" s="26">
        <v>22</v>
      </c>
      <c r="C511" s="27" t="s">
        <v>726</v>
      </c>
      <c r="D511" s="32" t="s">
        <v>771</v>
      </c>
      <c r="E511" s="29">
        <v>24</v>
      </c>
      <c r="F511" s="97" t="s">
        <v>776</v>
      </c>
      <c r="G511" s="242" t="s">
        <v>1646</v>
      </c>
      <c r="H511" s="31">
        <v>33</v>
      </c>
      <c r="I511" s="32">
        <v>32</v>
      </c>
      <c r="J511" s="33">
        <v>33.799999999999997</v>
      </c>
      <c r="K511" s="34" t="s">
        <v>1647</v>
      </c>
      <c r="L511" s="31">
        <v>134</v>
      </c>
      <c r="M511" s="35">
        <v>18</v>
      </c>
      <c r="N511" s="36">
        <v>58.8</v>
      </c>
      <c r="O511" s="37" t="s">
        <v>740</v>
      </c>
      <c r="P511" s="211" t="s">
        <v>773</v>
      </c>
      <c r="Q511" s="35" t="s">
        <v>18</v>
      </c>
      <c r="R511" s="212" t="s">
        <v>112</v>
      </c>
      <c r="T511" s="210"/>
    </row>
    <row r="512" spans="1:20" ht="27.6" customHeight="1">
      <c r="A512" s="25" t="s">
        <v>725</v>
      </c>
      <c r="B512" s="26">
        <v>22</v>
      </c>
      <c r="C512" s="27" t="s">
        <v>726</v>
      </c>
      <c r="D512" s="32" t="s">
        <v>771</v>
      </c>
      <c r="E512" s="29">
        <v>25</v>
      </c>
      <c r="F512" s="97" t="s">
        <v>777</v>
      </c>
      <c r="G512" s="242" t="s">
        <v>1648</v>
      </c>
      <c r="H512" s="31">
        <v>33</v>
      </c>
      <c r="I512" s="32">
        <v>32</v>
      </c>
      <c r="J512" s="33">
        <v>30.7</v>
      </c>
      <c r="K512" s="34" t="s">
        <v>1649</v>
      </c>
      <c r="L512" s="31">
        <v>134</v>
      </c>
      <c r="M512" s="35">
        <v>18</v>
      </c>
      <c r="N512" s="36">
        <v>53.1</v>
      </c>
      <c r="O512" s="37" t="s">
        <v>753</v>
      </c>
      <c r="P512" s="211" t="s">
        <v>773</v>
      </c>
      <c r="Q512" s="35" t="s">
        <v>18</v>
      </c>
      <c r="R512" s="212" t="s">
        <v>15</v>
      </c>
      <c r="T512" s="210"/>
    </row>
    <row r="513" spans="1:20" ht="27.6" customHeight="1">
      <c r="A513" s="25" t="s">
        <v>725</v>
      </c>
      <c r="B513" s="26">
        <v>22</v>
      </c>
      <c r="C513" s="27" t="s">
        <v>726</v>
      </c>
      <c r="D513" s="32" t="s">
        <v>771</v>
      </c>
      <c r="E513" s="29">
        <v>26</v>
      </c>
      <c r="F513" s="97" t="s">
        <v>778</v>
      </c>
      <c r="G513" s="242" t="s">
        <v>1650</v>
      </c>
      <c r="H513" s="31">
        <v>33</v>
      </c>
      <c r="I513" s="32">
        <v>38</v>
      </c>
      <c r="J513" s="33">
        <v>30.2</v>
      </c>
      <c r="K513" s="34" t="s">
        <v>1651</v>
      </c>
      <c r="L513" s="31">
        <v>134</v>
      </c>
      <c r="M513" s="35">
        <v>29</v>
      </c>
      <c r="N513" s="36">
        <v>46.4</v>
      </c>
      <c r="O513" s="37" t="s">
        <v>732</v>
      </c>
      <c r="P513" s="211" t="s">
        <v>779</v>
      </c>
      <c r="Q513" s="35" t="s">
        <v>18</v>
      </c>
      <c r="R513" s="212" t="s">
        <v>780</v>
      </c>
      <c r="T513" s="210"/>
    </row>
    <row r="514" spans="1:20" ht="27.6" customHeight="1">
      <c r="A514" s="25" t="s">
        <v>725</v>
      </c>
      <c r="B514" s="26">
        <v>22</v>
      </c>
      <c r="C514" s="27" t="s">
        <v>726</v>
      </c>
      <c r="D514" s="32" t="s">
        <v>771</v>
      </c>
      <c r="E514" s="29">
        <v>27</v>
      </c>
      <c r="F514" s="97" t="s">
        <v>781</v>
      </c>
      <c r="G514" s="242" t="s">
        <v>1652</v>
      </c>
      <c r="H514" s="31">
        <v>33</v>
      </c>
      <c r="I514" s="32">
        <v>38</v>
      </c>
      <c r="J514" s="33">
        <v>37.700000000000003</v>
      </c>
      <c r="K514" s="34" t="s">
        <v>1653</v>
      </c>
      <c r="L514" s="31">
        <v>134</v>
      </c>
      <c r="M514" s="35">
        <v>29</v>
      </c>
      <c r="N514" s="36">
        <v>3.4</v>
      </c>
      <c r="O514" s="37" t="s">
        <v>606</v>
      </c>
      <c r="P514" s="211" t="s">
        <v>251</v>
      </c>
      <c r="Q514" s="35" t="s">
        <v>18</v>
      </c>
      <c r="R514" s="212" t="s">
        <v>780</v>
      </c>
      <c r="T514" s="210"/>
    </row>
    <row r="515" spans="1:20" ht="27.6" customHeight="1">
      <c r="A515" s="25" t="s">
        <v>725</v>
      </c>
      <c r="B515" s="26">
        <v>22</v>
      </c>
      <c r="C515" s="27" t="s">
        <v>726</v>
      </c>
      <c r="D515" s="32" t="s">
        <v>771</v>
      </c>
      <c r="E515" s="29">
        <v>28</v>
      </c>
      <c r="F515" s="97" t="s">
        <v>782</v>
      </c>
      <c r="G515" s="242" t="s">
        <v>1654</v>
      </c>
      <c r="H515" s="31">
        <v>33</v>
      </c>
      <c r="I515" s="32">
        <v>38</v>
      </c>
      <c r="J515" s="33">
        <v>22.5</v>
      </c>
      <c r="K515" s="34" t="s">
        <v>1655</v>
      </c>
      <c r="L515" s="31">
        <v>134</v>
      </c>
      <c r="M515" s="35">
        <v>29</v>
      </c>
      <c r="N515" s="36">
        <v>0.5</v>
      </c>
      <c r="O515" s="37" t="s">
        <v>753</v>
      </c>
      <c r="P515" s="211" t="s">
        <v>783</v>
      </c>
      <c r="Q515" s="35" t="s">
        <v>18</v>
      </c>
      <c r="R515" s="212" t="s">
        <v>784</v>
      </c>
      <c r="T515" s="210"/>
    </row>
    <row r="516" spans="1:20" ht="27.6" customHeight="1">
      <c r="A516" s="25" t="s">
        <v>725</v>
      </c>
      <c r="B516" s="26">
        <v>22</v>
      </c>
      <c r="C516" s="27" t="s">
        <v>726</v>
      </c>
      <c r="D516" s="32" t="s">
        <v>771</v>
      </c>
      <c r="E516" s="29">
        <v>29</v>
      </c>
      <c r="F516" s="97" t="s">
        <v>785</v>
      </c>
      <c r="G516" s="242" t="s">
        <v>1656</v>
      </c>
      <c r="H516" s="31">
        <v>33</v>
      </c>
      <c r="I516" s="32">
        <v>38</v>
      </c>
      <c r="J516" s="33">
        <v>13.2</v>
      </c>
      <c r="K516" s="34" t="s">
        <v>1657</v>
      </c>
      <c r="L516" s="31">
        <v>134</v>
      </c>
      <c r="M516" s="35">
        <v>29</v>
      </c>
      <c r="N516" s="36">
        <v>5</v>
      </c>
      <c r="O516" s="37" t="s">
        <v>786</v>
      </c>
      <c r="P516" s="211" t="s">
        <v>773</v>
      </c>
      <c r="Q516" s="35" t="s">
        <v>18</v>
      </c>
      <c r="R516" s="212" t="s">
        <v>787</v>
      </c>
      <c r="T516" s="210"/>
    </row>
    <row r="517" spans="1:20" ht="27.6" customHeight="1">
      <c r="A517" s="25" t="s">
        <v>725</v>
      </c>
      <c r="B517" s="26">
        <v>22</v>
      </c>
      <c r="C517" s="27" t="s">
        <v>726</v>
      </c>
      <c r="D517" s="32" t="s">
        <v>771</v>
      </c>
      <c r="E517" s="29">
        <v>30</v>
      </c>
      <c r="F517" s="97" t="s">
        <v>788</v>
      </c>
      <c r="G517" s="242"/>
      <c r="H517" s="31">
        <v>33</v>
      </c>
      <c r="I517" s="32">
        <v>38</v>
      </c>
      <c r="J517" s="33">
        <v>6.2</v>
      </c>
      <c r="K517" s="34"/>
      <c r="L517" s="31">
        <v>134</v>
      </c>
      <c r="M517" s="35">
        <v>28</v>
      </c>
      <c r="N517" s="36">
        <v>51.8</v>
      </c>
      <c r="O517" s="37" t="s">
        <v>732</v>
      </c>
      <c r="P517" s="211" t="s">
        <v>783</v>
      </c>
      <c r="Q517" s="35" t="s">
        <v>18</v>
      </c>
      <c r="R517" s="212" t="s">
        <v>682</v>
      </c>
      <c r="T517" s="210"/>
    </row>
    <row r="518" spans="1:20" ht="27.6" customHeight="1">
      <c r="A518" s="25" t="s">
        <v>725</v>
      </c>
      <c r="B518" s="26">
        <v>22</v>
      </c>
      <c r="C518" s="27" t="s">
        <v>726</v>
      </c>
      <c r="D518" s="32" t="s">
        <v>771</v>
      </c>
      <c r="E518" s="29">
        <v>31</v>
      </c>
      <c r="F518" s="97" t="s">
        <v>789</v>
      </c>
      <c r="G518" s="242"/>
      <c r="H518" s="31">
        <v>33</v>
      </c>
      <c r="I518" s="32">
        <v>32</v>
      </c>
      <c r="J518" s="33">
        <v>37.799999999999997</v>
      </c>
      <c r="K518" s="34"/>
      <c r="L518" s="31">
        <v>134</v>
      </c>
      <c r="M518" s="35">
        <v>18</v>
      </c>
      <c r="N518" s="36">
        <v>41.8</v>
      </c>
      <c r="O518" s="37" t="s">
        <v>790</v>
      </c>
      <c r="P518" s="38" t="s">
        <v>791</v>
      </c>
      <c r="Q518" s="35" t="s">
        <v>18</v>
      </c>
      <c r="R518" s="212" t="s">
        <v>90</v>
      </c>
    </row>
    <row r="519" spans="1:20" ht="27.6" customHeight="1">
      <c r="A519" s="25" t="s">
        <v>725</v>
      </c>
      <c r="B519" s="26">
        <v>22</v>
      </c>
      <c r="C519" s="27" t="s">
        <v>1774</v>
      </c>
      <c r="D519" s="32" t="s">
        <v>738</v>
      </c>
      <c r="E519" s="29">
        <v>32</v>
      </c>
      <c r="F519" s="97" t="s">
        <v>792</v>
      </c>
      <c r="G519" s="242"/>
      <c r="H519" s="31">
        <v>33</v>
      </c>
      <c r="I519" s="32">
        <v>31</v>
      </c>
      <c r="J519" s="33">
        <v>15.7</v>
      </c>
      <c r="K519" s="34"/>
      <c r="L519" s="31">
        <v>133</v>
      </c>
      <c r="M519" s="35">
        <v>45</v>
      </c>
      <c r="N519" s="33">
        <v>11.3</v>
      </c>
      <c r="O519" s="37" t="s">
        <v>793</v>
      </c>
      <c r="P519" s="38" t="s">
        <v>794</v>
      </c>
      <c r="Q519" s="35" t="s">
        <v>18</v>
      </c>
      <c r="R519" s="212" t="s">
        <v>364</v>
      </c>
    </row>
    <row r="520" spans="1:20" ht="27.6" customHeight="1">
      <c r="A520" s="46" t="s">
        <v>725</v>
      </c>
      <c r="B520" s="47">
        <v>22</v>
      </c>
      <c r="C520" s="48" t="s">
        <v>1774</v>
      </c>
      <c r="D520" s="100" t="s">
        <v>738</v>
      </c>
      <c r="E520" s="29">
        <v>33</v>
      </c>
      <c r="F520" s="98" t="s">
        <v>795</v>
      </c>
      <c r="G520" s="246"/>
      <c r="H520" s="99">
        <v>33</v>
      </c>
      <c r="I520" s="100">
        <v>31</v>
      </c>
      <c r="J520" s="101">
        <v>20.7</v>
      </c>
      <c r="K520" s="188"/>
      <c r="L520" s="99">
        <v>133</v>
      </c>
      <c r="M520" s="56">
        <v>45</v>
      </c>
      <c r="N520" s="101">
        <v>13.7</v>
      </c>
      <c r="O520" s="54" t="s">
        <v>793</v>
      </c>
      <c r="P520" s="55" t="s">
        <v>251</v>
      </c>
      <c r="Q520" s="56" t="s">
        <v>18</v>
      </c>
      <c r="R520" s="213" t="s">
        <v>35</v>
      </c>
    </row>
    <row r="521" spans="1:20" ht="27.6" customHeight="1">
      <c r="A521" s="25" t="s">
        <v>725</v>
      </c>
      <c r="B521" s="26">
        <v>22</v>
      </c>
      <c r="C521" s="27" t="s">
        <v>1774</v>
      </c>
      <c r="D521" s="100" t="s">
        <v>738</v>
      </c>
      <c r="E521" s="29">
        <v>34</v>
      </c>
      <c r="F521" s="97" t="s">
        <v>1844</v>
      </c>
      <c r="G521" s="242"/>
      <c r="H521" s="31">
        <v>33</v>
      </c>
      <c r="I521" s="32">
        <v>31</v>
      </c>
      <c r="J521" s="33">
        <v>13</v>
      </c>
      <c r="K521" s="34"/>
      <c r="L521" s="31">
        <v>133</v>
      </c>
      <c r="M521" s="35">
        <v>45</v>
      </c>
      <c r="N521" s="33">
        <v>14</v>
      </c>
      <c r="O521" s="37" t="s">
        <v>1845</v>
      </c>
      <c r="P521" s="38" t="s">
        <v>1847</v>
      </c>
      <c r="Q521" s="35" t="s">
        <v>18</v>
      </c>
      <c r="R521" s="212" t="s">
        <v>364</v>
      </c>
    </row>
    <row r="522" spans="1:20" ht="27.6" customHeight="1">
      <c r="A522" s="25" t="s">
        <v>725</v>
      </c>
      <c r="B522" s="26">
        <v>22</v>
      </c>
      <c r="C522" s="27" t="s">
        <v>1843</v>
      </c>
      <c r="D522" s="100" t="s">
        <v>738</v>
      </c>
      <c r="E522" s="29">
        <v>35</v>
      </c>
      <c r="F522" s="97" t="s">
        <v>1839</v>
      </c>
      <c r="G522" s="242"/>
      <c r="H522" s="31">
        <v>33</v>
      </c>
      <c r="I522" s="32">
        <v>32</v>
      </c>
      <c r="J522" s="33">
        <v>25.34</v>
      </c>
      <c r="K522" s="34"/>
      <c r="L522" s="31">
        <v>134</v>
      </c>
      <c r="M522" s="35">
        <v>18</v>
      </c>
      <c r="N522" s="33">
        <v>8.7799999999999994</v>
      </c>
      <c r="O522" s="37" t="s">
        <v>1846</v>
      </c>
      <c r="P522" s="38" t="s">
        <v>1848</v>
      </c>
      <c r="Q522" s="35" t="s">
        <v>18</v>
      </c>
      <c r="R522" s="212" t="s">
        <v>1851</v>
      </c>
    </row>
    <row r="523" spans="1:20" ht="27.6" customHeight="1">
      <c r="A523" s="25" t="s">
        <v>725</v>
      </c>
      <c r="B523" s="26">
        <v>22</v>
      </c>
      <c r="C523" s="27" t="s">
        <v>1843</v>
      </c>
      <c r="D523" s="100" t="s">
        <v>738</v>
      </c>
      <c r="E523" s="29">
        <v>36</v>
      </c>
      <c r="F523" s="97" t="s">
        <v>1840</v>
      </c>
      <c r="G523" s="242"/>
      <c r="H523" s="31">
        <v>33</v>
      </c>
      <c r="I523" s="32">
        <v>32</v>
      </c>
      <c r="J523" s="33">
        <v>26.1</v>
      </c>
      <c r="K523" s="34"/>
      <c r="L523" s="31">
        <v>134</v>
      </c>
      <c r="M523" s="35">
        <v>18</v>
      </c>
      <c r="N523" s="33">
        <v>1.0900000000000001</v>
      </c>
      <c r="O523" s="37" t="s">
        <v>1846</v>
      </c>
      <c r="P523" s="38" t="s">
        <v>1848</v>
      </c>
      <c r="Q523" s="35" t="s">
        <v>18</v>
      </c>
      <c r="R523" s="212" t="s">
        <v>96</v>
      </c>
    </row>
    <row r="524" spans="1:20" ht="27.6" customHeight="1">
      <c r="A524" s="25" t="s">
        <v>725</v>
      </c>
      <c r="B524" s="26">
        <v>22</v>
      </c>
      <c r="C524" s="27" t="s">
        <v>1843</v>
      </c>
      <c r="D524" s="100" t="s">
        <v>738</v>
      </c>
      <c r="E524" s="29">
        <v>37</v>
      </c>
      <c r="F524" s="97" t="s">
        <v>1841</v>
      </c>
      <c r="G524" s="242"/>
      <c r="H524" s="31">
        <v>33</v>
      </c>
      <c r="I524" s="32">
        <v>32</v>
      </c>
      <c r="J524" s="33">
        <v>23.42</v>
      </c>
      <c r="K524" s="34"/>
      <c r="L524" s="31">
        <v>134</v>
      </c>
      <c r="M524" s="35">
        <v>18</v>
      </c>
      <c r="N524" s="33">
        <v>40.61</v>
      </c>
      <c r="O524" s="37" t="s">
        <v>135</v>
      </c>
      <c r="P524" s="38" t="s">
        <v>1849</v>
      </c>
      <c r="Q524" s="35" t="s">
        <v>18</v>
      </c>
      <c r="R524" s="212" t="s">
        <v>96</v>
      </c>
    </row>
    <row r="525" spans="1:20" ht="27.6" customHeight="1" thickBot="1">
      <c r="A525" s="71" t="s">
        <v>725</v>
      </c>
      <c r="B525" s="72">
        <v>22</v>
      </c>
      <c r="C525" s="73" t="s">
        <v>1843</v>
      </c>
      <c r="D525" s="74" t="s">
        <v>738</v>
      </c>
      <c r="E525" s="75">
        <v>38</v>
      </c>
      <c r="F525" s="147" t="s">
        <v>1842</v>
      </c>
      <c r="G525" s="256"/>
      <c r="H525" s="77">
        <v>33</v>
      </c>
      <c r="I525" s="74">
        <v>32</v>
      </c>
      <c r="J525" s="122">
        <v>19.14</v>
      </c>
      <c r="K525" s="178"/>
      <c r="L525" s="77">
        <v>134</v>
      </c>
      <c r="M525" s="123">
        <v>18</v>
      </c>
      <c r="N525" s="122">
        <v>43.7</v>
      </c>
      <c r="O525" s="124" t="s">
        <v>135</v>
      </c>
      <c r="P525" s="125" t="s">
        <v>1850</v>
      </c>
      <c r="Q525" s="123" t="s">
        <v>18</v>
      </c>
      <c r="R525" s="602" t="s">
        <v>1852</v>
      </c>
    </row>
    <row r="526" spans="1:20" ht="27.6" customHeight="1" thickTop="1">
      <c r="A526" s="83" t="s">
        <v>796</v>
      </c>
      <c r="B526" s="84">
        <v>23</v>
      </c>
      <c r="C526" s="85" t="s">
        <v>797</v>
      </c>
      <c r="D526" s="90" t="s">
        <v>124</v>
      </c>
      <c r="E526" s="87">
        <v>1</v>
      </c>
      <c r="F526" s="161" t="s">
        <v>798</v>
      </c>
      <c r="G526" s="279" t="s">
        <v>1658</v>
      </c>
      <c r="H526" s="111" t="str">
        <f t="shared" ref="H526:H538" si="3">LEFT(G526,2)</f>
        <v>31</v>
      </c>
      <c r="I526" s="112" t="str">
        <f t="shared" ref="I526:I538" si="4">MID(G526,4,2)</f>
        <v>33</v>
      </c>
      <c r="J526" s="214">
        <v>3.3</v>
      </c>
      <c r="K526" s="253" t="s">
        <v>1659</v>
      </c>
      <c r="L526" s="111" t="str">
        <f t="shared" ref="L526:L538" si="5">LEFT(K526,3)</f>
        <v>130</v>
      </c>
      <c r="M526" s="92" t="str">
        <f t="shared" ref="M526:M538" si="6">MID(K526,5,2)</f>
        <v>41</v>
      </c>
      <c r="N526" s="214" t="str">
        <f t="shared" ref="N526:N538" si="7">MID(K526,8,4)</f>
        <v>26.0</v>
      </c>
      <c r="O526" s="83" t="s">
        <v>799</v>
      </c>
      <c r="P526" s="85" t="s">
        <v>800</v>
      </c>
      <c r="Q526" s="90"/>
      <c r="R526" s="93" t="s">
        <v>801</v>
      </c>
    </row>
    <row r="527" spans="1:20" ht="27.6" customHeight="1">
      <c r="A527" s="25" t="s">
        <v>796</v>
      </c>
      <c r="B527" s="26">
        <v>23</v>
      </c>
      <c r="C527" s="27" t="s">
        <v>797</v>
      </c>
      <c r="D527" s="32" t="s">
        <v>124</v>
      </c>
      <c r="E527" s="29">
        <v>2</v>
      </c>
      <c r="F527" s="40" t="s">
        <v>802</v>
      </c>
      <c r="G527" s="142" t="s">
        <v>1660</v>
      </c>
      <c r="H527" s="215" t="str">
        <f t="shared" si="3"/>
        <v>31</v>
      </c>
      <c r="I527" s="216" t="str">
        <f t="shared" si="4"/>
        <v>32</v>
      </c>
      <c r="J527" s="217" t="str">
        <f t="shared" ref="J527:J538" si="8">MID(G527,7,4)</f>
        <v>48.0</v>
      </c>
      <c r="K527" s="34" t="s">
        <v>1661</v>
      </c>
      <c r="L527" s="215" t="str">
        <f t="shared" si="5"/>
        <v>130</v>
      </c>
      <c r="M527" s="35" t="str">
        <f t="shared" si="6"/>
        <v>39</v>
      </c>
      <c r="N527" s="108" t="str">
        <f t="shared" si="7"/>
        <v>29.5</v>
      </c>
      <c r="O527" s="25" t="s">
        <v>803</v>
      </c>
      <c r="P527" s="27" t="s">
        <v>804</v>
      </c>
      <c r="Q527" s="32"/>
      <c r="R527" s="36" t="s">
        <v>805</v>
      </c>
    </row>
    <row r="528" spans="1:20" ht="27.6" customHeight="1">
      <c r="A528" s="25" t="s">
        <v>796</v>
      </c>
      <c r="B528" s="26">
        <v>23</v>
      </c>
      <c r="C528" s="27" t="s">
        <v>797</v>
      </c>
      <c r="D528" s="32" t="s">
        <v>124</v>
      </c>
      <c r="E528" s="29">
        <v>3</v>
      </c>
      <c r="F528" s="40" t="s">
        <v>806</v>
      </c>
      <c r="G528" s="142" t="s">
        <v>1662</v>
      </c>
      <c r="H528" s="215" t="str">
        <f t="shared" si="3"/>
        <v>31</v>
      </c>
      <c r="I528" s="216" t="str">
        <f t="shared" si="4"/>
        <v>32</v>
      </c>
      <c r="J528" s="217" t="str">
        <f t="shared" si="8"/>
        <v>39.8</v>
      </c>
      <c r="K528" s="34" t="s">
        <v>1663</v>
      </c>
      <c r="L528" s="215" t="str">
        <f t="shared" si="5"/>
        <v>130</v>
      </c>
      <c r="M528" s="35" t="str">
        <f t="shared" si="6"/>
        <v>37</v>
      </c>
      <c r="N528" s="108">
        <v>1.5</v>
      </c>
      <c r="O528" s="25" t="s">
        <v>807</v>
      </c>
      <c r="P528" s="27" t="s">
        <v>808</v>
      </c>
      <c r="Q528" s="32"/>
      <c r="R528" s="36" t="s">
        <v>809</v>
      </c>
    </row>
    <row r="529" spans="1:18" ht="27.6" customHeight="1">
      <c r="A529" s="25" t="s">
        <v>796</v>
      </c>
      <c r="B529" s="26">
        <v>23</v>
      </c>
      <c r="C529" s="27" t="s">
        <v>797</v>
      </c>
      <c r="D529" s="32" t="s">
        <v>124</v>
      </c>
      <c r="E529" s="29">
        <v>4</v>
      </c>
      <c r="F529" s="40" t="s">
        <v>810</v>
      </c>
      <c r="G529" s="142" t="s">
        <v>1664</v>
      </c>
      <c r="H529" s="215" t="str">
        <f t="shared" si="3"/>
        <v>31</v>
      </c>
      <c r="I529" s="216" t="str">
        <f t="shared" si="4"/>
        <v>33</v>
      </c>
      <c r="J529" s="217" t="str">
        <f t="shared" si="8"/>
        <v>59.0</v>
      </c>
      <c r="K529" s="34" t="s">
        <v>1665</v>
      </c>
      <c r="L529" s="215" t="str">
        <f t="shared" si="5"/>
        <v>130</v>
      </c>
      <c r="M529" s="35" t="str">
        <f t="shared" si="6"/>
        <v>35</v>
      </c>
      <c r="N529" s="108" t="str">
        <f t="shared" si="7"/>
        <v>32.9</v>
      </c>
      <c r="O529" s="25" t="s">
        <v>811</v>
      </c>
      <c r="P529" s="27" t="s">
        <v>812</v>
      </c>
      <c r="Q529" s="32"/>
      <c r="R529" s="36" t="s">
        <v>813</v>
      </c>
    </row>
    <row r="530" spans="1:18" ht="27.6" customHeight="1">
      <c r="A530" s="25" t="s">
        <v>796</v>
      </c>
      <c r="B530" s="26">
        <v>23</v>
      </c>
      <c r="C530" s="27" t="s">
        <v>797</v>
      </c>
      <c r="D530" s="32" t="s">
        <v>124</v>
      </c>
      <c r="E530" s="29">
        <v>5</v>
      </c>
      <c r="F530" s="40" t="s">
        <v>2084</v>
      </c>
      <c r="G530" s="142" t="s">
        <v>1666</v>
      </c>
      <c r="H530" s="215" t="str">
        <f t="shared" si="3"/>
        <v>31</v>
      </c>
      <c r="I530" s="216" t="str">
        <f t="shared" si="4"/>
        <v>35</v>
      </c>
      <c r="J530" s="217" t="str">
        <f t="shared" si="8"/>
        <v>23.4</v>
      </c>
      <c r="K530" s="34" t="s">
        <v>1180</v>
      </c>
      <c r="L530" s="215" t="str">
        <f t="shared" si="5"/>
        <v>130</v>
      </c>
      <c r="M530" s="35" t="str">
        <f t="shared" si="6"/>
        <v>35</v>
      </c>
      <c r="N530" s="108" t="str">
        <f t="shared" si="7"/>
        <v>28.2</v>
      </c>
      <c r="O530" s="25" t="s">
        <v>803</v>
      </c>
      <c r="P530" s="27" t="s">
        <v>814</v>
      </c>
      <c r="Q530" s="32"/>
      <c r="R530" s="36" t="s">
        <v>815</v>
      </c>
    </row>
    <row r="531" spans="1:18" ht="27.6" customHeight="1">
      <c r="A531" s="25" t="s">
        <v>796</v>
      </c>
      <c r="B531" s="26">
        <v>23</v>
      </c>
      <c r="C531" s="27" t="s">
        <v>797</v>
      </c>
      <c r="D531" s="32" t="s">
        <v>124</v>
      </c>
      <c r="E531" s="29">
        <v>6</v>
      </c>
      <c r="F531" s="40" t="s">
        <v>816</v>
      </c>
      <c r="G531" s="142" t="s">
        <v>1181</v>
      </c>
      <c r="H531" s="215" t="str">
        <f t="shared" si="3"/>
        <v>30</v>
      </c>
      <c r="I531" s="216" t="str">
        <f t="shared" si="4"/>
        <v>59</v>
      </c>
      <c r="J531" s="217" t="str">
        <f t="shared" si="8"/>
        <v>57.0</v>
      </c>
      <c r="K531" s="34" t="s">
        <v>1182</v>
      </c>
      <c r="L531" s="215" t="str">
        <f t="shared" si="5"/>
        <v>130</v>
      </c>
      <c r="M531" s="35" t="str">
        <f t="shared" si="6"/>
        <v>40</v>
      </c>
      <c r="N531" s="108">
        <v>5</v>
      </c>
      <c r="O531" s="25" t="s">
        <v>803</v>
      </c>
      <c r="P531" s="27" t="s">
        <v>817</v>
      </c>
      <c r="Q531" s="32"/>
      <c r="R531" s="36">
        <v>5</v>
      </c>
    </row>
    <row r="532" spans="1:18" ht="27.6" customHeight="1">
      <c r="A532" s="25" t="s">
        <v>796</v>
      </c>
      <c r="B532" s="26">
        <v>23</v>
      </c>
      <c r="C532" s="27" t="s">
        <v>797</v>
      </c>
      <c r="D532" s="32" t="s">
        <v>124</v>
      </c>
      <c r="E532" s="29">
        <v>7</v>
      </c>
      <c r="F532" s="40" t="s">
        <v>818</v>
      </c>
      <c r="G532" s="142" t="s">
        <v>1183</v>
      </c>
      <c r="H532" s="215" t="str">
        <f t="shared" si="3"/>
        <v>30</v>
      </c>
      <c r="I532" s="216" t="str">
        <f t="shared" si="4"/>
        <v>59</v>
      </c>
      <c r="J532" s="217" t="str">
        <f t="shared" si="8"/>
        <v>46.6</v>
      </c>
      <c r="K532" s="34" t="s">
        <v>1184</v>
      </c>
      <c r="L532" s="215" t="str">
        <f t="shared" si="5"/>
        <v>130</v>
      </c>
      <c r="M532" s="35" t="str">
        <f t="shared" si="6"/>
        <v>40</v>
      </c>
      <c r="N532" s="108" t="str">
        <f t="shared" si="7"/>
        <v>14.8</v>
      </c>
      <c r="O532" s="25" t="s">
        <v>819</v>
      </c>
      <c r="P532" s="27" t="s">
        <v>814</v>
      </c>
      <c r="Q532" s="32"/>
      <c r="R532" s="36">
        <v>6</v>
      </c>
    </row>
    <row r="533" spans="1:18" ht="27.6" customHeight="1">
      <c r="A533" s="25" t="s">
        <v>796</v>
      </c>
      <c r="B533" s="26">
        <v>23</v>
      </c>
      <c r="C533" s="27" t="s">
        <v>797</v>
      </c>
      <c r="D533" s="32" t="s">
        <v>124</v>
      </c>
      <c r="E533" s="29">
        <v>8</v>
      </c>
      <c r="F533" s="40" t="s">
        <v>820</v>
      </c>
      <c r="G533" s="142" t="s">
        <v>1185</v>
      </c>
      <c r="H533" s="215" t="str">
        <f t="shared" si="3"/>
        <v>31</v>
      </c>
      <c r="I533" s="216" t="str">
        <f t="shared" si="4"/>
        <v>16</v>
      </c>
      <c r="J533" s="217" t="str">
        <f t="shared" si="8"/>
        <v>41.7</v>
      </c>
      <c r="K533" s="34" t="s">
        <v>1186</v>
      </c>
      <c r="L533" s="215" t="str">
        <f t="shared" si="5"/>
        <v>131</v>
      </c>
      <c r="M533" s="35" t="str">
        <f t="shared" si="6"/>
        <v>06</v>
      </c>
      <c r="N533" s="108" t="str">
        <f t="shared" si="7"/>
        <v>43.0</v>
      </c>
      <c r="O533" s="25" t="s">
        <v>803</v>
      </c>
      <c r="P533" s="27" t="s">
        <v>821</v>
      </c>
      <c r="Q533" s="32"/>
      <c r="R533" s="36" t="s">
        <v>822</v>
      </c>
    </row>
    <row r="534" spans="1:18" ht="27.6" customHeight="1">
      <c r="A534" s="25" t="s">
        <v>796</v>
      </c>
      <c r="B534" s="26">
        <v>23</v>
      </c>
      <c r="C534" s="27" t="s">
        <v>797</v>
      </c>
      <c r="D534" s="32" t="s">
        <v>124</v>
      </c>
      <c r="E534" s="29">
        <v>9</v>
      </c>
      <c r="F534" s="40" t="s">
        <v>823</v>
      </c>
      <c r="G534" s="142" t="s">
        <v>1187</v>
      </c>
      <c r="H534" s="215" t="str">
        <f t="shared" si="3"/>
        <v>31</v>
      </c>
      <c r="I534" s="216" t="str">
        <f t="shared" si="4"/>
        <v>15</v>
      </c>
      <c r="J534" s="217" t="str">
        <f t="shared" si="8"/>
        <v>28.1</v>
      </c>
      <c r="K534" s="34" t="s">
        <v>1188</v>
      </c>
      <c r="L534" s="215" t="str">
        <f t="shared" si="5"/>
        <v>130</v>
      </c>
      <c r="M534" s="35" t="str">
        <f t="shared" si="6"/>
        <v>15</v>
      </c>
      <c r="N534" s="108" t="str">
        <f t="shared" si="7"/>
        <v>31.0</v>
      </c>
      <c r="O534" s="25" t="s">
        <v>803</v>
      </c>
      <c r="P534" s="27" t="s">
        <v>814</v>
      </c>
      <c r="Q534" s="32"/>
      <c r="R534" s="36" t="s">
        <v>822</v>
      </c>
    </row>
    <row r="535" spans="1:18" ht="27.6" customHeight="1">
      <c r="A535" s="25" t="s">
        <v>796</v>
      </c>
      <c r="B535" s="26">
        <v>23</v>
      </c>
      <c r="C535" s="27" t="s">
        <v>797</v>
      </c>
      <c r="D535" s="32" t="s">
        <v>124</v>
      </c>
      <c r="E535" s="29">
        <v>10</v>
      </c>
      <c r="F535" s="40" t="s">
        <v>824</v>
      </c>
      <c r="G535" s="142" t="s">
        <v>1189</v>
      </c>
      <c r="H535" s="215" t="str">
        <f t="shared" si="3"/>
        <v>31</v>
      </c>
      <c r="I535" s="216" t="str">
        <f t="shared" si="4"/>
        <v>15</v>
      </c>
      <c r="J535" s="217" t="str">
        <f t="shared" si="8"/>
        <v>23.5</v>
      </c>
      <c r="K535" s="34" t="s">
        <v>1190</v>
      </c>
      <c r="L535" s="215" t="str">
        <f t="shared" si="5"/>
        <v>130</v>
      </c>
      <c r="M535" s="35" t="str">
        <f t="shared" si="6"/>
        <v>13</v>
      </c>
      <c r="N535" s="108" t="str">
        <f t="shared" si="7"/>
        <v>56.6</v>
      </c>
      <c r="O535" s="25" t="s">
        <v>803</v>
      </c>
      <c r="P535" s="27" t="s">
        <v>814</v>
      </c>
      <c r="Q535" s="32"/>
      <c r="R535" s="36" t="s">
        <v>822</v>
      </c>
    </row>
    <row r="536" spans="1:18" ht="27.6" customHeight="1">
      <c r="A536" s="25" t="s">
        <v>796</v>
      </c>
      <c r="B536" s="26">
        <v>23</v>
      </c>
      <c r="C536" s="27" t="s">
        <v>797</v>
      </c>
      <c r="D536" s="32" t="s">
        <v>124</v>
      </c>
      <c r="E536" s="29">
        <v>11</v>
      </c>
      <c r="F536" s="40" t="s">
        <v>825</v>
      </c>
      <c r="G536" s="142" t="s">
        <v>1191</v>
      </c>
      <c r="H536" s="215" t="str">
        <f t="shared" si="3"/>
        <v>31</v>
      </c>
      <c r="I536" s="216" t="str">
        <f t="shared" si="4"/>
        <v>19</v>
      </c>
      <c r="J536" s="108">
        <v>2.8</v>
      </c>
      <c r="K536" s="34" t="s">
        <v>1192</v>
      </c>
      <c r="L536" s="215" t="str">
        <f t="shared" si="5"/>
        <v>130</v>
      </c>
      <c r="M536" s="35" t="str">
        <f t="shared" si="6"/>
        <v>12</v>
      </c>
      <c r="N536" s="108" t="str">
        <f t="shared" si="7"/>
        <v>13.8</v>
      </c>
      <c r="O536" s="25" t="s">
        <v>803</v>
      </c>
      <c r="P536" s="27" t="s">
        <v>814</v>
      </c>
      <c r="Q536" s="32"/>
      <c r="R536" s="36" t="s">
        <v>79</v>
      </c>
    </row>
    <row r="537" spans="1:18" ht="27.6" customHeight="1">
      <c r="A537" s="25" t="s">
        <v>796</v>
      </c>
      <c r="B537" s="26">
        <v>23</v>
      </c>
      <c r="C537" s="27" t="s">
        <v>797</v>
      </c>
      <c r="D537" s="32" t="s">
        <v>124</v>
      </c>
      <c r="E537" s="29">
        <v>12</v>
      </c>
      <c r="F537" s="40" t="s">
        <v>826</v>
      </c>
      <c r="G537" s="142" t="s">
        <v>1193</v>
      </c>
      <c r="H537" s="215" t="str">
        <f t="shared" si="3"/>
        <v>31</v>
      </c>
      <c r="I537" s="216" t="str">
        <f t="shared" si="4"/>
        <v>19</v>
      </c>
      <c r="J537" s="108">
        <v>9.9</v>
      </c>
      <c r="K537" s="34" t="s">
        <v>1194</v>
      </c>
      <c r="L537" s="215" t="str">
        <f t="shared" si="5"/>
        <v>130</v>
      </c>
      <c r="M537" s="35" t="str">
        <f t="shared" si="6"/>
        <v>12</v>
      </c>
      <c r="N537" s="108" t="str">
        <f t="shared" si="7"/>
        <v>17.9</v>
      </c>
      <c r="O537" s="25" t="s">
        <v>827</v>
      </c>
      <c r="P537" s="27" t="s">
        <v>814</v>
      </c>
      <c r="Q537" s="32"/>
      <c r="R537" s="36" t="s">
        <v>73</v>
      </c>
    </row>
    <row r="538" spans="1:18" ht="27.6" customHeight="1">
      <c r="A538" s="25" t="s">
        <v>796</v>
      </c>
      <c r="B538" s="26">
        <v>23</v>
      </c>
      <c r="C538" s="27" t="s">
        <v>797</v>
      </c>
      <c r="D538" s="32" t="s">
        <v>124</v>
      </c>
      <c r="E538" s="29">
        <v>13</v>
      </c>
      <c r="F538" s="40" t="s">
        <v>828</v>
      </c>
      <c r="G538" s="142" t="s">
        <v>1195</v>
      </c>
      <c r="H538" s="215" t="str">
        <f t="shared" si="3"/>
        <v>31</v>
      </c>
      <c r="I538" s="216" t="str">
        <f t="shared" si="4"/>
        <v>20</v>
      </c>
      <c r="J538" s="217" t="str">
        <f t="shared" si="8"/>
        <v>32.7</v>
      </c>
      <c r="K538" s="34" t="s">
        <v>1196</v>
      </c>
      <c r="L538" s="215" t="str">
        <f t="shared" si="5"/>
        <v>130</v>
      </c>
      <c r="M538" s="35" t="str">
        <f t="shared" si="6"/>
        <v>12</v>
      </c>
      <c r="N538" s="108" t="str">
        <f t="shared" si="7"/>
        <v>26.1</v>
      </c>
      <c r="O538" s="25" t="s">
        <v>803</v>
      </c>
      <c r="P538" s="27" t="s">
        <v>808</v>
      </c>
      <c r="Q538" s="32"/>
      <c r="R538" s="33">
        <v>2</v>
      </c>
    </row>
    <row r="539" spans="1:18" ht="27.6" customHeight="1">
      <c r="A539" s="25" t="s">
        <v>796</v>
      </c>
      <c r="B539" s="26">
        <v>23</v>
      </c>
      <c r="C539" s="27" t="s">
        <v>797</v>
      </c>
      <c r="D539" s="32" t="s">
        <v>124</v>
      </c>
      <c r="E539" s="29">
        <v>14</v>
      </c>
      <c r="F539" s="40" t="s">
        <v>829</v>
      </c>
      <c r="G539" s="142" t="s">
        <v>1197</v>
      </c>
      <c r="H539" s="31">
        <v>31</v>
      </c>
      <c r="I539" s="32">
        <v>20</v>
      </c>
      <c r="J539" s="108">
        <v>56</v>
      </c>
      <c r="K539" s="34"/>
      <c r="L539" s="31">
        <v>130</v>
      </c>
      <c r="M539" s="35">
        <v>12</v>
      </c>
      <c r="N539" s="108">
        <v>19</v>
      </c>
      <c r="O539" s="25" t="s">
        <v>803</v>
      </c>
      <c r="P539" s="27" t="s">
        <v>814</v>
      </c>
      <c r="Q539" s="32"/>
      <c r="R539" s="36" t="s">
        <v>79</v>
      </c>
    </row>
    <row r="540" spans="1:18" ht="27.6" customHeight="1">
      <c r="A540" s="25" t="s">
        <v>796</v>
      </c>
      <c r="B540" s="26">
        <v>23</v>
      </c>
      <c r="C540" s="27" t="s">
        <v>797</v>
      </c>
      <c r="D540" s="32" t="s">
        <v>124</v>
      </c>
      <c r="E540" s="29">
        <v>15</v>
      </c>
      <c r="F540" s="40" t="s">
        <v>830</v>
      </c>
      <c r="G540" s="142" t="s">
        <v>1198</v>
      </c>
      <c r="H540" s="215" t="str">
        <f>LEFT(G540,2)</f>
        <v>31</v>
      </c>
      <c r="I540" s="216" t="str">
        <f>MID(G540,4,2)</f>
        <v>25</v>
      </c>
      <c r="J540" s="217" t="str">
        <f>MID(G540,7,4)</f>
        <v>25.0</v>
      </c>
      <c r="K540" s="34" t="s">
        <v>1199</v>
      </c>
      <c r="L540" s="215" t="str">
        <f>LEFT(K540,3)</f>
        <v>130</v>
      </c>
      <c r="M540" s="35" t="str">
        <f>MID(K540,5,2)</f>
        <v>10</v>
      </c>
      <c r="N540" s="108" t="str">
        <f>MID(K540,8,4)</f>
        <v>12.4</v>
      </c>
      <c r="O540" s="25" t="s">
        <v>831</v>
      </c>
      <c r="P540" s="27" t="s">
        <v>812</v>
      </c>
      <c r="Q540" s="32"/>
      <c r="R540" s="36" t="s">
        <v>79</v>
      </c>
    </row>
    <row r="541" spans="1:18" ht="35.1" customHeight="1">
      <c r="A541" s="25" t="s">
        <v>796</v>
      </c>
      <c r="B541" s="26">
        <v>23</v>
      </c>
      <c r="C541" s="27" t="s">
        <v>797</v>
      </c>
      <c r="D541" s="32" t="s">
        <v>124</v>
      </c>
      <c r="E541" s="29">
        <v>16</v>
      </c>
      <c r="F541" s="40" t="s">
        <v>832</v>
      </c>
      <c r="G541" s="142"/>
      <c r="H541" s="31">
        <v>32</v>
      </c>
      <c r="I541" s="32">
        <v>1</v>
      </c>
      <c r="J541" s="108">
        <v>57.6</v>
      </c>
      <c r="K541" s="34"/>
      <c r="L541" s="31">
        <v>130</v>
      </c>
      <c r="M541" s="35">
        <v>9</v>
      </c>
      <c r="N541" s="108">
        <v>59.4</v>
      </c>
      <c r="O541" s="25" t="s">
        <v>833</v>
      </c>
      <c r="P541" s="27" t="s">
        <v>1200</v>
      </c>
      <c r="Q541" s="32" t="s">
        <v>864</v>
      </c>
      <c r="R541" s="36" t="s">
        <v>822</v>
      </c>
    </row>
    <row r="542" spans="1:18" ht="35.1" customHeight="1">
      <c r="A542" s="25" t="s">
        <v>796</v>
      </c>
      <c r="B542" s="26">
        <v>23</v>
      </c>
      <c r="C542" s="27" t="s">
        <v>797</v>
      </c>
      <c r="D542" s="32" t="s">
        <v>124</v>
      </c>
      <c r="E542" s="29">
        <v>17</v>
      </c>
      <c r="F542" s="40" t="s">
        <v>834</v>
      </c>
      <c r="G542" s="142"/>
      <c r="H542" s="31">
        <v>32</v>
      </c>
      <c r="I542" s="32">
        <v>5</v>
      </c>
      <c r="J542" s="108">
        <v>2.4</v>
      </c>
      <c r="K542" s="34"/>
      <c r="L542" s="31">
        <v>130</v>
      </c>
      <c r="M542" s="35">
        <v>9</v>
      </c>
      <c r="N542" s="108">
        <v>41.4</v>
      </c>
      <c r="O542" s="25" t="s">
        <v>835</v>
      </c>
      <c r="P542" s="27" t="s">
        <v>1200</v>
      </c>
      <c r="Q542" s="32" t="s">
        <v>864</v>
      </c>
      <c r="R542" s="36" t="s">
        <v>836</v>
      </c>
    </row>
    <row r="543" spans="1:18" ht="35.1" customHeight="1" thickBot="1">
      <c r="A543" s="46" t="s">
        <v>796</v>
      </c>
      <c r="B543" s="47">
        <v>23</v>
      </c>
      <c r="C543" s="48" t="s">
        <v>797</v>
      </c>
      <c r="D543" s="100" t="s">
        <v>124</v>
      </c>
      <c r="E543" s="50">
        <v>18</v>
      </c>
      <c r="F543" s="218" t="s">
        <v>837</v>
      </c>
      <c r="G543" s="280"/>
      <c r="H543" s="99">
        <v>32</v>
      </c>
      <c r="I543" s="100">
        <v>7</v>
      </c>
      <c r="J543" s="219">
        <v>16.8</v>
      </c>
      <c r="K543" s="188"/>
      <c r="L543" s="99">
        <v>130</v>
      </c>
      <c r="M543" s="56">
        <v>9</v>
      </c>
      <c r="N543" s="219">
        <v>41.4</v>
      </c>
      <c r="O543" s="46" t="s">
        <v>838</v>
      </c>
      <c r="P543" s="48" t="s">
        <v>1200</v>
      </c>
      <c r="Q543" s="100" t="s">
        <v>864</v>
      </c>
      <c r="R543" s="53" t="s">
        <v>822</v>
      </c>
    </row>
    <row r="544" spans="1:18" ht="27.6" customHeight="1" thickTop="1">
      <c r="A544" s="57" t="s">
        <v>839</v>
      </c>
      <c r="B544" s="58">
        <v>24</v>
      </c>
      <c r="C544" s="59" t="s">
        <v>840</v>
      </c>
      <c r="D544" s="60" t="s">
        <v>841</v>
      </c>
      <c r="E544" s="61">
        <v>1</v>
      </c>
      <c r="F544" s="62" t="s">
        <v>1201</v>
      </c>
      <c r="G544" s="281" t="s">
        <v>1202</v>
      </c>
      <c r="H544" s="220" t="str">
        <f t="shared" ref="H544:H558" si="9">LEFT(G544,2)</f>
        <v>32</v>
      </c>
      <c r="I544" s="221" t="str">
        <f t="shared" ref="I544:I558" si="10">MID(G544,4,2)</f>
        <v>31</v>
      </c>
      <c r="J544" s="222" t="str">
        <f t="shared" ref="J544:J558" si="11">MID(G544,7,4)</f>
        <v>24.5</v>
      </c>
      <c r="K544" s="265" t="s">
        <v>1203</v>
      </c>
      <c r="L544" s="220" t="str">
        <f t="shared" ref="L544:L558" si="12">LEFT(K544,3)</f>
        <v>130</v>
      </c>
      <c r="M544" s="105" t="str">
        <f t="shared" ref="M544:M558" si="13">MID(K544,5,2)</f>
        <v>00</v>
      </c>
      <c r="N544" s="104" t="str">
        <f t="shared" ref="N544:N558" si="14">MID(K544,8,4)</f>
        <v>58.2</v>
      </c>
      <c r="O544" s="57" t="s">
        <v>842</v>
      </c>
      <c r="P544" s="59" t="s">
        <v>843</v>
      </c>
      <c r="Q544" s="60" t="s">
        <v>18</v>
      </c>
      <c r="R544" s="65" t="s">
        <v>77</v>
      </c>
    </row>
    <row r="545" spans="1:18" ht="27.6" customHeight="1">
      <c r="A545" s="25" t="s">
        <v>839</v>
      </c>
      <c r="B545" s="26">
        <v>24</v>
      </c>
      <c r="C545" s="27" t="s">
        <v>840</v>
      </c>
      <c r="D545" s="32" t="s">
        <v>841</v>
      </c>
      <c r="E545" s="29">
        <v>2</v>
      </c>
      <c r="F545" s="40" t="s">
        <v>1204</v>
      </c>
      <c r="G545" s="142" t="s">
        <v>1205</v>
      </c>
      <c r="H545" s="215" t="str">
        <f t="shared" si="9"/>
        <v>32</v>
      </c>
      <c r="I545" s="216" t="str">
        <f t="shared" si="10"/>
        <v>31</v>
      </c>
      <c r="J545" s="223" t="str">
        <f t="shared" si="11"/>
        <v>07.1</v>
      </c>
      <c r="K545" s="34" t="s">
        <v>1206</v>
      </c>
      <c r="L545" s="215" t="str">
        <f t="shared" si="12"/>
        <v>130</v>
      </c>
      <c r="M545" s="35" t="str">
        <f t="shared" si="13"/>
        <v>01</v>
      </c>
      <c r="N545" s="33" t="str">
        <f t="shared" si="14"/>
        <v>34.5</v>
      </c>
      <c r="O545" s="25" t="s">
        <v>844</v>
      </c>
      <c r="P545" s="27" t="s">
        <v>845</v>
      </c>
      <c r="Q545" s="32" t="s">
        <v>18</v>
      </c>
      <c r="R545" s="36" t="s">
        <v>79</v>
      </c>
    </row>
    <row r="546" spans="1:18" ht="27.6" customHeight="1">
      <c r="A546" s="25" t="s">
        <v>839</v>
      </c>
      <c r="B546" s="26">
        <v>24</v>
      </c>
      <c r="C546" s="27" t="s">
        <v>840</v>
      </c>
      <c r="D546" s="32" t="s">
        <v>841</v>
      </c>
      <c r="E546" s="29">
        <v>3</v>
      </c>
      <c r="F546" s="40" t="s">
        <v>1207</v>
      </c>
      <c r="G546" s="142" t="s">
        <v>1208</v>
      </c>
      <c r="H546" s="215" t="str">
        <f t="shared" si="9"/>
        <v>32</v>
      </c>
      <c r="I546" s="216" t="str">
        <f t="shared" si="10"/>
        <v>20</v>
      </c>
      <c r="J546" s="223" t="str">
        <f t="shared" si="11"/>
        <v>40.9</v>
      </c>
      <c r="K546" s="34" t="s">
        <v>1209</v>
      </c>
      <c r="L546" s="215" t="str">
        <f t="shared" si="12"/>
        <v>129</v>
      </c>
      <c r="M546" s="35" t="str">
        <f t="shared" si="13"/>
        <v>58</v>
      </c>
      <c r="N546" s="33">
        <v>3.7</v>
      </c>
      <c r="O546" s="25" t="s">
        <v>114</v>
      </c>
      <c r="P546" s="27" t="s">
        <v>98</v>
      </c>
      <c r="Q546" s="32" t="s">
        <v>18</v>
      </c>
      <c r="R546" s="36" t="s">
        <v>77</v>
      </c>
    </row>
    <row r="547" spans="1:18" ht="27.6" customHeight="1">
      <c r="A547" s="25" t="s">
        <v>839</v>
      </c>
      <c r="B547" s="26">
        <v>24</v>
      </c>
      <c r="C547" s="27" t="s">
        <v>840</v>
      </c>
      <c r="D547" s="32" t="s">
        <v>841</v>
      </c>
      <c r="E547" s="29">
        <v>4</v>
      </c>
      <c r="F547" s="40" t="s">
        <v>846</v>
      </c>
      <c r="G547" s="142" t="s">
        <v>1210</v>
      </c>
      <c r="H547" s="215" t="str">
        <f t="shared" si="9"/>
        <v>32</v>
      </c>
      <c r="I547" s="216" t="str">
        <f t="shared" si="10"/>
        <v>20</v>
      </c>
      <c r="J547" s="223" t="str">
        <f t="shared" si="11"/>
        <v>55.8</v>
      </c>
      <c r="K547" s="34" t="s">
        <v>1211</v>
      </c>
      <c r="L547" s="215" t="str">
        <f t="shared" si="12"/>
        <v>129</v>
      </c>
      <c r="M547" s="35" t="str">
        <f t="shared" si="13"/>
        <v>58</v>
      </c>
      <c r="N547" s="33" t="str">
        <f t="shared" si="14"/>
        <v>37.7</v>
      </c>
      <c r="O547" s="25" t="s">
        <v>844</v>
      </c>
      <c r="P547" s="27" t="s">
        <v>847</v>
      </c>
      <c r="Q547" s="32" t="s">
        <v>18</v>
      </c>
      <c r="R547" s="36" t="s">
        <v>822</v>
      </c>
    </row>
    <row r="548" spans="1:18" ht="27.6" customHeight="1">
      <c r="A548" s="25" t="s">
        <v>839</v>
      </c>
      <c r="B548" s="26">
        <v>24</v>
      </c>
      <c r="C548" s="27" t="s">
        <v>840</v>
      </c>
      <c r="D548" s="32" t="s">
        <v>841</v>
      </c>
      <c r="E548" s="29">
        <v>5</v>
      </c>
      <c r="F548" s="40" t="s">
        <v>1212</v>
      </c>
      <c r="G548" s="142" t="s">
        <v>1213</v>
      </c>
      <c r="H548" s="215" t="str">
        <f t="shared" si="9"/>
        <v>32</v>
      </c>
      <c r="I548" s="216" t="str">
        <f t="shared" si="10"/>
        <v>12</v>
      </c>
      <c r="J548" s="223" t="str">
        <f t="shared" si="11"/>
        <v>01.3</v>
      </c>
      <c r="K548" s="34" t="s">
        <v>1214</v>
      </c>
      <c r="L548" s="215" t="str">
        <f t="shared" si="12"/>
        <v>129</v>
      </c>
      <c r="M548" s="35" t="str">
        <f t="shared" si="13"/>
        <v>58</v>
      </c>
      <c r="N548" s="33" t="str">
        <f t="shared" si="14"/>
        <v>32.1</v>
      </c>
      <c r="O548" s="25" t="s">
        <v>848</v>
      </c>
      <c r="P548" s="27" t="s">
        <v>847</v>
      </c>
      <c r="Q548" s="32" t="s">
        <v>18</v>
      </c>
      <c r="R548" s="36" t="s">
        <v>836</v>
      </c>
    </row>
    <row r="549" spans="1:18" ht="27.6" customHeight="1">
      <c r="A549" s="25" t="s">
        <v>839</v>
      </c>
      <c r="B549" s="26">
        <v>24</v>
      </c>
      <c r="C549" s="27" t="s">
        <v>840</v>
      </c>
      <c r="D549" s="32" t="s">
        <v>841</v>
      </c>
      <c r="E549" s="29">
        <v>6</v>
      </c>
      <c r="F549" s="40" t="s">
        <v>1215</v>
      </c>
      <c r="G549" s="142" t="s">
        <v>1216</v>
      </c>
      <c r="H549" s="215" t="str">
        <f t="shared" si="9"/>
        <v>32</v>
      </c>
      <c r="I549" s="216" t="str">
        <f t="shared" si="10"/>
        <v>12</v>
      </c>
      <c r="J549" s="223" t="str">
        <f t="shared" si="11"/>
        <v>18.8</v>
      </c>
      <c r="K549" s="34" t="s">
        <v>1217</v>
      </c>
      <c r="L549" s="215" t="str">
        <f t="shared" si="12"/>
        <v>129</v>
      </c>
      <c r="M549" s="35" t="str">
        <f t="shared" si="13"/>
        <v>59</v>
      </c>
      <c r="N549" s="33" t="str">
        <f t="shared" si="14"/>
        <v>35.9</v>
      </c>
      <c r="O549" s="25" t="s">
        <v>849</v>
      </c>
      <c r="P549" s="27" t="s">
        <v>850</v>
      </c>
      <c r="Q549" s="32" t="s">
        <v>18</v>
      </c>
      <c r="R549" s="36" t="s">
        <v>822</v>
      </c>
    </row>
    <row r="550" spans="1:18" ht="27.6" customHeight="1">
      <c r="A550" s="25" t="s">
        <v>839</v>
      </c>
      <c r="B550" s="26">
        <v>24</v>
      </c>
      <c r="C550" s="27" t="s">
        <v>840</v>
      </c>
      <c r="D550" s="32" t="s">
        <v>841</v>
      </c>
      <c r="E550" s="29">
        <v>7</v>
      </c>
      <c r="F550" s="40" t="s">
        <v>1218</v>
      </c>
      <c r="G550" s="142" t="s">
        <v>1219</v>
      </c>
      <c r="H550" s="215" t="str">
        <f t="shared" si="9"/>
        <v>32</v>
      </c>
      <c r="I550" s="216" t="str">
        <f t="shared" si="10"/>
        <v>11</v>
      </c>
      <c r="J550" s="223" t="str">
        <f t="shared" si="11"/>
        <v>12.4</v>
      </c>
      <c r="K550" s="34" t="s">
        <v>1220</v>
      </c>
      <c r="L550" s="215" t="str">
        <f t="shared" si="12"/>
        <v>129</v>
      </c>
      <c r="M550" s="35" t="str">
        <f t="shared" si="13"/>
        <v>58</v>
      </c>
      <c r="N550" s="33">
        <v>6.7</v>
      </c>
      <c r="O550" s="25" t="s">
        <v>848</v>
      </c>
      <c r="P550" s="27" t="s">
        <v>847</v>
      </c>
      <c r="Q550" s="32" t="s">
        <v>18</v>
      </c>
      <c r="R550" s="36" t="s">
        <v>77</v>
      </c>
    </row>
    <row r="551" spans="1:18" ht="27.6" customHeight="1">
      <c r="A551" s="25" t="s">
        <v>839</v>
      </c>
      <c r="B551" s="26">
        <v>24</v>
      </c>
      <c r="C551" s="27" t="s">
        <v>840</v>
      </c>
      <c r="D551" s="32" t="s">
        <v>841</v>
      </c>
      <c r="E551" s="29">
        <v>8</v>
      </c>
      <c r="F551" s="40" t="s">
        <v>1221</v>
      </c>
      <c r="G551" s="142" t="s">
        <v>1222</v>
      </c>
      <c r="H551" s="215" t="str">
        <f t="shared" si="9"/>
        <v>32</v>
      </c>
      <c r="I551" s="216" t="str">
        <f t="shared" si="10"/>
        <v>11</v>
      </c>
      <c r="J551" s="223" t="str">
        <f t="shared" si="11"/>
        <v>35.2</v>
      </c>
      <c r="K551" s="34" t="s">
        <v>1223</v>
      </c>
      <c r="L551" s="215" t="str">
        <f t="shared" si="12"/>
        <v>129</v>
      </c>
      <c r="M551" s="35" t="str">
        <f t="shared" si="13"/>
        <v>59</v>
      </c>
      <c r="N551" s="33" t="str">
        <f t="shared" si="14"/>
        <v>37.7</v>
      </c>
      <c r="O551" s="25" t="s">
        <v>851</v>
      </c>
      <c r="P551" s="27" t="s">
        <v>847</v>
      </c>
      <c r="Q551" s="32" t="s">
        <v>18</v>
      </c>
      <c r="R551" s="36" t="s">
        <v>107</v>
      </c>
    </row>
    <row r="552" spans="1:18" ht="27.6" customHeight="1">
      <c r="A552" s="25" t="s">
        <v>839</v>
      </c>
      <c r="B552" s="26">
        <v>24</v>
      </c>
      <c r="C552" s="27" t="s">
        <v>840</v>
      </c>
      <c r="D552" s="32" t="s">
        <v>841</v>
      </c>
      <c r="E552" s="29">
        <v>9</v>
      </c>
      <c r="F552" s="40" t="s">
        <v>1224</v>
      </c>
      <c r="G552" s="142" t="s">
        <v>1225</v>
      </c>
      <c r="H552" s="215" t="str">
        <f t="shared" si="9"/>
        <v>32</v>
      </c>
      <c r="I552" s="216" t="str">
        <f t="shared" si="10"/>
        <v>10</v>
      </c>
      <c r="J552" s="223" t="str">
        <f t="shared" si="11"/>
        <v>45.9</v>
      </c>
      <c r="K552" s="34" t="s">
        <v>1226</v>
      </c>
      <c r="L552" s="215" t="str">
        <f t="shared" si="12"/>
        <v>129</v>
      </c>
      <c r="M552" s="35" t="str">
        <f t="shared" si="13"/>
        <v>57</v>
      </c>
      <c r="N552" s="33" t="str">
        <f t="shared" si="14"/>
        <v>59.8</v>
      </c>
      <c r="O552" s="25" t="s">
        <v>851</v>
      </c>
      <c r="P552" s="27" t="s">
        <v>852</v>
      </c>
      <c r="Q552" s="32" t="s">
        <v>18</v>
      </c>
      <c r="R552" s="36" t="s">
        <v>73</v>
      </c>
    </row>
    <row r="553" spans="1:18" ht="27.6" customHeight="1">
      <c r="A553" s="25" t="s">
        <v>839</v>
      </c>
      <c r="B553" s="26">
        <v>24</v>
      </c>
      <c r="C553" s="27" t="s">
        <v>840</v>
      </c>
      <c r="D553" s="32" t="s">
        <v>841</v>
      </c>
      <c r="E553" s="29">
        <v>10</v>
      </c>
      <c r="F553" s="40" t="s">
        <v>1227</v>
      </c>
      <c r="G553" s="142" t="s">
        <v>1228</v>
      </c>
      <c r="H553" s="215" t="str">
        <f t="shared" si="9"/>
        <v>32</v>
      </c>
      <c r="I553" s="216" t="str">
        <f t="shared" si="10"/>
        <v>08</v>
      </c>
      <c r="J553" s="223" t="str">
        <f t="shared" si="11"/>
        <v>59.7</v>
      </c>
      <c r="K553" s="34" t="s">
        <v>1229</v>
      </c>
      <c r="L553" s="215" t="str">
        <f t="shared" si="12"/>
        <v>129</v>
      </c>
      <c r="M553" s="35" t="str">
        <f t="shared" si="13"/>
        <v>58</v>
      </c>
      <c r="N553" s="33" t="str">
        <f t="shared" si="14"/>
        <v>30.4</v>
      </c>
      <c r="O553" s="25" t="s">
        <v>842</v>
      </c>
      <c r="P553" s="27" t="s">
        <v>852</v>
      </c>
      <c r="Q553" s="32" t="s">
        <v>18</v>
      </c>
      <c r="R553" s="36" t="s">
        <v>15</v>
      </c>
    </row>
    <row r="554" spans="1:18" ht="27.6" customHeight="1">
      <c r="A554" s="25" t="s">
        <v>839</v>
      </c>
      <c r="B554" s="26">
        <v>24</v>
      </c>
      <c r="C554" s="27" t="s">
        <v>840</v>
      </c>
      <c r="D554" s="32" t="s">
        <v>841</v>
      </c>
      <c r="E554" s="29">
        <v>11</v>
      </c>
      <c r="F554" s="40" t="s">
        <v>1230</v>
      </c>
      <c r="G554" s="142" t="s">
        <v>1231</v>
      </c>
      <c r="H554" s="215" t="str">
        <f t="shared" si="9"/>
        <v>32</v>
      </c>
      <c r="I554" s="216" t="str">
        <f t="shared" si="10"/>
        <v>10</v>
      </c>
      <c r="J554" s="223" t="str">
        <f t="shared" si="11"/>
        <v>50.2</v>
      </c>
      <c r="K554" s="34" t="s">
        <v>1232</v>
      </c>
      <c r="L554" s="215" t="str">
        <f t="shared" si="12"/>
        <v>130</v>
      </c>
      <c r="M554" s="35" t="str">
        <f t="shared" si="13"/>
        <v>01</v>
      </c>
      <c r="N554" s="33" t="str">
        <f t="shared" si="14"/>
        <v>15.1</v>
      </c>
      <c r="O554" s="25" t="s">
        <v>848</v>
      </c>
      <c r="P554" s="27" t="s">
        <v>852</v>
      </c>
      <c r="Q554" s="32" t="s">
        <v>18</v>
      </c>
      <c r="R554" s="36" t="s">
        <v>112</v>
      </c>
    </row>
    <row r="555" spans="1:18" ht="27.6" customHeight="1">
      <c r="A555" s="25" t="s">
        <v>839</v>
      </c>
      <c r="B555" s="26">
        <v>24</v>
      </c>
      <c r="C555" s="27" t="s">
        <v>840</v>
      </c>
      <c r="D555" s="32" t="s">
        <v>841</v>
      </c>
      <c r="E555" s="29">
        <v>12</v>
      </c>
      <c r="F555" s="40" t="s">
        <v>1233</v>
      </c>
      <c r="G555" s="142" t="s">
        <v>1234</v>
      </c>
      <c r="H555" s="215" t="str">
        <f t="shared" si="9"/>
        <v>32</v>
      </c>
      <c r="I555" s="216" t="str">
        <f t="shared" si="10"/>
        <v>09</v>
      </c>
      <c r="J555" s="223" t="str">
        <f t="shared" si="11"/>
        <v>57.0</v>
      </c>
      <c r="K555" s="34" t="s">
        <v>1235</v>
      </c>
      <c r="L555" s="215" t="str">
        <f t="shared" si="12"/>
        <v>130</v>
      </c>
      <c r="M555" s="35" t="str">
        <f t="shared" si="13"/>
        <v>00</v>
      </c>
      <c r="N555" s="33" t="str">
        <f t="shared" si="14"/>
        <v>28.0</v>
      </c>
      <c r="O555" s="25" t="s">
        <v>842</v>
      </c>
      <c r="P555" s="27" t="s">
        <v>847</v>
      </c>
      <c r="Q555" s="32" t="s">
        <v>18</v>
      </c>
      <c r="R555" s="36" t="s">
        <v>79</v>
      </c>
    </row>
    <row r="556" spans="1:18" ht="27.6" customHeight="1">
      <c r="A556" s="25" t="s">
        <v>839</v>
      </c>
      <c r="B556" s="26">
        <v>24</v>
      </c>
      <c r="C556" s="27" t="s">
        <v>840</v>
      </c>
      <c r="D556" s="32" t="s">
        <v>841</v>
      </c>
      <c r="E556" s="29">
        <v>13</v>
      </c>
      <c r="F556" s="40" t="s">
        <v>1236</v>
      </c>
      <c r="G556" s="142" t="s">
        <v>1237</v>
      </c>
      <c r="H556" s="215" t="str">
        <f t="shared" si="9"/>
        <v>32</v>
      </c>
      <c r="I556" s="216" t="str">
        <f t="shared" si="10"/>
        <v>09</v>
      </c>
      <c r="J556" s="223" t="str">
        <f t="shared" si="11"/>
        <v>19.7</v>
      </c>
      <c r="K556" s="34" t="s">
        <v>1238</v>
      </c>
      <c r="L556" s="215" t="str">
        <f t="shared" si="12"/>
        <v>130</v>
      </c>
      <c r="M556" s="35" t="str">
        <f t="shared" si="13"/>
        <v>02</v>
      </c>
      <c r="N556" s="33" t="str">
        <f t="shared" si="14"/>
        <v>34.7</v>
      </c>
      <c r="O556" s="25" t="s">
        <v>848</v>
      </c>
      <c r="P556" s="27" t="s">
        <v>853</v>
      </c>
      <c r="Q556" s="32" t="s">
        <v>18</v>
      </c>
      <c r="R556" s="36" t="s">
        <v>854</v>
      </c>
    </row>
    <row r="557" spans="1:18" ht="27.6" customHeight="1">
      <c r="A557" s="25" t="s">
        <v>839</v>
      </c>
      <c r="B557" s="26">
        <v>24</v>
      </c>
      <c r="C557" s="27" t="s">
        <v>840</v>
      </c>
      <c r="D557" s="32" t="s">
        <v>841</v>
      </c>
      <c r="E557" s="29">
        <v>14</v>
      </c>
      <c r="F557" s="40" t="s">
        <v>1239</v>
      </c>
      <c r="G557" s="142" t="s">
        <v>1240</v>
      </c>
      <c r="H557" s="215" t="str">
        <f t="shared" si="9"/>
        <v>32</v>
      </c>
      <c r="I557" s="216" t="str">
        <f t="shared" si="10"/>
        <v>09</v>
      </c>
      <c r="J557" s="223" t="str">
        <f t="shared" si="11"/>
        <v>42.0</v>
      </c>
      <c r="K557" s="34" t="s">
        <v>1241</v>
      </c>
      <c r="L557" s="215" t="str">
        <f t="shared" si="12"/>
        <v>130</v>
      </c>
      <c r="M557" s="35" t="str">
        <f t="shared" si="13"/>
        <v>03</v>
      </c>
      <c r="N557" s="33" t="str">
        <f t="shared" si="14"/>
        <v>16.6</v>
      </c>
      <c r="O557" s="25" t="s">
        <v>844</v>
      </c>
      <c r="P557" s="27" t="s">
        <v>847</v>
      </c>
      <c r="Q557" s="32" t="s">
        <v>18</v>
      </c>
      <c r="R557" s="36" t="s">
        <v>29</v>
      </c>
    </row>
    <row r="558" spans="1:18" ht="27.6" customHeight="1">
      <c r="A558" s="25" t="s">
        <v>839</v>
      </c>
      <c r="B558" s="26">
        <v>24</v>
      </c>
      <c r="C558" s="27" t="s">
        <v>840</v>
      </c>
      <c r="D558" s="32" t="s">
        <v>841</v>
      </c>
      <c r="E558" s="29">
        <v>15</v>
      </c>
      <c r="F558" s="40" t="s">
        <v>855</v>
      </c>
      <c r="G558" s="142" t="s">
        <v>1242</v>
      </c>
      <c r="H558" s="215" t="str">
        <f t="shared" si="9"/>
        <v>32</v>
      </c>
      <c r="I558" s="216" t="str">
        <f t="shared" si="10"/>
        <v>08</v>
      </c>
      <c r="J558" s="223" t="str">
        <f t="shared" si="11"/>
        <v>37.5</v>
      </c>
      <c r="K558" s="34" t="s">
        <v>1243</v>
      </c>
      <c r="L558" s="215" t="str">
        <f t="shared" si="12"/>
        <v>129</v>
      </c>
      <c r="M558" s="35" t="str">
        <f t="shared" si="13"/>
        <v>58</v>
      </c>
      <c r="N558" s="33" t="str">
        <f t="shared" si="14"/>
        <v>19.0</v>
      </c>
      <c r="O558" s="25" t="s">
        <v>844</v>
      </c>
      <c r="P558" s="27" t="s">
        <v>847</v>
      </c>
      <c r="Q558" s="32" t="s">
        <v>18</v>
      </c>
      <c r="R558" s="36" t="s">
        <v>73</v>
      </c>
    </row>
    <row r="559" spans="1:18" ht="27.6" customHeight="1" thickBot="1">
      <c r="A559" s="71" t="s">
        <v>839</v>
      </c>
      <c r="B559" s="72">
        <v>24</v>
      </c>
      <c r="C559" s="73" t="s">
        <v>840</v>
      </c>
      <c r="D559" s="74" t="s">
        <v>841</v>
      </c>
      <c r="E559" s="75">
        <v>16</v>
      </c>
      <c r="F559" s="76" t="s">
        <v>856</v>
      </c>
      <c r="G559" s="282"/>
      <c r="H559" s="827" t="s">
        <v>857</v>
      </c>
      <c r="I559" s="828"/>
      <c r="J559" s="828"/>
      <c r="K559" s="828"/>
      <c r="L559" s="828"/>
      <c r="M559" s="828"/>
      <c r="N559" s="828"/>
      <c r="O559" s="828"/>
      <c r="P559" s="828"/>
      <c r="Q559" s="828"/>
      <c r="R559" s="829"/>
    </row>
    <row r="560" spans="1:18" ht="26.25" customHeight="1" thickTop="1">
      <c r="A560" s="25" t="s">
        <v>1817</v>
      </c>
      <c r="B560" s="26">
        <v>25</v>
      </c>
      <c r="C560" s="27" t="s">
        <v>1817</v>
      </c>
      <c r="D560" s="32" t="s">
        <v>154</v>
      </c>
      <c r="E560" s="29">
        <v>1</v>
      </c>
      <c r="F560" s="40" t="s">
        <v>1819</v>
      </c>
      <c r="G560" s="142" t="s">
        <v>1240</v>
      </c>
      <c r="H560" s="31">
        <v>24</v>
      </c>
      <c r="I560" s="32">
        <v>37</v>
      </c>
      <c r="J560" s="33">
        <v>47.79</v>
      </c>
      <c r="K560" s="34" t="s">
        <v>1241</v>
      </c>
      <c r="L560" s="31">
        <v>124</v>
      </c>
      <c r="M560" s="35">
        <v>42</v>
      </c>
      <c r="N560" s="33">
        <v>32.74</v>
      </c>
      <c r="O560" s="25" t="s">
        <v>1828</v>
      </c>
      <c r="P560" s="27" t="s">
        <v>1830</v>
      </c>
      <c r="Q560" s="32" t="s">
        <v>18</v>
      </c>
      <c r="R560" s="33" t="s">
        <v>1400</v>
      </c>
    </row>
    <row r="561" spans="1:18" ht="26.25" customHeight="1">
      <c r="A561" s="25" t="s">
        <v>1817</v>
      </c>
      <c r="B561" s="26">
        <v>25</v>
      </c>
      <c r="C561" s="27" t="s">
        <v>1818</v>
      </c>
      <c r="D561" s="32" t="s">
        <v>154</v>
      </c>
      <c r="E561" s="29">
        <v>2</v>
      </c>
      <c r="F561" s="40" t="s">
        <v>1820</v>
      </c>
      <c r="G561" s="142" t="s">
        <v>1805</v>
      </c>
      <c r="H561" s="31">
        <v>24</v>
      </c>
      <c r="I561" s="32">
        <v>38</v>
      </c>
      <c r="J561" s="33">
        <v>18</v>
      </c>
      <c r="K561" s="34" t="s">
        <v>1806</v>
      </c>
      <c r="L561" s="31">
        <v>124</v>
      </c>
      <c r="M561" s="35">
        <v>43</v>
      </c>
      <c r="N561" s="33">
        <v>4</v>
      </c>
      <c r="O561" s="25" t="s">
        <v>1829</v>
      </c>
      <c r="P561" s="27" t="s">
        <v>1830</v>
      </c>
      <c r="Q561" s="32" t="s">
        <v>864</v>
      </c>
      <c r="R561" s="33" t="s">
        <v>15</v>
      </c>
    </row>
    <row r="562" spans="1:18" ht="26.25" customHeight="1">
      <c r="A562" s="25" t="s">
        <v>1817</v>
      </c>
      <c r="B562" s="26">
        <v>25</v>
      </c>
      <c r="C562" s="27" t="s">
        <v>1818</v>
      </c>
      <c r="D562" s="32" t="s">
        <v>154</v>
      </c>
      <c r="E562" s="29">
        <v>3</v>
      </c>
      <c r="F562" s="40" t="s">
        <v>1821</v>
      </c>
      <c r="G562" s="142" t="s">
        <v>1240</v>
      </c>
      <c r="H562" s="31">
        <v>24</v>
      </c>
      <c r="I562" s="32">
        <v>37</v>
      </c>
      <c r="J562" s="33">
        <v>51.19</v>
      </c>
      <c r="K562" s="34" t="s">
        <v>1241</v>
      </c>
      <c r="L562" s="31">
        <v>124</v>
      </c>
      <c r="M562" s="35">
        <v>41</v>
      </c>
      <c r="N562" s="33">
        <v>27.08</v>
      </c>
      <c r="O562" s="25" t="s">
        <v>1828</v>
      </c>
      <c r="P562" s="27" t="s">
        <v>1830</v>
      </c>
      <c r="Q562" s="32" t="s">
        <v>18</v>
      </c>
      <c r="R562" s="33" t="s">
        <v>15</v>
      </c>
    </row>
    <row r="563" spans="1:18" ht="26.25" customHeight="1">
      <c r="A563" s="25" t="s">
        <v>1817</v>
      </c>
      <c r="B563" s="26">
        <v>25</v>
      </c>
      <c r="C563" s="27" t="s">
        <v>1818</v>
      </c>
      <c r="D563" s="32" t="s">
        <v>154</v>
      </c>
      <c r="E563" s="29">
        <v>4</v>
      </c>
      <c r="F563" s="40" t="s">
        <v>1822</v>
      </c>
      <c r="G563" s="142" t="s">
        <v>1805</v>
      </c>
      <c r="H563" s="31">
        <v>24</v>
      </c>
      <c r="I563" s="32">
        <v>38</v>
      </c>
      <c r="J563" s="33">
        <v>12.42</v>
      </c>
      <c r="K563" s="34" t="s">
        <v>1806</v>
      </c>
      <c r="L563" s="31">
        <v>124</v>
      </c>
      <c r="M563" s="35">
        <v>40</v>
      </c>
      <c r="N563" s="33">
        <v>30.14</v>
      </c>
      <c r="O563" s="25" t="s">
        <v>1828</v>
      </c>
      <c r="P563" s="27" t="s">
        <v>1830</v>
      </c>
      <c r="Q563" s="32" t="s">
        <v>18</v>
      </c>
      <c r="R563" s="33" t="s">
        <v>15</v>
      </c>
    </row>
    <row r="564" spans="1:18" ht="26.25" customHeight="1">
      <c r="A564" s="25" t="s">
        <v>1817</v>
      </c>
      <c r="B564" s="26">
        <v>25</v>
      </c>
      <c r="C564" s="27" t="s">
        <v>1818</v>
      </c>
      <c r="D564" s="32" t="s">
        <v>154</v>
      </c>
      <c r="E564" s="29">
        <v>5</v>
      </c>
      <c r="F564" s="40" t="s">
        <v>1823</v>
      </c>
      <c r="G564" s="142" t="s">
        <v>1807</v>
      </c>
      <c r="H564" s="31">
        <v>24</v>
      </c>
      <c r="I564" s="32">
        <v>38</v>
      </c>
      <c r="J564" s="33">
        <v>13.28</v>
      </c>
      <c r="K564" s="34" t="s">
        <v>1808</v>
      </c>
      <c r="L564" s="31">
        <v>124</v>
      </c>
      <c r="M564" s="35">
        <v>40</v>
      </c>
      <c r="N564" s="33">
        <v>58.09</v>
      </c>
      <c r="O564" s="25" t="s">
        <v>1829</v>
      </c>
      <c r="P564" s="27" t="s">
        <v>1830</v>
      </c>
      <c r="Q564" s="32" t="s">
        <v>18</v>
      </c>
      <c r="R564" s="33" t="s">
        <v>15</v>
      </c>
    </row>
    <row r="565" spans="1:18" ht="26.25" customHeight="1">
      <c r="A565" s="25" t="s">
        <v>1817</v>
      </c>
      <c r="B565" s="26">
        <v>25</v>
      </c>
      <c r="C565" s="27" t="s">
        <v>1818</v>
      </c>
      <c r="D565" s="32" t="s">
        <v>154</v>
      </c>
      <c r="E565" s="29">
        <v>6</v>
      </c>
      <c r="F565" s="40" t="s">
        <v>1824</v>
      </c>
      <c r="G565" s="142" t="s">
        <v>1809</v>
      </c>
      <c r="H565" s="31">
        <v>24</v>
      </c>
      <c r="I565" s="32">
        <v>38</v>
      </c>
      <c r="J565" s="33">
        <v>49.37</v>
      </c>
      <c r="K565" s="34" t="s">
        <v>1810</v>
      </c>
      <c r="L565" s="31">
        <v>124</v>
      </c>
      <c r="M565" s="35">
        <v>40</v>
      </c>
      <c r="N565" s="33">
        <v>14.09</v>
      </c>
      <c r="O565" s="25" t="s">
        <v>1828</v>
      </c>
      <c r="P565" s="27" t="s">
        <v>1830</v>
      </c>
      <c r="Q565" s="32" t="s">
        <v>18</v>
      </c>
      <c r="R565" s="33" t="s">
        <v>15</v>
      </c>
    </row>
    <row r="566" spans="1:18" ht="26.25" customHeight="1">
      <c r="A566" s="25" t="s">
        <v>1817</v>
      </c>
      <c r="B566" s="26">
        <v>25</v>
      </c>
      <c r="C566" s="27" t="s">
        <v>1818</v>
      </c>
      <c r="D566" s="32" t="s">
        <v>154</v>
      </c>
      <c r="E566" s="29">
        <v>7</v>
      </c>
      <c r="F566" s="40" t="s">
        <v>1825</v>
      </c>
      <c r="G566" s="142" t="s">
        <v>1811</v>
      </c>
      <c r="H566" s="31">
        <v>24</v>
      </c>
      <c r="I566" s="32">
        <v>39</v>
      </c>
      <c r="J566" s="33">
        <v>30.33</v>
      </c>
      <c r="K566" s="34" t="s">
        <v>1812</v>
      </c>
      <c r="L566" s="31">
        <v>124</v>
      </c>
      <c r="M566" s="35">
        <v>40</v>
      </c>
      <c r="N566" s="33">
        <v>3.36</v>
      </c>
      <c r="O566" s="25" t="s">
        <v>1828</v>
      </c>
      <c r="P566" s="27" t="s">
        <v>1830</v>
      </c>
      <c r="Q566" s="32" t="s">
        <v>18</v>
      </c>
      <c r="R566" s="33" t="s">
        <v>15</v>
      </c>
    </row>
    <row r="567" spans="1:18" ht="26.25" customHeight="1">
      <c r="A567" s="25" t="s">
        <v>1817</v>
      </c>
      <c r="B567" s="26">
        <v>25</v>
      </c>
      <c r="C567" s="27" t="s">
        <v>1818</v>
      </c>
      <c r="D567" s="32" t="s">
        <v>154</v>
      </c>
      <c r="E567" s="29">
        <v>8</v>
      </c>
      <c r="F567" s="40" t="s">
        <v>1826</v>
      </c>
      <c r="G567" s="142" t="s">
        <v>1813</v>
      </c>
      <c r="H567" s="31">
        <v>24</v>
      </c>
      <c r="I567" s="32">
        <v>40</v>
      </c>
      <c r="J567" s="33">
        <v>21.09</v>
      </c>
      <c r="K567" s="34" t="s">
        <v>1814</v>
      </c>
      <c r="L567" s="31">
        <v>124</v>
      </c>
      <c r="M567" s="35">
        <v>40</v>
      </c>
      <c r="N567" s="33">
        <v>31.3</v>
      </c>
      <c r="O567" s="25" t="s">
        <v>1828</v>
      </c>
      <c r="P567" s="27" t="s">
        <v>1830</v>
      </c>
      <c r="Q567" s="32" t="s">
        <v>18</v>
      </c>
      <c r="R567" s="33" t="s">
        <v>15</v>
      </c>
    </row>
    <row r="568" spans="1:18" ht="26.25" customHeight="1" thickBot="1">
      <c r="A568" s="71" t="s">
        <v>1817</v>
      </c>
      <c r="B568" s="72">
        <v>25</v>
      </c>
      <c r="C568" s="73" t="s">
        <v>1817</v>
      </c>
      <c r="D568" s="74" t="s">
        <v>154</v>
      </c>
      <c r="E568" s="75">
        <v>9</v>
      </c>
      <c r="F568" s="76" t="s">
        <v>1827</v>
      </c>
      <c r="G568" s="826" t="s">
        <v>1815</v>
      </c>
      <c r="H568" s="77">
        <v>24</v>
      </c>
      <c r="I568" s="74">
        <v>40</v>
      </c>
      <c r="J568" s="122">
        <v>43.86</v>
      </c>
      <c r="K568" s="178" t="s">
        <v>1816</v>
      </c>
      <c r="L568" s="77">
        <v>124</v>
      </c>
      <c r="M568" s="123">
        <v>41</v>
      </c>
      <c r="N568" s="122">
        <v>2.46</v>
      </c>
      <c r="O568" s="71" t="s">
        <v>1828</v>
      </c>
      <c r="P568" s="73" t="s">
        <v>1830</v>
      </c>
      <c r="Q568" s="74" t="s">
        <v>864</v>
      </c>
      <c r="R568" s="122" t="s">
        <v>15</v>
      </c>
    </row>
    <row r="569" spans="1:18" ht="26.25" customHeight="1" thickTop="1">
      <c r="A569" s="83" t="s">
        <v>676</v>
      </c>
      <c r="B569" s="84">
        <v>26</v>
      </c>
      <c r="C569" s="85" t="s">
        <v>1897</v>
      </c>
      <c r="D569" s="90" t="s">
        <v>2105</v>
      </c>
      <c r="E569" s="87">
        <v>1</v>
      </c>
      <c r="F569" s="161" t="s">
        <v>1860</v>
      </c>
      <c r="G569" s="279" t="s">
        <v>2085</v>
      </c>
      <c r="H569" s="89">
        <v>33</v>
      </c>
      <c r="I569" s="90">
        <v>43</v>
      </c>
      <c r="J569" s="91">
        <v>32</v>
      </c>
      <c r="K569" s="253" t="s">
        <v>2086</v>
      </c>
      <c r="L569" s="89">
        <v>135</v>
      </c>
      <c r="M569" s="92">
        <v>21</v>
      </c>
      <c r="N569" s="91">
        <v>4</v>
      </c>
      <c r="O569" s="83" t="s">
        <v>2100</v>
      </c>
      <c r="P569" s="85" t="s">
        <v>2099</v>
      </c>
      <c r="Q569" s="90" t="s">
        <v>667</v>
      </c>
      <c r="R569" s="91" t="s">
        <v>96</v>
      </c>
    </row>
    <row r="570" spans="1:18" ht="26.25" customHeight="1">
      <c r="A570" s="25" t="s">
        <v>676</v>
      </c>
      <c r="B570" s="26">
        <v>26</v>
      </c>
      <c r="C570" s="27" t="s">
        <v>1897</v>
      </c>
      <c r="D570" s="32" t="s">
        <v>2105</v>
      </c>
      <c r="E570" s="29">
        <v>2</v>
      </c>
      <c r="F570" s="40" t="s">
        <v>1861</v>
      </c>
      <c r="G570" s="142" t="s">
        <v>2087</v>
      </c>
      <c r="H570" s="31">
        <v>33</v>
      </c>
      <c r="I570" s="32">
        <v>43</v>
      </c>
      <c r="J570" s="33">
        <v>13</v>
      </c>
      <c r="K570" s="34" t="s">
        <v>2088</v>
      </c>
      <c r="L570" s="31">
        <v>135</v>
      </c>
      <c r="M570" s="35">
        <v>19</v>
      </c>
      <c r="N570" s="33">
        <v>29</v>
      </c>
      <c r="O570" s="25" t="s">
        <v>2101</v>
      </c>
      <c r="P570" s="27" t="s">
        <v>176</v>
      </c>
      <c r="Q570" s="32" t="s">
        <v>2102</v>
      </c>
      <c r="R570" s="33" t="s">
        <v>107</v>
      </c>
    </row>
    <row r="571" spans="1:18" ht="26.25" customHeight="1">
      <c r="A571" s="25" t="s">
        <v>676</v>
      </c>
      <c r="B571" s="26">
        <v>26</v>
      </c>
      <c r="C571" s="27" t="s">
        <v>1897</v>
      </c>
      <c r="D571" s="32" t="s">
        <v>2105</v>
      </c>
      <c r="E571" s="29">
        <v>3</v>
      </c>
      <c r="F571" s="40" t="s">
        <v>1862</v>
      </c>
      <c r="G571" s="142" t="s">
        <v>2089</v>
      </c>
      <c r="H571" s="31">
        <v>33</v>
      </c>
      <c r="I571" s="32">
        <v>43</v>
      </c>
      <c r="J571" s="33">
        <v>16</v>
      </c>
      <c r="K571" s="34" t="s">
        <v>2090</v>
      </c>
      <c r="L571" s="31">
        <v>135</v>
      </c>
      <c r="M571" s="35">
        <v>19</v>
      </c>
      <c r="N571" s="33">
        <v>32</v>
      </c>
      <c r="O571" s="25" t="s">
        <v>2101</v>
      </c>
      <c r="P571" s="27" t="s">
        <v>176</v>
      </c>
      <c r="Q571" s="32" t="s">
        <v>2102</v>
      </c>
      <c r="R571" s="33" t="s">
        <v>62</v>
      </c>
    </row>
    <row r="572" spans="1:18" ht="26.25" customHeight="1">
      <c r="A572" s="25" t="s">
        <v>676</v>
      </c>
      <c r="B572" s="26">
        <v>26</v>
      </c>
      <c r="C572" s="27" t="s">
        <v>1897</v>
      </c>
      <c r="D572" s="32" t="s">
        <v>2105</v>
      </c>
      <c r="E572" s="29">
        <v>4</v>
      </c>
      <c r="F572" s="40" t="s">
        <v>1863</v>
      </c>
      <c r="G572" s="142" t="s">
        <v>2091</v>
      </c>
      <c r="H572" s="31">
        <v>33</v>
      </c>
      <c r="I572" s="32">
        <v>43</v>
      </c>
      <c r="J572" s="33">
        <v>7</v>
      </c>
      <c r="K572" s="34" t="s">
        <v>2092</v>
      </c>
      <c r="L572" s="31">
        <v>135</v>
      </c>
      <c r="M572" s="35">
        <v>19</v>
      </c>
      <c r="N572" s="33">
        <v>27</v>
      </c>
      <c r="O572" s="25" t="s">
        <v>2101</v>
      </c>
      <c r="P572" s="27" t="s">
        <v>1848</v>
      </c>
      <c r="Q572" s="32" t="s">
        <v>2102</v>
      </c>
      <c r="R572" s="33" t="s">
        <v>73</v>
      </c>
    </row>
    <row r="573" spans="1:18" ht="26.25" customHeight="1">
      <c r="A573" s="25" t="s">
        <v>676</v>
      </c>
      <c r="B573" s="26">
        <v>26</v>
      </c>
      <c r="C573" s="27" t="s">
        <v>1897</v>
      </c>
      <c r="D573" s="32" t="s">
        <v>2105</v>
      </c>
      <c r="E573" s="29">
        <v>5</v>
      </c>
      <c r="F573" s="40" t="s">
        <v>1864</v>
      </c>
      <c r="G573" s="142" t="s">
        <v>2093</v>
      </c>
      <c r="H573" s="31">
        <v>33</v>
      </c>
      <c r="I573" s="32">
        <v>41</v>
      </c>
      <c r="J573" s="33">
        <v>28</v>
      </c>
      <c r="K573" s="34" t="s">
        <v>2094</v>
      </c>
      <c r="L573" s="31">
        <v>135</v>
      </c>
      <c r="M573" s="35">
        <v>19</v>
      </c>
      <c r="N573" s="33">
        <v>33</v>
      </c>
      <c r="O573" s="25" t="s">
        <v>2101</v>
      </c>
      <c r="P573" s="27" t="s">
        <v>1848</v>
      </c>
      <c r="Q573" s="32" t="s">
        <v>2102</v>
      </c>
      <c r="R573" s="33" t="s">
        <v>96</v>
      </c>
    </row>
    <row r="574" spans="1:18" ht="26.25" customHeight="1">
      <c r="A574" s="25" t="s">
        <v>676</v>
      </c>
      <c r="B574" s="26">
        <v>26</v>
      </c>
      <c r="C574" s="27" t="s">
        <v>1897</v>
      </c>
      <c r="D574" s="32" t="s">
        <v>2105</v>
      </c>
      <c r="E574" s="29">
        <v>6</v>
      </c>
      <c r="F574" s="40" t="s">
        <v>1865</v>
      </c>
      <c r="G574" s="142" t="s">
        <v>2095</v>
      </c>
      <c r="H574" s="31">
        <v>33</v>
      </c>
      <c r="I574" s="32">
        <v>41</v>
      </c>
      <c r="J574" s="33">
        <v>0</v>
      </c>
      <c r="K574" s="34" t="s">
        <v>2096</v>
      </c>
      <c r="L574" s="31">
        <v>135</v>
      </c>
      <c r="M574" s="35">
        <v>20</v>
      </c>
      <c r="N574" s="33">
        <v>20</v>
      </c>
      <c r="O574" s="25" t="s">
        <v>1846</v>
      </c>
      <c r="P574" s="27" t="s">
        <v>1848</v>
      </c>
      <c r="Q574" s="32" t="s">
        <v>2103</v>
      </c>
      <c r="R574" s="33" t="s">
        <v>15</v>
      </c>
    </row>
    <row r="575" spans="1:18" ht="26.25" customHeight="1" thickBot="1">
      <c r="A575" s="71" t="s">
        <v>676</v>
      </c>
      <c r="B575" s="72">
        <v>26</v>
      </c>
      <c r="C575" s="73" t="s">
        <v>1897</v>
      </c>
      <c r="D575" s="74" t="s">
        <v>2105</v>
      </c>
      <c r="E575" s="75">
        <v>7</v>
      </c>
      <c r="F575" s="76" t="s">
        <v>1866</v>
      </c>
      <c r="G575" s="826" t="s">
        <v>2097</v>
      </c>
      <c r="H575" s="77">
        <v>33</v>
      </c>
      <c r="I575" s="74">
        <v>32</v>
      </c>
      <c r="J575" s="122">
        <v>51</v>
      </c>
      <c r="K575" s="178" t="s">
        <v>2098</v>
      </c>
      <c r="L575" s="77">
        <v>135</v>
      </c>
      <c r="M575" s="123">
        <v>29</v>
      </c>
      <c r="N575" s="122">
        <v>8</v>
      </c>
      <c r="O575" s="71" t="s">
        <v>1846</v>
      </c>
      <c r="P575" s="73" t="s">
        <v>690</v>
      </c>
      <c r="Q575" s="74" t="s">
        <v>2104</v>
      </c>
      <c r="R575" s="122" t="s">
        <v>151</v>
      </c>
    </row>
    <row r="576" spans="1:18" ht="15" customHeight="1" thickTop="1">
      <c r="A576" s="224"/>
      <c r="B576" s="225"/>
      <c r="C576" s="224"/>
      <c r="D576" s="226"/>
      <c r="E576" s="227"/>
      <c r="F576" s="228"/>
      <c r="G576" s="229"/>
      <c r="H576" s="226"/>
      <c r="I576" s="226"/>
      <c r="J576" s="226"/>
      <c r="K576" s="226"/>
      <c r="L576" s="226"/>
      <c r="M576" s="229"/>
      <c r="N576" s="229"/>
      <c r="O576" s="224"/>
      <c r="P576" s="224"/>
      <c r="Q576" s="227"/>
      <c r="R576" s="230"/>
    </row>
    <row r="577" spans="2:10" ht="15" customHeight="1">
      <c r="B577" s="232" t="s">
        <v>858</v>
      </c>
      <c r="C577" s="233" t="s">
        <v>859</v>
      </c>
      <c r="D577" s="233"/>
      <c r="H577" s="236" t="s">
        <v>1667</v>
      </c>
      <c r="I577" s="283"/>
      <c r="J577" s="233" t="s">
        <v>1668</v>
      </c>
    </row>
    <row r="578" spans="2:10" ht="15" customHeight="1">
      <c r="B578" s="232" t="s">
        <v>1901</v>
      </c>
      <c r="C578" s="233" t="s">
        <v>860</v>
      </c>
      <c r="D578" s="233"/>
    </row>
    <row r="579" spans="2:10">
      <c r="D579" s="233"/>
    </row>
    <row r="580" spans="2:10">
      <c r="D580" s="233"/>
    </row>
    <row r="581" spans="2:10">
      <c r="D581" s="233"/>
    </row>
    <row r="582" spans="2:10">
      <c r="D582" s="233"/>
    </row>
  </sheetData>
  <mergeCells count="1">
    <mergeCell ref="H559:R559"/>
  </mergeCells>
  <phoneticPr fontId="3"/>
  <pageMargins left="0.86614173228346458" right="0.31496062992125984" top="1.0236220472440944" bottom="0.86614173228346458" header="0.82677165354330717" footer="0.9055118110236221"/>
  <pageSetup paperSize="9" scale="58" orientation="portrait" useFirstPageNumber="1" r:id="rId1"/>
  <headerFooter alignWithMargins="0">
    <oddHeader>&amp;C&amp;"ＭＳ ゴシック,太字"資料１．令和4(2022)年度　モニタリングサイト1000（サンゴ礁）調査地点一覧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D3BB-623A-4EF3-8A0E-D88F96BFE583}">
  <dimension ref="A1:AG580"/>
  <sheetViews>
    <sheetView showGridLines="0" showRuler="0" view="pageBreakPreview" zoomScale="81" zoomScaleNormal="116" zoomScaleSheetLayoutView="81" zoomScalePageLayoutView="83" workbookViewId="0">
      <pane xSplit="4" ySplit="3" topLeftCell="E157" activePane="bottomRight" state="frozen"/>
      <selection pane="topRight" activeCell="E1" sqref="E1"/>
      <selection pane="bottomLeft" activeCell="A4" sqref="A4"/>
      <selection pane="bottomRight" activeCell="I166" sqref="I166"/>
    </sheetView>
  </sheetViews>
  <sheetFormatPr defaultColWidth="8.875" defaultRowHeight="11.25"/>
  <cols>
    <col min="1" max="1" width="13.625" style="306" customWidth="1"/>
    <col min="2" max="2" width="3.5" style="306" customWidth="1"/>
    <col min="3" max="3" width="18.125" style="330" customWidth="1"/>
    <col min="4" max="4" width="5.625" style="306" customWidth="1"/>
    <col min="5" max="5" width="19" style="306" customWidth="1"/>
    <col min="6" max="6" width="9.875" style="306" customWidth="1"/>
    <col min="7" max="7" width="8.875" style="306" customWidth="1"/>
    <col min="8" max="8" width="6.125" style="306" customWidth="1"/>
    <col min="9" max="9" width="4.625" style="306" customWidth="1"/>
    <col min="10" max="10" width="6.5" style="316" bestFit="1" customWidth="1"/>
    <col min="11" max="12" width="6.5" style="316" hidden="1" customWidth="1"/>
    <col min="13" max="13" width="10.875" style="306" customWidth="1"/>
    <col min="14" max="15" width="5.625" style="306" customWidth="1"/>
    <col min="16" max="16" width="5.625" style="317" customWidth="1"/>
    <col min="17" max="17" width="20.625" style="306" customWidth="1"/>
    <col min="18" max="19" width="5.625" style="306" customWidth="1"/>
    <col min="20" max="20" width="9.875" style="306" customWidth="1"/>
    <col min="21" max="21" width="6.875" style="306" customWidth="1"/>
    <col min="22" max="22" width="5.125" style="597" customWidth="1"/>
    <col min="23" max="23" width="4.875" style="306" customWidth="1"/>
    <col min="24" max="24" width="4.625" style="306" customWidth="1"/>
    <col min="25" max="25" width="6.125" style="306" customWidth="1"/>
    <col min="26" max="26" width="7.375" style="306" customWidth="1"/>
    <col min="27" max="27" width="7" style="306" customWidth="1"/>
    <col min="28" max="28" width="4.875" style="306" customWidth="1"/>
    <col min="29" max="31" width="5.625" style="306" customWidth="1"/>
    <col min="32" max="32" width="10.375" style="306" customWidth="1"/>
    <col min="33" max="16384" width="8.875" style="306"/>
  </cols>
  <sheetData>
    <row r="1" spans="1:32" ht="18" customHeight="1">
      <c r="A1" s="837" t="s">
        <v>0</v>
      </c>
      <c r="B1" s="837" t="s">
        <v>1673</v>
      </c>
      <c r="C1" s="857" t="s">
        <v>1674</v>
      </c>
      <c r="D1" s="852" t="s">
        <v>1675</v>
      </c>
      <c r="E1" s="848" t="s">
        <v>1676</v>
      </c>
      <c r="F1" s="859" t="s">
        <v>1677</v>
      </c>
      <c r="G1" s="850" t="s">
        <v>1678</v>
      </c>
      <c r="H1" s="852" t="s">
        <v>1679</v>
      </c>
      <c r="I1" s="854" t="s">
        <v>1680</v>
      </c>
      <c r="J1" s="847" t="s">
        <v>1681</v>
      </c>
      <c r="K1" s="847"/>
      <c r="L1" s="847"/>
      <c r="M1" s="841"/>
      <c r="N1" s="841"/>
      <c r="O1" s="841"/>
      <c r="P1" s="841"/>
      <c r="Q1" s="841"/>
      <c r="R1" s="841"/>
      <c r="S1" s="841"/>
      <c r="T1" s="841"/>
      <c r="U1" s="841" t="s">
        <v>1902</v>
      </c>
      <c r="V1" s="841"/>
      <c r="W1" s="841"/>
      <c r="X1" s="841"/>
      <c r="Y1" s="841" t="s">
        <v>1682</v>
      </c>
      <c r="Z1" s="841"/>
      <c r="AA1" s="841" t="s">
        <v>1683</v>
      </c>
      <c r="AB1" s="841"/>
      <c r="AC1" s="841" t="s">
        <v>1684</v>
      </c>
      <c r="AD1" s="841"/>
      <c r="AE1" s="841"/>
      <c r="AF1" s="842" t="s">
        <v>1685</v>
      </c>
    </row>
    <row r="2" spans="1:32" ht="34.5" customHeight="1">
      <c r="A2" s="837"/>
      <c r="B2" s="837"/>
      <c r="C2" s="857"/>
      <c r="D2" s="852"/>
      <c r="E2" s="848"/>
      <c r="F2" s="859"/>
      <c r="G2" s="850"/>
      <c r="H2" s="848"/>
      <c r="I2" s="854"/>
      <c r="J2" s="845" t="s">
        <v>1686</v>
      </c>
      <c r="K2" s="824" t="s">
        <v>2083</v>
      </c>
      <c r="L2" s="825"/>
      <c r="M2" s="847" t="s">
        <v>1687</v>
      </c>
      <c r="N2" s="841"/>
      <c r="O2" s="841"/>
      <c r="P2" s="841"/>
      <c r="Q2" s="848" t="s">
        <v>1688</v>
      </c>
      <c r="R2" s="850" t="s">
        <v>1689</v>
      </c>
      <c r="S2" s="761"/>
      <c r="T2" s="414" t="s">
        <v>1690</v>
      </c>
      <c r="U2" s="835" t="s">
        <v>1898</v>
      </c>
      <c r="V2" s="852" t="s">
        <v>1691</v>
      </c>
      <c r="W2" s="852" t="s">
        <v>1692</v>
      </c>
      <c r="X2" s="833" t="s">
        <v>1693</v>
      </c>
      <c r="Y2" s="835" t="s">
        <v>1694</v>
      </c>
      <c r="Z2" s="833" t="s">
        <v>1693</v>
      </c>
      <c r="AA2" s="831" t="s">
        <v>1695</v>
      </c>
      <c r="AB2" s="833" t="s">
        <v>1696</v>
      </c>
      <c r="AC2" s="835" t="s">
        <v>1697</v>
      </c>
      <c r="AD2" s="837" t="s">
        <v>1698</v>
      </c>
      <c r="AE2" s="839" t="s">
        <v>1699</v>
      </c>
      <c r="AF2" s="843"/>
    </row>
    <row r="3" spans="1:32" ht="34.5" customHeight="1">
      <c r="A3" s="856"/>
      <c r="B3" s="856"/>
      <c r="C3" s="858"/>
      <c r="D3" s="853"/>
      <c r="E3" s="849"/>
      <c r="F3" s="860"/>
      <c r="G3" s="851"/>
      <c r="H3" s="849"/>
      <c r="I3" s="855"/>
      <c r="J3" s="846"/>
      <c r="K3" s="760" t="s">
        <v>2080</v>
      </c>
      <c r="L3" s="822" t="s">
        <v>2081</v>
      </c>
      <c r="M3" s="398" t="s">
        <v>1700</v>
      </c>
      <c r="N3" s="387" t="s">
        <v>1701</v>
      </c>
      <c r="O3" s="387" t="s">
        <v>1702</v>
      </c>
      <c r="P3" s="388" t="s">
        <v>1703</v>
      </c>
      <c r="Q3" s="849"/>
      <c r="R3" s="851"/>
      <c r="S3" s="762"/>
      <c r="T3" s="415" t="s">
        <v>1704</v>
      </c>
      <c r="U3" s="836"/>
      <c r="V3" s="853"/>
      <c r="W3" s="853"/>
      <c r="X3" s="834"/>
      <c r="Y3" s="836"/>
      <c r="Z3" s="834"/>
      <c r="AA3" s="832"/>
      <c r="AB3" s="834"/>
      <c r="AC3" s="836"/>
      <c r="AD3" s="838"/>
      <c r="AE3" s="840"/>
      <c r="AF3" s="844"/>
    </row>
    <row r="4" spans="1:32" s="285" customFormat="1" ht="33.6" customHeight="1">
      <c r="A4" s="382" t="s">
        <v>2106</v>
      </c>
      <c r="B4" s="383">
        <v>1</v>
      </c>
      <c r="C4" s="382" t="s">
        <v>2107</v>
      </c>
      <c r="D4" s="180">
        <v>1</v>
      </c>
      <c r="E4" s="180" t="s">
        <v>2108</v>
      </c>
      <c r="F4" s="384">
        <v>44910</v>
      </c>
      <c r="G4" s="311" t="s">
        <v>2109</v>
      </c>
      <c r="H4" s="308" t="s">
        <v>1713</v>
      </c>
      <c r="I4" s="394">
        <v>15</v>
      </c>
      <c r="J4" s="389">
        <v>40</v>
      </c>
      <c r="K4" s="389">
        <v>50</v>
      </c>
      <c r="L4" s="389">
        <v>-10</v>
      </c>
      <c r="M4" s="386">
        <v>30</v>
      </c>
      <c r="N4" s="386">
        <v>20</v>
      </c>
      <c r="O4" s="386">
        <v>15</v>
      </c>
      <c r="P4" s="386">
        <v>15</v>
      </c>
      <c r="Q4" s="180" t="s">
        <v>1706</v>
      </c>
      <c r="R4" s="385">
        <v>4</v>
      </c>
      <c r="S4" s="763"/>
      <c r="T4" s="434">
        <v>50</v>
      </c>
      <c r="U4" s="399">
        <v>0</v>
      </c>
      <c r="V4" s="138" t="s">
        <v>749</v>
      </c>
      <c r="W4" s="141" t="s">
        <v>749</v>
      </c>
      <c r="X4" s="425">
        <v>0</v>
      </c>
      <c r="Y4" s="408">
        <v>1</v>
      </c>
      <c r="Z4" s="434"/>
      <c r="AA4" s="588"/>
      <c r="AB4" s="464"/>
      <c r="AC4" s="524">
        <v>0</v>
      </c>
      <c r="AD4" s="524">
        <v>0</v>
      </c>
      <c r="AE4" s="464">
        <v>2</v>
      </c>
      <c r="AF4" s="585"/>
    </row>
    <row r="5" spans="1:32" s="285" customFormat="1" ht="33.6" customHeight="1">
      <c r="A5" s="331" t="s">
        <v>2106</v>
      </c>
      <c r="B5" s="332">
        <v>1</v>
      </c>
      <c r="C5" s="331" t="s">
        <v>2107</v>
      </c>
      <c r="D5" s="183">
        <v>2</v>
      </c>
      <c r="E5" s="183" t="s">
        <v>2110</v>
      </c>
      <c r="F5" s="333">
        <v>44869</v>
      </c>
      <c r="G5" s="314" t="s">
        <v>2109</v>
      </c>
      <c r="H5" s="109" t="s">
        <v>1713</v>
      </c>
      <c r="I5" s="395">
        <v>15</v>
      </c>
      <c r="J5" s="390">
        <v>30</v>
      </c>
      <c r="K5" s="390">
        <v>20</v>
      </c>
      <c r="L5" s="389">
        <v>10</v>
      </c>
      <c r="M5" s="335">
        <v>30</v>
      </c>
      <c r="N5" s="335">
        <v>10</v>
      </c>
      <c r="O5" s="335">
        <v>10</v>
      </c>
      <c r="P5" s="335">
        <v>5</v>
      </c>
      <c r="Q5" s="183" t="s">
        <v>1707</v>
      </c>
      <c r="R5" s="334">
        <v>0</v>
      </c>
      <c r="S5" s="764"/>
      <c r="T5" s="435">
        <v>30</v>
      </c>
      <c r="U5" s="400">
        <v>0</v>
      </c>
      <c r="V5" s="129" t="s">
        <v>749</v>
      </c>
      <c r="W5" s="132" t="s">
        <v>749</v>
      </c>
      <c r="X5" s="426">
        <v>0</v>
      </c>
      <c r="Y5" s="409">
        <v>1</v>
      </c>
      <c r="Z5" s="435"/>
      <c r="AA5" s="407"/>
      <c r="AB5" s="431"/>
      <c r="AC5" s="524">
        <v>0</v>
      </c>
      <c r="AD5" s="524">
        <v>0</v>
      </c>
      <c r="AE5" s="431">
        <v>4</v>
      </c>
      <c r="AF5" s="586"/>
    </row>
    <row r="6" spans="1:32" s="285" customFormat="1" ht="33.6" customHeight="1">
      <c r="A6" s="331" t="s">
        <v>2106</v>
      </c>
      <c r="B6" s="332">
        <v>1</v>
      </c>
      <c r="C6" s="331" t="s">
        <v>2107</v>
      </c>
      <c r="D6" s="183">
        <v>3</v>
      </c>
      <c r="E6" s="183" t="s">
        <v>2111</v>
      </c>
      <c r="F6" s="333">
        <v>44910</v>
      </c>
      <c r="G6" s="314" t="s">
        <v>2109</v>
      </c>
      <c r="H6" s="109" t="s">
        <v>1713</v>
      </c>
      <c r="I6" s="395">
        <v>15</v>
      </c>
      <c r="J6" s="390">
        <v>40</v>
      </c>
      <c r="K6" s="390">
        <v>40</v>
      </c>
      <c r="L6" s="389">
        <v>0</v>
      </c>
      <c r="M6" s="335">
        <v>5</v>
      </c>
      <c r="N6" s="335">
        <v>5</v>
      </c>
      <c r="O6" s="335">
        <v>5</v>
      </c>
      <c r="P6" s="335">
        <v>5</v>
      </c>
      <c r="Q6" s="183" t="s">
        <v>2112</v>
      </c>
      <c r="R6" s="334">
        <v>2</v>
      </c>
      <c r="S6" s="764"/>
      <c r="T6" s="435">
        <v>80</v>
      </c>
      <c r="U6" s="400">
        <v>0</v>
      </c>
      <c r="V6" s="129" t="s">
        <v>749</v>
      </c>
      <c r="W6" s="132" t="s">
        <v>749</v>
      </c>
      <c r="X6" s="426">
        <v>0</v>
      </c>
      <c r="Y6" s="409">
        <v>2</v>
      </c>
      <c r="Z6" s="435"/>
      <c r="AA6" s="407"/>
      <c r="AB6" s="431"/>
      <c r="AC6" s="413"/>
      <c r="AD6" s="132"/>
      <c r="AE6" s="431"/>
      <c r="AF6" s="586"/>
    </row>
    <row r="7" spans="1:32" s="285" customFormat="1" ht="33.6" customHeight="1">
      <c r="A7" s="331" t="s">
        <v>2106</v>
      </c>
      <c r="B7" s="332">
        <v>1</v>
      </c>
      <c r="C7" s="331" t="s">
        <v>2107</v>
      </c>
      <c r="D7" s="183">
        <v>4</v>
      </c>
      <c r="E7" s="183" t="s">
        <v>2113</v>
      </c>
      <c r="F7" s="333">
        <v>44862</v>
      </c>
      <c r="G7" s="314" t="s">
        <v>2109</v>
      </c>
      <c r="H7" s="109" t="s">
        <v>1713</v>
      </c>
      <c r="I7" s="395">
        <v>15</v>
      </c>
      <c r="J7" s="390">
        <v>40</v>
      </c>
      <c r="K7" s="390">
        <v>30</v>
      </c>
      <c r="L7" s="389">
        <v>10</v>
      </c>
      <c r="M7" s="335">
        <v>10</v>
      </c>
      <c r="N7" s="335">
        <v>5</v>
      </c>
      <c r="O7" s="335">
        <v>5</v>
      </c>
      <c r="P7" s="335">
        <v>5</v>
      </c>
      <c r="Q7" s="183" t="s">
        <v>1707</v>
      </c>
      <c r="R7" s="334">
        <v>1</v>
      </c>
      <c r="S7" s="764"/>
      <c r="T7" s="435">
        <v>30</v>
      </c>
      <c r="U7" s="400">
        <v>0</v>
      </c>
      <c r="V7" s="129" t="s">
        <v>749</v>
      </c>
      <c r="W7" s="132" t="s">
        <v>749</v>
      </c>
      <c r="X7" s="426">
        <v>0</v>
      </c>
      <c r="Y7" s="409">
        <v>2</v>
      </c>
      <c r="Z7" s="435"/>
      <c r="AA7" s="407"/>
      <c r="AB7" s="431"/>
      <c r="AC7" s="413">
        <v>0</v>
      </c>
      <c r="AD7" s="132">
        <v>0</v>
      </c>
      <c r="AE7" s="431">
        <v>1</v>
      </c>
      <c r="AF7" s="586"/>
    </row>
    <row r="8" spans="1:32" s="285" customFormat="1" ht="33.6" customHeight="1">
      <c r="A8" s="331" t="s">
        <v>2106</v>
      </c>
      <c r="B8" s="332">
        <v>1</v>
      </c>
      <c r="C8" s="331" t="s">
        <v>2107</v>
      </c>
      <c r="D8" s="183">
        <v>5</v>
      </c>
      <c r="E8" s="183" t="s">
        <v>2114</v>
      </c>
      <c r="F8" s="333">
        <v>44898</v>
      </c>
      <c r="G8" s="314" t="s">
        <v>2109</v>
      </c>
      <c r="H8" s="109" t="s">
        <v>1713</v>
      </c>
      <c r="I8" s="395">
        <v>15</v>
      </c>
      <c r="J8" s="390">
        <v>40</v>
      </c>
      <c r="K8" s="390">
        <v>50</v>
      </c>
      <c r="L8" s="389">
        <v>-10</v>
      </c>
      <c r="M8" s="335">
        <v>10</v>
      </c>
      <c r="N8" s="335">
        <v>5</v>
      </c>
      <c r="O8" s="335">
        <v>5</v>
      </c>
      <c r="P8" s="335">
        <v>5</v>
      </c>
      <c r="Q8" s="183" t="s">
        <v>1831</v>
      </c>
      <c r="R8" s="334">
        <v>1</v>
      </c>
      <c r="S8" s="764"/>
      <c r="T8" s="621">
        <v>30</v>
      </c>
      <c r="U8" s="400">
        <v>0</v>
      </c>
      <c r="V8" s="129" t="s">
        <v>749</v>
      </c>
      <c r="W8" s="132" t="s">
        <v>749</v>
      </c>
      <c r="X8" s="426">
        <v>0</v>
      </c>
      <c r="Y8" s="409">
        <v>1</v>
      </c>
      <c r="Z8" s="435"/>
      <c r="AA8" s="407"/>
      <c r="AB8" s="431"/>
      <c r="AC8" s="413">
        <v>0</v>
      </c>
      <c r="AD8" s="132">
        <v>0</v>
      </c>
      <c r="AE8" s="431">
        <v>2</v>
      </c>
      <c r="AF8" s="586"/>
    </row>
    <row r="9" spans="1:32" s="285" customFormat="1" ht="33.6" customHeight="1">
      <c r="A9" s="331" t="s">
        <v>2106</v>
      </c>
      <c r="B9" s="332">
        <v>1</v>
      </c>
      <c r="C9" s="331" t="s">
        <v>2107</v>
      </c>
      <c r="D9" s="183">
        <v>6</v>
      </c>
      <c r="E9" s="183" t="s">
        <v>2115</v>
      </c>
      <c r="F9" s="333">
        <v>44862</v>
      </c>
      <c r="G9" s="314" t="s">
        <v>2109</v>
      </c>
      <c r="H9" s="109" t="s">
        <v>1713</v>
      </c>
      <c r="I9" s="395">
        <v>15</v>
      </c>
      <c r="J9" s="390">
        <v>60</v>
      </c>
      <c r="K9" s="390">
        <v>60</v>
      </c>
      <c r="L9" s="389">
        <v>0</v>
      </c>
      <c r="M9" s="335">
        <v>10</v>
      </c>
      <c r="N9" s="335">
        <v>10</v>
      </c>
      <c r="O9" s="335">
        <v>5</v>
      </c>
      <c r="P9" s="335">
        <v>5</v>
      </c>
      <c r="Q9" s="183" t="s">
        <v>1867</v>
      </c>
      <c r="R9" s="334">
        <v>1</v>
      </c>
      <c r="S9" s="764"/>
      <c r="T9" s="435">
        <v>40</v>
      </c>
      <c r="U9" s="400">
        <v>0</v>
      </c>
      <c r="V9" s="129" t="s">
        <v>749</v>
      </c>
      <c r="W9" s="132" t="s">
        <v>749</v>
      </c>
      <c r="X9" s="426">
        <v>0</v>
      </c>
      <c r="Y9" s="409">
        <v>1</v>
      </c>
      <c r="Z9" s="435"/>
      <c r="AA9" s="407"/>
      <c r="AB9" s="431"/>
      <c r="AC9" s="413"/>
      <c r="AD9" s="132"/>
      <c r="AE9" s="431"/>
      <c r="AF9" s="586"/>
    </row>
    <row r="10" spans="1:32" ht="33.6" customHeight="1">
      <c r="A10" s="331" t="s">
        <v>2106</v>
      </c>
      <c r="B10" s="332">
        <v>1</v>
      </c>
      <c r="C10" s="331" t="s">
        <v>2107</v>
      </c>
      <c r="D10" s="183">
        <v>7</v>
      </c>
      <c r="E10" s="183" t="s">
        <v>2116</v>
      </c>
      <c r="F10" s="333">
        <v>44905</v>
      </c>
      <c r="G10" s="314" t="s">
        <v>2109</v>
      </c>
      <c r="H10" s="109" t="s">
        <v>1713</v>
      </c>
      <c r="I10" s="395">
        <v>15</v>
      </c>
      <c r="J10" s="390">
        <v>30</v>
      </c>
      <c r="K10" s="390">
        <v>40</v>
      </c>
      <c r="L10" s="389">
        <v>-10</v>
      </c>
      <c r="M10" s="335">
        <v>10</v>
      </c>
      <c r="N10" s="335">
        <v>10</v>
      </c>
      <c r="O10" s="335">
        <v>5</v>
      </c>
      <c r="P10" s="335">
        <v>5</v>
      </c>
      <c r="Q10" s="183" t="s">
        <v>1707</v>
      </c>
      <c r="R10" s="334">
        <v>3</v>
      </c>
      <c r="S10" s="764"/>
      <c r="T10" s="435">
        <v>40</v>
      </c>
      <c r="U10" s="400">
        <v>0</v>
      </c>
      <c r="V10" s="129" t="s">
        <v>749</v>
      </c>
      <c r="W10" s="132" t="s">
        <v>749</v>
      </c>
      <c r="X10" s="426">
        <v>0</v>
      </c>
      <c r="Y10" s="409">
        <v>1</v>
      </c>
      <c r="Z10" s="435"/>
      <c r="AA10" s="407"/>
      <c r="AB10" s="431"/>
      <c r="AC10" s="413">
        <v>0</v>
      </c>
      <c r="AD10" s="132">
        <v>0</v>
      </c>
      <c r="AE10" s="431">
        <v>3</v>
      </c>
      <c r="AF10" s="586"/>
    </row>
    <row r="11" spans="1:32" ht="33.6" customHeight="1">
      <c r="A11" s="331" t="s">
        <v>2106</v>
      </c>
      <c r="B11" s="332">
        <v>1</v>
      </c>
      <c r="C11" s="331" t="s">
        <v>2107</v>
      </c>
      <c r="D11" s="183">
        <v>8</v>
      </c>
      <c r="E11" s="183" t="s">
        <v>1709</v>
      </c>
      <c r="F11" s="333">
        <v>44905</v>
      </c>
      <c r="G11" s="314" t="s">
        <v>2109</v>
      </c>
      <c r="H11" s="109" t="s">
        <v>1713</v>
      </c>
      <c r="I11" s="395">
        <v>15</v>
      </c>
      <c r="J11" s="390">
        <v>40</v>
      </c>
      <c r="K11" s="390">
        <v>50</v>
      </c>
      <c r="L11" s="389">
        <v>-10</v>
      </c>
      <c r="M11" s="335">
        <v>20</v>
      </c>
      <c r="N11" s="335">
        <v>30</v>
      </c>
      <c r="O11" s="335">
        <v>10</v>
      </c>
      <c r="P11" s="335">
        <v>20</v>
      </c>
      <c r="Q11" s="183" t="s">
        <v>2112</v>
      </c>
      <c r="R11" s="334">
        <v>3</v>
      </c>
      <c r="S11" s="764"/>
      <c r="T11" s="435">
        <v>40</v>
      </c>
      <c r="U11" s="400">
        <v>0</v>
      </c>
      <c r="V11" s="129" t="s">
        <v>749</v>
      </c>
      <c r="W11" s="132" t="s">
        <v>749</v>
      </c>
      <c r="X11" s="426">
        <v>0</v>
      </c>
      <c r="Y11" s="409">
        <v>2</v>
      </c>
      <c r="Z11" s="435"/>
      <c r="AA11" s="407"/>
      <c r="AB11" s="431"/>
      <c r="AC11" s="413">
        <v>0</v>
      </c>
      <c r="AD11" s="132">
        <v>0</v>
      </c>
      <c r="AE11" s="431">
        <v>1</v>
      </c>
      <c r="AF11" s="586"/>
    </row>
    <row r="12" spans="1:32" ht="33.6" customHeight="1">
      <c r="A12" s="331" t="s">
        <v>2106</v>
      </c>
      <c r="B12" s="332">
        <v>1</v>
      </c>
      <c r="C12" s="331" t="s">
        <v>2107</v>
      </c>
      <c r="D12" s="183">
        <v>9</v>
      </c>
      <c r="E12" s="183" t="s">
        <v>2117</v>
      </c>
      <c r="F12" s="333">
        <v>44905</v>
      </c>
      <c r="G12" s="314" t="s">
        <v>2109</v>
      </c>
      <c r="H12" s="109" t="s">
        <v>1713</v>
      </c>
      <c r="I12" s="395">
        <v>15</v>
      </c>
      <c r="J12" s="390">
        <v>20</v>
      </c>
      <c r="K12" s="390">
        <v>30</v>
      </c>
      <c r="L12" s="389">
        <v>-10</v>
      </c>
      <c r="M12" s="335">
        <v>5</v>
      </c>
      <c r="N12" s="335">
        <v>5</v>
      </c>
      <c r="O12" s="335">
        <v>5</v>
      </c>
      <c r="P12" s="335">
        <v>5</v>
      </c>
      <c r="Q12" s="183" t="s">
        <v>1707</v>
      </c>
      <c r="R12" s="334">
        <v>3</v>
      </c>
      <c r="S12" s="764"/>
      <c r="T12" s="435">
        <v>140</v>
      </c>
      <c r="U12" s="400">
        <v>0</v>
      </c>
      <c r="V12" s="129" t="s">
        <v>749</v>
      </c>
      <c r="W12" s="132" t="s">
        <v>749</v>
      </c>
      <c r="X12" s="426">
        <v>0</v>
      </c>
      <c r="Y12" s="409">
        <v>1</v>
      </c>
      <c r="Z12" s="435"/>
      <c r="AA12" s="407"/>
      <c r="AB12" s="431"/>
      <c r="AC12" s="413">
        <v>0</v>
      </c>
      <c r="AD12" s="132">
        <v>0</v>
      </c>
      <c r="AE12" s="431">
        <v>2</v>
      </c>
      <c r="AF12" s="586"/>
    </row>
    <row r="13" spans="1:32" s="285" customFormat="1" ht="33.6" customHeight="1">
      <c r="A13" s="331" t="s">
        <v>2106</v>
      </c>
      <c r="B13" s="332">
        <v>1</v>
      </c>
      <c r="C13" s="331" t="s">
        <v>2107</v>
      </c>
      <c r="D13" s="183">
        <v>10</v>
      </c>
      <c r="E13" s="183" t="s">
        <v>2118</v>
      </c>
      <c r="F13" s="333">
        <v>44897</v>
      </c>
      <c r="G13" s="314" t="s">
        <v>2109</v>
      </c>
      <c r="H13" s="109" t="s">
        <v>1713</v>
      </c>
      <c r="I13" s="395">
        <v>15</v>
      </c>
      <c r="J13" s="390">
        <v>50</v>
      </c>
      <c r="K13" s="390">
        <v>50</v>
      </c>
      <c r="L13" s="389">
        <v>0</v>
      </c>
      <c r="M13" s="335">
        <v>10</v>
      </c>
      <c r="N13" s="335">
        <v>10</v>
      </c>
      <c r="O13" s="335">
        <v>5</v>
      </c>
      <c r="P13" s="335">
        <v>5</v>
      </c>
      <c r="Q13" s="183" t="s">
        <v>2112</v>
      </c>
      <c r="R13" s="334">
        <v>1</v>
      </c>
      <c r="S13" s="764"/>
      <c r="T13" s="435">
        <v>80</v>
      </c>
      <c r="U13" s="401">
        <v>0</v>
      </c>
      <c r="V13" s="129" t="s">
        <v>749</v>
      </c>
      <c r="W13" s="132" t="s">
        <v>749</v>
      </c>
      <c r="X13" s="426">
        <v>0</v>
      </c>
      <c r="Y13" s="409">
        <v>1</v>
      </c>
      <c r="Z13" s="435"/>
      <c r="AA13" s="407"/>
      <c r="AB13" s="431"/>
      <c r="AC13" s="413">
        <v>0</v>
      </c>
      <c r="AD13" s="132">
        <v>0</v>
      </c>
      <c r="AE13" s="431">
        <v>2</v>
      </c>
      <c r="AF13" s="586"/>
    </row>
    <row r="14" spans="1:32" s="285" customFormat="1" ht="33.6" customHeight="1">
      <c r="A14" s="331" t="s">
        <v>2106</v>
      </c>
      <c r="B14" s="332">
        <v>1</v>
      </c>
      <c r="C14" s="331" t="s">
        <v>2107</v>
      </c>
      <c r="D14" s="183">
        <v>11</v>
      </c>
      <c r="E14" s="183" t="s">
        <v>2119</v>
      </c>
      <c r="F14" s="333">
        <v>44897</v>
      </c>
      <c r="G14" s="314" t="s">
        <v>2109</v>
      </c>
      <c r="H14" s="109" t="s">
        <v>1713</v>
      </c>
      <c r="I14" s="395">
        <v>15</v>
      </c>
      <c r="J14" s="390">
        <v>50</v>
      </c>
      <c r="K14" s="390">
        <v>70</v>
      </c>
      <c r="L14" s="389">
        <v>-20</v>
      </c>
      <c r="M14" s="335">
        <v>10</v>
      </c>
      <c r="N14" s="335">
        <v>10</v>
      </c>
      <c r="O14" s="335">
        <v>10</v>
      </c>
      <c r="P14" s="335">
        <v>10</v>
      </c>
      <c r="Q14" s="183" t="s">
        <v>2112</v>
      </c>
      <c r="R14" s="337">
        <v>1</v>
      </c>
      <c r="S14" s="765"/>
      <c r="T14" s="622">
        <v>35</v>
      </c>
      <c r="U14" s="401">
        <v>0</v>
      </c>
      <c r="V14" s="129" t="s">
        <v>749</v>
      </c>
      <c r="W14" s="132" t="s">
        <v>749</v>
      </c>
      <c r="X14" s="426">
        <v>0</v>
      </c>
      <c r="Y14" s="409">
        <v>1</v>
      </c>
      <c r="Z14" s="435"/>
      <c r="AA14" s="407"/>
      <c r="AB14" s="431"/>
      <c r="AC14" s="413"/>
      <c r="AD14" s="132"/>
      <c r="AE14" s="431"/>
      <c r="AF14" s="586"/>
    </row>
    <row r="15" spans="1:32" ht="33.6" customHeight="1">
      <c r="A15" s="331" t="s">
        <v>2106</v>
      </c>
      <c r="B15" s="332">
        <v>1</v>
      </c>
      <c r="C15" s="331" t="s">
        <v>2107</v>
      </c>
      <c r="D15" s="183">
        <v>12</v>
      </c>
      <c r="E15" s="183" t="s">
        <v>2120</v>
      </c>
      <c r="F15" s="333">
        <v>44937</v>
      </c>
      <c r="G15" s="314" t="s">
        <v>2109</v>
      </c>
      <c r="H15" s="109" t="s">
        <v>1713</v>
      </c>
      <c r="I15" s="395">
        <v>15</v>
      </c>
      <c r="J15" s="390">
        <v>60</v>
      </c>
      <c r="K15" s="390">
        <v>60</v>
      </c>
      <c r="L15" s="389">
        <v>0</v>
      </c>
      <c r="M15" s="335">
        <v>5</v>
      </c>
      <c r="N15" s="335">
        <v>0</v>
      </c>
      <c r="O15" s="335">
        <v>5</v>
      </c>
      <c r="P15" s="335">
        <v>0</v>
      </c>
      <c r="Q15" s="183" t="s">
        <v>1707</v>
      </c>
      <c r="R15" s="335">
        <v>0</v>
      </c>
      <c r="S15" s="766"/>
      <c r="T15" s="416">
        <v>75</v>
      </c>
      <c r="U15" s="402">
        <v>0</v>
      </c>
      <c r="V15" s="129" t="s">
        <v>749</v>
      </c>
      <c r="W15" s="132" t="s">
        <v>749</v>
      </c>
      <c r="X15" s="426">
        <v>0</v>
      </c>
      <c r="Y15" s="409">
        <v>1</v>
      </c>
      <c r="Z15" s="435"/>
      <c r="AA15" s="407"/>
      <c r="AB15" s="431"/>
      <c r="AC15" s="413">
        <v>1</v>
      </c>
      <c r="AD15" s="132">
        <v>0</v>
      </c>
      <c r="AE15" s="431">
        <v>3</v>
      </c>
      <c r="AF15" s="586"/>
    </row>
    <row r="16" spans="1:32" ht="33.6" customHeight="1">
      <c r="A16" s="331" t="s">
        <v>2106</v>
      </c>
      <c r="B16" s="332">
        <v>1</v>
      </c>
      <c r="C16" s="331" t="s">
        <v>2107</v>
      </c>
      <c r="D16" s="183">
        <v>13</v>
      </c>
      <c r="E16" s="183" t="s">
        <v>2121</v>
      </c>
      <c r="F16" s="333">
        <v>44937</v>
      </c>
      <c r="G16" s="314" t="s">
        <v>2109</v>
      </c>
      <c r="H16" s="109" t="s">
        <v>1713</v>
      </c>
      <c r="I16" s="395">
        <v>15</v>
      </c>
      <c r="J16" s="390">
        <v>40</v>
      </c>
      <c r="K16" s="390">
        <v>60</v>
      </c>
      <c r="L16" s="389">
        <v>-20</v>
      </c>
      <c r="M16" s="335">
        <v>20</v>
      </c>
      <c r="N16" s="335">
        <v>20</v>
      </c>
      <c r="O16" s="335">
        <v>20</v>
      </c>
      <c r="P16" s="335">
        <v>20</v>
      </c>
      <c r="Q16" s="183" t="s">
        <v>1708</v>
      </c>
      <c r="R16" s="335">
        <v>1</v>
      </c>
      <c r="S16" s="766"/>
      <c r="T16" s="622">
        <v>30</v>
      </c>
      <c r="U16" s="402">
        <v>0</v>
      </c>
      <c r="V16" s="129" t="s">
        <v>749</v>
      </c>
      <c r="W16" s="132" t="s">
        <v>749</v>
      </c>
      <c r="X16" s="426">
        <v>0</v>
      </c>
      <c r="Y16" s="409">
        <v>1</v>
      </c>
      <c r="Z16" s="435"/>
      <c r="AA16" s="407"/>
      <c r="AB16" s="431"/>
      <c r="AC16" s="413">
        <v>0</v>
      </c>
      <c r="AD16" s="132">
        <v>0</v>
      </c>
      <c r="AE16" s="431">
        <v>2</v>
      </c>
      <c r="AF16" s="586"/>
    </row>
    <row r="17" spans="1:32" s="285" customFormat="1" ht="33.6" customHeight="1">
      <c r="A17" s="331" t="s">
        <v>2106</v>
      </c>
      <c r="B17" s="332">
        <v>1</v>
      </c>
      <c r="C17" s="331" t="s">
        <v>2107</v>
      </c>
      <c r="D17" s="183">
        <v>14</v>
      </c>
      <c r="E17" s="183" t="s">
        <v>2122</v>
      </c>
      <c r="F17" s="339"/>
      <c r="G17" s="109"/>
      <c r="H17" s="109"/>
      <c r="I17" s="110"/>
      <c r="J17" s="391"/>
      <c r="K17" s="391"/>
      <c r="L17" s="389">
        <v>0</v>
      </c>
      <c r="M17" s="338"/>
      <c r="N17" s="338"/>
      <c r="O17" s="338"/>
      <c r="P17" s="338"/>
      <c r="Q17" s="109"/>
      <c r="R17" s="338"/>
      <c r="S17" s="767"/>
      <c r="T17" s="110"/>
      <c r="U17" s="403"/>
      <c r="V17" s="364"/>
      <c r="W17" s="109"/>
      <c r="X17" s="110"/>
      <c r="Y17" s="403"/>
      <c r="Z17" s="110"/>
      <c r="AA17" s="391"/>
      <c r="AB17" s="110"/>
      <c r="AC17" s="403"/>
      <c r="AD17" s="109"/>
      <c r="AE17" s="110"/>
      <c r="AF17" s="586"/>
    </row>
    <row r="18" spans="1:32" s="285" customFormat="1" ht="33.6" customHeight="1">
      <c r="A18" s="331" t="s">
        <v>2106</v>
      </c>
      <c r="B18" s="332">
        <v>1</v>
      </c>
      <c r="C18" s="331" t="s">
        <v>2107</v>
      </c>
      <c r="D18" s="183">
        <v>15</v>
      </c>
      <c r="E18" s="183" t="s">
        <v>2123</v>
      </c>
      <c r="F18" s="183"/>
      <c r="G18" s="109"/>
      <c r="H18" s="109"/>
      <c r="I18" s="110"/>
      <c r="J18" s="391"/>
      <c r="K18" s="391"/>
      <c r="L18" s="389">
        <v>0</v>
      </c>
      <c r="M18" s="338"/>
      <c r="N18" s="338"/>
      <c r="O18" s="338"/>
      <c r="P18" s="338"/>
      <c r="Q18" s="109"/>
      <c r="R18" s="338"/>
      <c r="S18" s="767"/>
      <c r="T18" s="110"/>
      <c r="U18" s="403"/>
      <c r="V18" s="364"/>
      <c r="W18" s="109"/>
      <c r="X18" s="110"/>
      <c r="Y18" s="403"/>
      <c r="Z18" s="110"/>
      <c r="AA18" s="391"/>
      <c r="AB18" s="110"/>
      <c r="AC18" s="403"/>
      <c r="AD18" s="109"/>
      <c r="AE18" s="110"/>
      <c r="AF18" s="586"/>
    </row>
    <row r="19" spans="1:32" s="285" customFormat="1" ht="33.6" customHeight="1">
      <c r="A19" s="331" t="s">
        <v>2106</v>
      </c>
      <c r="B19" s="332">
        <v>1</v>
      </c>
      <c r="C19" s="331" t="s">
        <v>2107</v>
      </c>
      <c r="D19" s="183">
        <v>16</v>
      </c>
      <c r="E19" s="183" t="s">
        <v>2124</v>
      </c>
      <c r="F19" s="333">
        <v>44938</v>
      </c>
      <c r="G19" s="314" t="s">
        <v>2109</v>
      </c>
      <c r="H19" s="109" t="s">
        <v>1713</v>
      </c>
      <c r="I19" s="395">
        <v>15</v>
      </c>
      <c r="J19" s="390">
        <v>5</v>
      </c>
      <c r="K19" s="390">
        <v>10</v>
      </c>
      <c r="L19" s="389">
        <v>-5</v>
      </c>
      <c r="M19" s="335">
        <v>0</v>
      </c>
      <c r="N19" s="335">
        <v>5</v>
      </c>
      <c r="O19" s="335">
        <v>5</v>
      </c>
      <c r="P19" s="335">
        <v>5</v>
      </c>
      <c r="Q19" s="183" t="s">
        <v>1707</v>
      </c>
      <c r="R19" s="335">
        <v>1</v>
      </c>
      <c r="S19" s="766"/>
      <c r="T19" s="621">
        <v>30</v>
      </c>
      <c r="U19" s="401">
        <v>0</v>
      </c>
      <c r="V19" s="129" t="s">
        <v>749</v>
      </c>
      <c r="W19" s="132" t="s">
        <v>749</v>
      </c>
      <c r="X19" s="426">
        <v>0</v>
      </c>
      <c r="Y19" s="409">
        <v>1</v>
      </c>
      <c r="Z19" s="435"/>
      <c r="AA19" s="407"/>
      <c r="AB19" s="431"/>
      <c r="AC19" s="413">
        <v>0</v>
      </c>
      <c r="AD19" s="132">
        <v>0</v>
      </c>
      <c r="AE19" s="431">
        <v>2</v>
      </c>
      <c r="AF19" s="586"/>
    </row>
    <row r="20" spans="1:32" ht="33.6" customHeight="1">
      <c r="A20" s="331" t="s">
        <v>2106</v>
      </c>
      <c r="B20" s="332">
        <v>1</v>
      </c>
      <c r="C20" s="331" t="s">
        <v>2107</v>
      </c>
      <c r="D20" s="183">
        <v>17</v>
      </c>
      <c r="E20" s="183" t="s">
        <v>2125</v>
      </c>
      <c r="F20" s="339">
        <v>44935</v>
      </c>
      <c r="G20" s="314" t="s">
        <v>2109</v>
      </c>
      <c r="H20" s="109" t="s">
        <v>1713</v>
      </c>
      <c r="I20" s="395">
        <v>15</v>
      </c>
      <c r="J20" s="390">
        <v>40</v>
      </c>
      <c r="K20" s="390">
        <v>40</v>
      </c>
      <c r="L20" s="389">
        <v>0</v>
      </c>
      <c r="M20" s="335">
        <v>10</v>
      </c>
      <c r="N20" s="335">
        <v>10</v>
      </c>
      <c r="O20" s="335">
        <v>5</v>
      </c>
      <c r="P20" s="335">
        <v>10</v>
      </c>
      <c r="Q20" s="183" t="s">
        <v>1707</v>
      </c>
      <c r="R20" s="335">
        <v>1</v>
      </c>
      <c r="S20" s="766"/>
      <c r="T20" s="621">
        <v>40</v>
      </c>
      <c r="U20" s="401">
        <v>0</v>
      </c>
      <c r="V20" s="129" t="s">
        <v>749</v>
      </c>
      <c r="W20" s="132" t="s">
        <v>749</v>
      </c>
      <c r="X20" s="426">
        <v>0</v>
      </c>
      <c r="Y20" s="409">
        <v>1</v>
      </c>
      <c r="Z20" s="435"/>
      <c r="AA20" s="407"/>
      <c r="AB20" s="431"/>
      <c r="AC20" s="413">
        <v>0</v>
      </c>
      <c r="AD20" s="132">
        <v>0</v>
      </c>
      <c r="AE20" s="431">
        <v>2</v>
      </c>
      <c r="AF20" s="586"/>
    </row>
    <row r="21" spans="1:32" ht="33.6" customHeight="1">
      <c r="A21" s="331" t="s">
        <v>2106</v>
      </c>
      <c r="B21" s="332">
        <v>1</v>
      </c>
      <c r="C21" s="331" t="s">
        <v>2107</v>
      </c>
      <c r="D21" s="340">
        <v>18</v>
      </c>
      <c r="E21" s="183" t="s">
        <v>2126</v>
      </c>
      <c r="F21" s="339">
        <v>44935</v>
      </c>
      <c r="G21" s="314" t="s">
        <v>2109</v>
      </c>
      <c r="H21" s="109" t="s">
        <v>1713</v>
      </c>
      <c r="I21" s="395">
        <v>15</v>
      </c>
      <c r="J21" s="390">
        <v>30</v>
      </c>
      <c r="K21" s="390">
        <v>20</v>
      </c>
      <c r="L21" s="389">
        <v>10</v>
      </c>
      <c r="M21" s="335">
        <v>10</v>
      </c>
      <c r="N21" s="335">
        <v>10</v>
      </c>
      <c r="O21" s="335">
        <v>5</v>
      </c>
      <c r="P21" s="335">
        <v>10</v>
      </c>
      <c r="Q21" s="183" t="s">
        <v>1707</v>
      </c>
      <c r="R21" s="335">
        <v>3</v>
      </c>
      <c r="S21" s="766"/>
      <c r="T21" s="621">
        <v>60</v>
      </c>
      <c r="U21" s="401">
        <v>0</v>
      </c>
      <c r="V21" s="129" t="s">
        <v>749</v>
      </c>
      <c r="W21" s="132" t="s">
        <v>749</v>
      </c>
      <c r="X21" s="426">
        <v>0</v>
      </c>
      <c r="Y21" s="409">
        <v>1</v>
      </c>
      <c r="Z21" s="435"/>
      <c r="AA21" s="407"/>
      <c r="AB21" s="431"/>
      <c r="AC21" s="413">
        <v>0</v>
      </c>
      <c r="AD21" s="132">
        <v>0</v>
      </c>
      <c r="AE21" s="431">
        <v>1</v>
      </c>
      <c r="AF21" s="586"/>
    </row>
    <row r="22" spans="1:32" ht="33.6" customHeight="1">
      <c r="A22" s="331" t="s">
        <v>2106</v>
      </c>
      <c r="B22" s="332">
        <v>1</v>
      </c>
      <c r="C22" s="331" t="s">
        <v>2107</v>
      </c>
      <c r="D22" s="340">
        <v>19</v>
      </c>
      <c r="E22" s="341" t="s">
        <v>2127</v>
      </c>
      <c r="F22" s="339">
        <v>44935</v>
      </c>
      <c r="G22" s="314" t="s">
        <v>2109</v>
      </c>
      <c r="H22" s="109" t="s">
        <v>1713</v>
      </c>
      <c r="I22" s="395">
        <v>15</v>
      </c>
      <c r="J22" s="390">
        <v>20</v>
      </c>
      <c r="K22" s="390">
        <v>10</v>
      </c>
      <c r="L22" s="389">
        <v>10</v>
      </c>
      <c r="M22" s="335">
        <v>10</v>
      </c>
      <c r="N22" s="335">
        <v>10</v>
      </c>
      <c r="O22" s="335">
        <v>5</v>
      </c>
      <c r="P22" s="335">
        <v>5</v>
      </c>
      <c r="Q22" s="183" t="s">
        <v>1707</v>
      </c>
      <c r="R22" s="335"/>
      <c r="S22" s="766"/>
      <c r="T22" s="621">
        <v>30</v>
      </c>
      <c r="U22" s="401">
        <v>0</v>
      </c>
      <c r="V22" s="129" t="s">
        <v>749</v>
      </c>
      <c r="W22" s="132" t="s">
        <v>749</v>
      </c>
      <c r="X22" s="426">
        <v>0</v>
      </c>
      <c r="Y22" s="409">
        <v>1</v>
      </c>
      <c r="Z22" s="435"/>
      <c r="AA22" s="407"/>
      <c r="AB22" s="431"/>
      <c r="AC22" s="413"/>
      <c r="AD22" s="132"/>
      <c r="AE22" s="431"/>
      <c r="AF22" s="586"/>
    </row>
    <row r="23" spans="1:32" s="285" customFormat="1" ht="33.6" customHeight="1" thickBot="1">
      <c r="A23" s="569" t="s">
        <v>2128</v>
      </c>
      <c r="B23" s="192">
        <v>1</v>
      </c>
      <c r="C23" s="570" t="s">
        <v>1705</v>
      </c>
      <c r="D23" s="193">
        <v>20</v>
      </c>
      <c r="E23" s="577" t="s">
        <v>2129</v>
      </c>
      <c r="F23" s="578">
        <v>44938</v>
      </c>
      <c r="G23" s="530" t="s">
        <v>2109</v>
      </c>
      <c r="H23" s="479" t="s">
        <v>1713</v>
      </c>
      <c r="I23" s="526">
        <v>15</v>
      </c>
      <c r="J23" s="497">
        <v>20</v>
      </c>
      <c r="K23" s="497">
        <v>40</v>
      </c>
      <c r="L23" s="389">
        <v>-20</v>
      </c>
      <c r="M23" s="579">
        <v>30</v>
      </c>
      <c r="N23" s="579">
        <v>20</v>
      </c>
      <c r="O23" s="579">
        <v>20</v>
      </c>
      <c r="P23" s="579">
        <v>20</v>
      </c>
      <c r="Q23" s="193" t="s">
        <v>1707</v>
      </c>
      <c r="R23" s="579">
        <v>1</v>
      </c>
      <c r="S23" s="768"/>
      <c r="T23" s="580">
        <v>40</v>
      </c>
      <c r="U23" s="581">
        <v>0</v>
      </c>
      <c r="V23" s="594" t="s">
        <v>749</v>
      </c>
      <c r="W23" s="583" t="s">
        <v>749</v>
      </c>
      <c r="X23" s="576">
        <v>0</v>
      </c>
      <c r="Y23" s="535">
        <v>1</v>
      </c>
      <c r="Z23" s="582"/>
      <c r="AA23" s="501"/>
      <c r="AB23" s="503"/>
      <c r="AC23" s="519">
        <v>0</v>
      </c>
      <c r="AD23" s="583">
        <v>0</v>
      </c>
      <c r="AE23" s="503">
        <v>2</v>
      </c>
      <c r="AF23" s="587"/>
    </row>
    <row r="24" spans="1:32" s="285" customFormat="1" ht="33.6" customHeight="1" thickTop="1" thickBot="1">
      <c r="A24" s="623" t="s">
        <v>1906</v>
      </c>
      <c r="B24" s="189">
        <v>2</v>
      </c>
      <c r="C24" s="624" t="s">
        <v>2130</v>
      </c>
      <c r="D24" s="190">
        <v>1</v>
      </c>
      <c r="E24" s="625" t="s">
        <v>2131</v>
      </c>
      <c r="F24" s="626">
        <v>44795</v>
      </c>
      <c r="G24" s="627" t="s">
        <v>2132</v>
      </c>
      <c r="H24" s="628" t="s">
        <v>1905</v>
      </c>
      <c r="I24" s="629">
        <v>15</v>
      </c>
      <c r="J24" s="630">
        <v>20</v>
      </c>
      <c r="K24" s="630">
        <v>30</v>
      </c>
      <c r="L24" s="630">
        <v>-10</v>
      </c>
      <c r="M24" s="631">
        <v>60</v>
      </c>
      <c r="N24" s="631">
        <v>60</v>
      </c>
      <c r="O24" s="631">
        <v>1</v>
      </c>
      <c r="P24" s="631">
        <v>1</v>
      </c>
      <c r="Q24" s="190" t="s">
        <v>2133</v>
      </c>
      <c r="R24" s="631" t="s">
        <v>1912</v>
      </c>
      <c r="S24" s="769"/>
      <c r="T24" s="666">
        <v>30</v>
      </c>
      <c r="U24" s="632">
        <v>0</v>
      </c>
      <c r="V24" s="633" t="s">
        <v>749</v>
      </c>
      <c r="W24" s="634" t="s">
        <v>749</v>
      </c>
      <c r="X24" s="635">
        <v>0</v>
      </c>
      <c r="Y24" s="636">
        <v>1</v>
      </c>
      <c r="Z24" s="637">
        <v>0</v>
      </c>
      <c r="AA24" s="699"/>
      <c r="AB24" s="639"/>
      <c r="AC24" s="638">
        <v>0</v>
      </c>
      <c r="AD24" s="634">
        <v>0</v>
      </c>
      <c r="AE24" s="639">
        <v>3</v>
      </c>
      <c r="AF24" s="640" t="s">
        <v>1924</v>
      </c>
    </row>
    <row r="25" spans="1:32" s="662" customFormat="1" ht="33.6" customHeight="1" thickTop="1" thickBot="1">
      <c r="A25" s="573" t="s">
        <v>1906</v>
      </c>
      <c r="B25" s="179">
        <v>2</v>
      </c>
      <c r="C25" s="574" t="s">
        <v>2130</v>
      </c>
      <c r="D25" s="180">
        <v>2</v>
      </c>
      <c r="E25" s="661" t="s">
        <v>2134</v>
      </c>
      <c r="F25" s="384">
        <v>44794</v>
      </c>
      <c r="G25" s="311" t="s">
        <v>2135</v>
      </c>
      <c r="H25" s="308" t="s">
        <v>1905</v>
      </c>
      <c r="I25" s="394">
        <v>15</v>
      </c>
      <c r="J25" s="389">
        <v>60</v>
      </c>
      <c r="K25" s="389">
        <v>50</v>
      </c>
      <c r="L25" s="630">
        <v>10</v>
      </c>
      <c r="M25" s="386">
        <v>40</v>
      </c>
      <c r="N25" s="386">
        <v>40</v>
      </c>
      <c r="O25" s="386">
        <v>1</v>
      </c>
      <c r="P25" s="386">
        <v>1</v>
      </c>
      <c r="Q25" s="180" t="s">
        <v>2136</v>
      </c>
      <c r="R25" s="386" t="s">
        <v>1913</v>
      </c>
      <c r="S25" s="770"/>
      <c r="T25" s="667">
        <v>330</v>
      </c>
      <c r="U25" s="399">
        <v>0</v>
      </c>
      <c r="V25" s="138" t="s">
        <v>749</v>
      </c>
      <c r="W25" s="141" t="s">
        <v>749</v>
      </c>
      <c r="X25" s="425">
        <v>0</v>
      </c>
      <c r="Y25" s="408">
        <v>1</v>
      </c>
      <c r="Z25" s="434">
        <v>0</v>
      </c>
      <c r="AA25" s="588"/>
      <c r="AB25" s="464"/>
      <c r="AC25" s="524">
        <v>0</v>
      </c>
      <c r="AD25" s="141">
        <v>0</v>
      </c>
      <c r="AE25" s="464">
        <v>10</v>
      </c>
      <c r="AF25" s="585" t="s">
        <v>1924</v>
      </c>
    </row>
    <row r="26" spans="1:32" s="662" customFormat="1" ht="33.6" customHeight="1" thickTop="1" thickBot="1">
      <c r="A26" s="573" t="s">
        <v>1906</v>
      </c>
      <c r="B26" s="179">
        <v>2</v>
      </c>
      <c r="C26" s="574" t="s">
        <v>2130</v>
      </c>
      <c r="D26" s="180">
        <v>3</v>
      </c>
      <c r="E26" s="661" t="s">
        <v>2137</v>
      </c>
      <c r="F26" s="384">
        <v>44795</v>
      </c>
      <c r="G26" s="311" t="s">
        <v>2132</v>
      </c>
      <c r="H26" s="308" t="s">
        <v>1905</v>
      </c>
      <c r="I26" s="394">
        <v>15</v>
      </c>
      <c r="J26" s="389">
        <v>40</v>
      </c>
      <c r="K26" s="389">
        <v>30</v>
      </c>
      <c r="L26" s="630">
        <v>10</v>
      </c>
      <c r="M26" s="386">
        <v>10</v>
      </c>
      <c r="N26" s="386">
        <v>10</v>
      </c>
      <c r="O26" s="386">
        <v>1</v>
      </c>
      <c r="P26" s="386">
        <v>1</v>
      </c>
      <c r="Q26" s="180" t="s">
        <v>2133</v>
      </c>
      <c r="R26" s="386" t="s">
        <v>1914</v>
      </c>
      <c r="S26" s="770"/>
      <c r="T26" s="667">
        <v>43.333333333333336</v>
      </c>
      <c r="U26" s="399">
        <v>0</v>
      </c>
      <c r="V26" s="138" t="s">
        <v>749</v>
      </c>
      <c r="W26" s="141" t="s">
        <v>749</v>
      </c>
      <c r="X26" s="425">
        <v>0</v>
      </c>
      <c r="Y26" s="408">
        <v>1</v>
      </c>
      <c r="Z26" s="434">
        <v>0</v>
      </c>
      <c r="AA26" s="588"/>
      <c r="AB26" s="464"/>
      <c r="AC26" s="524">
        <v>1</v>
      </c>
      <c r="AD26" s="141">
        <v>0</v>
      </c>
      <c r="AE26" s="464">
        <v>5</v>
      </c>
      <c r="AF26" s="585" t="s">
        <v>1924</v>
      </c>
    </row>
    <row r="27" spans="1:32" s="662" customFormat="1" ht="33.6" customHeight="1" thickTop="1" thickBot="1">
      <c r="A27" s="573" t="s">
        <v>1906</v>
      </c>
      <c r="B27" s="179">
        <v>2</v>
      </c>
      <c r="C27" s="574" t="s">
        <v>2130</v>
      </c>
      <c r="D27" s="180">
        <v>4</v>
      </c>
      <c r="E27" s="661" t="s">
        <v>2138</v>
      </c>
      <c r="F27" s="384">
        <v>44795</v>
      </c>
      <c r="G27" s="311" t="s">
        <v>2132</v>
      </c>
      <c r="H27" s="308" t="s">
        <v>1905</v>
      </c>
      <c r="I27" s="394">
        <v>15</v>
      </c>
      <c r="J27" s="389">
        <v>50</v>
      </c>
      <c r="K27" s="389">
        <v>30</v>
      </c>
      <c r="L27" s="630">
        <v>20</v>
      </c>
      <c r="M27" s="386">
        <v>10</v>
      </c>
      <c r="N27" s="386">
        <v>10</v>
      </c>
      <c r="O27" s="386">
        <v>1</v>
      </c>
      <c r="P27" s="386">
        <v>1</v>
      </c>
      <c r="Q27" s="180" t="s">
        <v>2136</v>
      </c>
      <c r="R27" s="386" t="s">
        <v>1915</v>
      </c>
      <c r="S27" s="770"/>
      <c r="T27" s="667">
        <v>239</v>
      </c>
      <c r="U27" s="399">
        <v>0</v>
      </c>
      <c r="V27" s="138" t="s">
        <v>749</v>
      </c>
      <c r="W27" s="141" t="s">
        <v>749</v>
      </c>
      <c r="X27" s="425">
        <v>0</v>
      </c>
      <c r="Y27" s="408">
        <v>1</v>
      </c>
      <c r="Z27" s="434">
        <v>0</v>
      </c>
      <c r="AA27" s="588"/>
      <c r="AB27" s="464"/>
      <c r="AC27" s="524">
        <v>0</v>
      </c>
      <c r="AD27" s="141">
        <v>0</v>
      </c>
      <c r="AE27" s="464">
        <v>2</v>
      </c>
      <c r="AF27" s="585" t="s">
        <v>2139</v>
      </c>
    </row>
    <row r="28" spans="1:32" s="662" customFormat="1" ht="33.6" customHeight="1" thickTop="1" thickBot="1">
      <c r="A28" s="573" t="s">
        <v>1906</v>
      </c>
      <c r="B28" s="179">
        <v>2</v>
      </c>
      <c r="C28" s="574" t="s">
        <v>2130</v>
      </c>
      <c r="D28" s="180">
        <v>5</v>
      </c>
      <c r="E28" s="661" t="s">
        <v>2140</v>
      </c>
      <c r="F28" s="384">
        <v>44795</v>
      </c>
      <c r="G28" s="311" t="s">
        <v>2132</v>
      </c>
      <c r="H28" s="308" t="s">
        <v>1905</v>
      </c>
      <c r="I28" s="394">
        <v>15</v>
      </c>
      <c r="J28" s="389">
        <v>50</v>
      </c>
      <c r="K28" s="389">
        <v>40</v>
      </c>
      <c r="L28" s="630">
        <v>10</v>
      </c>
      <c r="M28" s="386">
        <v>30</v>
      </c>
      <c r="N28" s="386">
        <v>30</v>
      </c>
      <c r="O28" s="386">
        <v>1</v>
      </c>
      <c r="P28" s="386">
        <v>1</v>
      </c>
      <c r="Q28" s="180" t="s">
        <v>2133</v>
      </c>
      <c r="R28" s="386" t="s">
        <v>1916</v>
      </c>
      <c r="S28" s="770"/>
      <c r="T28" s="667">
        <v>41</v>
      </c>
      <c r="U28" s="399">
        <v>0</v>
      </c>
      <c r="V28" s="138" t="s">
        <v>749</v>
      </c>
      <c r="W28" s="141" t="s">
        <v>749</v>
      </c>
      <c r="X28" s="425">
        <v>0</v>
      </c>
      <c r="Y28" s="408">
        <v>1</v>
      </c>
      <c r="Z28" s="434">
        <v>0</v>
      </c>
      <c r="AA28" s="588"/>
      <c r="AB28" s="464"/>
      <c r="AC28" s="524">
        <v>0</v>
      </c>
      <c r="AD28" s="141">
        <v>0</v>
      </c>
      <c r="AE28" s="464">
        <v>2</v>
      </c>
      <c r="AF28" s="585" t="s">
        <v>2139</v>
      </c>
    </row>
    <row r="29" spans="1:32" s="662" customFormat="1" ht="33.6" customHeight="1" thickTop="1" thickBot="1">
      <c r="A29" s="573" t="s">
        <v>1906</v>
      </c>
      <c r="B29" s="179">
        <v>2</v>
      </c>
      <c r="C29" s="574" t="s">
        <v>2130</v>
      </c>
      <c r="D29" s="180">
        <v>6</v>
      </c>
      <c r="E29" s="661" t="s">
        <v>2141</v>
      </c>
      <c r="F29" s="384">
        <v>44795</v>
      </c>
      <c r="G29" s="311" t="s">
        <v>2132</v>
      </c>
      <c r="H29" s="308" t="s">
        <v>1905</v>
      </c>
      <c r="I29" s="394">
        <v>15</v>
      </c>
      <c r="J29" s="389">
        <v>70</v>
      </c>
      <c r="K29" s="389">
        <v>50</v>
      </c>
      <c r="L29" s="630">
        <v>20</v>
      </c>
      <c r="M29" s="386">
        <v>40</v>
      </c>
      <c r="N29" s="386">
        <v>40</v>
      </c>
      <c r="O29" s="386">
        <v>0</v>
      </c>
      <c r="P29" s="386">
        <v>0</v>
      </c>
      <c r="Q29" s="180" t="s">
        <v>2142</v>
      </c>
      <c r="R29" s="386" t="s">
        <v>1916</v>
      </c>
      <c r="S29" s="770"/>
      <c r="T29" s="667">
        <v>28.75</v>
      </c>
      <c r="U29" s="399">
        <v>0</v>
      </c>
      <c r="V29" s="138" t="s">
        <v>749</v>
      </c>
      <c r="W29" s="141" t="s">
        <v>749</v>
      </c>
      <c r="X29" s="425">
        <v>0</v>
      </c>
      <c r="Y29" s="408">
        <v>1</v>
      </c>
      <c r="Z29" s="434">
        <v>0</v>
      </c>
      <c r="AA29" s="588"/>
      <c r="AB29" s="464"/>
      <c r="AC29" s="524">
        <v>0</v>
      </c>
      <c r="AD29" s="141">
        <v>0</v>
      </c>
      <c r="AE29" s="464">
        <v>2</v>
      </c>
      <c r="AF29" s="585" t="s">
        <v>2139</v>
      </c>
    </row>
    <row r="30" spans="1:32" s="662" customFormat="1" ht="33.6" customHeight="1" thickTop="1" thickBot="1">
      <c r="A30" s="573" t="s">
        <v>1906</v>
      </c>
      <c r="B30" s="179">
        <v>2</v>
      </c>
      <c r="C30" s="574" t="s">
        <v>2130</v>
      </c>
      <c r="D30" s="180">
        <v>7</v>
      </c>
      <c r="E30" s="661" t="s">
        <v>2143</v>
      </c>
      <c r="F30" s="384">
        <v>44795</v>
      </c>
      <c r="G30" s="311" t="s">
        <v>2132</v>
      </c>
      <c r="H30" s="308" t="s">
        <v>1905</v>
      </c>
      <c r="I30" s="394">
        <v>15</v>
      </c>
      <c r="J30" s="389">
        <v>10</v>
      </c>
      <c r="K30" s="389">
        <v>30</v>
      </c>
      <c r="L30" s="630">
        <v>-20</v>
      </c>
      <c r="M30" s="386">
        <v>0</v>
      </c>
      <c r="N30" s="386">
        <v>0</v>
      </c>
      <c r="O30" s="386">
        <v>0</v>
      </c>
      <c r="P30" s="386">
        <v>0</v>
      </c>
      <c r="Q30" s="180" t="s">
        <v>2144</v>
      </c>
      <c r="R30" s="386" t="s">
        <v>1917</v>
      </c>
      <c r="S30" s="770"/>
      <c r="T30" s="667">
        <v>29</v>
      </c>
      <c r="U30" s="399">
        <v>0</v>
      </c>
      <c r="V30" s="138" t="s">
        <v>749</v>
      </c>
      <c r="W30" s="141" t="s">
        <v>749</v>
      </c>
      <c r="X30" s="425">
        <v>0</v>
      </c>
      <c r="Y30" s="408">
        <v>1</v>
      </c>
      <c r="Z30" s="434">
        <v>0</v>
      </c>
      <c r="AA30" s="588"/>
      <c r="AB30" s="464"/>
      <c r="AC30" s="524">
        <v>0</v>
      </c>
      <c r="AD30" s="141">
        <v>0</v>
      </c>
      <c r="AE30" s="464">
        <v>0</v>
      </c>
      <c r="AF30" s="585" t="s">
        <v>2139</v>
      </c>
    </row>
    <row r="31" spans="1:32" s="662" customFormat="1" ht="33.6" customHeight="1" thickTop="1" thickBot="1">
      <c r="A31" s="573" t="s">
        <v>1906</v>
      </c>
      <c r="B31" s="179">
        <v>2</v>
      </c>
      <c r="C31" s="574" t="s">
        <v>2130</v>
      </c>
      <c r="D31" s="180">
        <v>8</v>
      </c>
      <c r="E31" s="661" t="s">
        <v>2145</v>
      </c>
      <c r="F31" s="384"/>
      <c r="G31" s="311"/>
      <c r="H31" s="308"/>
      <c r="I31" s="394"/>
      <c r="J31" s="389" t="s">
        <v>720</v>
      </c>
      <c r="K31" s="389"/>
      <c r="L31" s="630"/>
      <c r="M31" s="386"/>
      <c r="N31" s="386"/>
      <c r="O31" s="386"/>
      <c r="P31" s="386"/>
      <c r="Q31" s="180"/>
      <c r="R31" s="386"/>
      <c r="S31" s="770"/>
      <c r="T31" s="667"/>
      <c r="U31" s="399"/>
      <c r="V31" s="138"/>
      <c r="W31" s="141"/>
      <c r="X31" s="425"/>
      <c r="Y31" s="408"/>
      <c r="Z31" s="434"/>
      <c r="AA31" s="588"/>
      <c r="AB31" s="464"/>
      <c r="AC31" s="524"/>
      <c r="AD31" s="141"/>
      <c r="AE31" s="464"/>
      <c r="AF31" s="585"/>
    </row>
    <row r="32" spans="1:32" s="662" customFormat="1" ht="33.6" customHeight="1" thickTop="1" thickBot="1">
      <c r="A32" s="573" t="s">
        <v>1906</v>
      </c>
      <c r="B32" s="179">
        <v>2</v>
      </c>
      <c r="C32" s="574" t="s">
        <v>2130</v>
      </c>
      <c r="D32" s="180">
        <v>9</v>
      </c>
      <c r="E32" s="661" t="s">
        <v>2146</v>
      </c>
      <c r="F32" s="384">
        <v>44790</v>
      </c>
      <c r="G32" s="311" t="s">
        <v>2132</v>
      </c>
      <c r="H32" s="308" t="s">
        <v>1905</v>
      </c>
      <c r="I32" s="394">
        <v>15</v>
      </c>
      <c r="J32" s="389">
        <v>30</v>
      </c>
      <c r="K32" s="389">
        <v>30</v>
      </c>
      <c r="L32" s="630">
        <v>0</v>
      </c>
      <c r="M32" s="386">
        <v>40</v>
      </c>
      <c r="N32" s="386">
        <v>40</v>
      </c>
      <c r="O32" s="386">
        <v>1</v>
      </c>
      <c r="P32" s="386">
        <v>1</v>
      </c>
      <c r="Q32" s="180" t="s">
        <v>2147</v>
      </c>
      <c r="R32" s="386" t="s">
        <v>1918</v>
      </c>
      <c r="S32" s="770"/>
      <c r="T32" s="667">
        <v>42.857142857142854</v>
      </c>
      <c r="U32" s="399">
        <v>0</v>
      </c>
      <c r="V32" s="138" t="s">
        <v>749</v>
      </c>
      <c r="W32" s="141" t="s">
        <v>749</v>
      </c>
      <c r="X32" s="425">
        <v>0</v>
      </c>
      <c r="Y32" s="408">
        <v>1</v>
      </c>
      <c r="Z32" s="434">
        <v>0</v>
      </c>
      <c r="AA32" s="588"/>
      <c r="AB32" s="464"/>
      <c r="AC32" s="524">
        <v>0</v>
      </c>
      <c r="AD32" s="141">
        <v>0</v>
      </c>
      <c r="AE32" s="464">
        <v>2</v>
      </c>
      <c r="AF32" s="585" t="s">
        <v>2139</v>
      </c>
    </row>
    <row r="33" spans="1:32" s="662" customFormat="1" ht="33.6" customHeight="1" thickTop="1" thickBot="1">
      <c r="A33" s="573" t="s">
        <v>1906</v>
      </c>
      <c r="B33" s="179">
        <v>2</v>
      </c>
      <c r="C33" s="574" t="s">
        <v>2130</v>
      </c>
      <c r="D33" s="180">
        <v>10</v>
      </c>
      <c r="E33" s="661" t="s">
        <v>2148</v>
      </c>
      <c r="F33" s="384">
        <v>44790</v>
      </c>
      <c r="G33" s="311" t="s">
        <v>2132</v>
      </c>
      <c r="H33" s="308" t="s">
        <v>1905</v>
      </c>
      <c r="I33" s="394">
        <v>15</v>
      </c>
      <c r="J33" s="389">
        <v>60</v>
      </c>
      <c r="K33" s="389">
        <v>70</v>
      </c>
      <c r="L33" s="630">
        <v>-10</v>
      </c>
      <c r="M33" s="386">
        <v>20</v>
      </c>
      <c r="N33" s="386">
        <v>20</v>
      </c>
      <c r="O33" s="386">
        <v>1</v>
      </c>
      <c r="P33" s="386">
        <v>1</v>
      </c>
      <c r="Q33" s="180" t="s">
        <v>2133</v>
      </c>
      <c r="R33" s="386" t="s">
        <v>1919</v>
      </c>
      <c r="S33" s="770"/>
      <c r="T33" s="667">
        <v>73.333333333333329</v>
      </c>
      <c r="U33" s="399">
        <v>0</v>
      </c>
      <c r="V33" s="138" t="s">
        <v>749</v>
      </c>
      <c r="W33" s="141" t="s">
        <v>749</v>
      </c>
      <c r="X33" s="425">
        <v>0</v>
      </c>
      <c r="Y33" s="408">
        <v>1</v>
      </c>
      <c r="Z33" s="434">
        <v>0</v>
      </c>
      <c r="AA33" s="588"/>
      <c r="AB33" s="464"/>
      <c r="AC33" s="524">
        <v>0</v>
      </c>
      <c r="AD33" s="141">
        <v>0</v>
      </c>
      <c r="AE33" s="464">
        <v>3</v>
      </c>
      <c r="AF33" s="585" t="s">
        <v>2139</v>
      </c>
    </row>
    <row r="34" spans="1:32" s="662" customFormat="1" ht="33.6" customHeight="1" thickTop="1" thickBot="1">
      <c r="A34" s="573" t="s">
        <v>1906</v>
      </c>
      <c r="B34" s="179">
        <v>2</v>
      </c>
      <c r="C34" s="574" t="s">
        <v>2130</v>
      </c>
      <c r="D34" s="180">
        <v>11</v>
      </c>
      <c r="E34" s="661" t="s">
        <v>2149</v>
      </c>
      <c r="F34" s="384">
        <v>44798</v>
      </c>
      <c r="G34" s="311" t="s">
        <v>2132</v>
      </c>
      <c r="H34" s="308" t="s">
        <v>1905</v>
      </c>
      <c r="I34" s="394">
        <v>15</v>
      </c>
      <c r="J34" s="389">
        <v>10</v>
      </c>
      <c r="K34" s="389"/>
      <c r="L34" s="630"/>
      <c r="M34" s="386">
        <v>60</v>
      </c>
      <c r="N34" s="386">
        <v>60</v>
      </c>
      <c r="O34" s="386">
        <v>1</v>
      </c>
      <c r="P34" s="386">
        <v>1</v>
      </c>
      <c r="Q34" s="180" t="s">
        <v>2133</v>
      </c>
      <c r="R34" s="386" t="s">
        <v>1872</v>
      </c>
      <c r="S34" s="770"/>
      <c r="T34" s="667"/>
      <c r="U34" s="399">
        <v>0</v>
      </c>
      <c r="V34" s="138" t="s">
        <v>749</v>
      </c>
      <c r="W34" s="141" t="s">
        <v>749</v>
      </c>
      <c r="X34" s="425">
        <v>0</v>
      </c>
      <c r="Y34" s="408">
        <v>1</v>
      </c>
      <c r="Z34" s="434">
        <v>0</v>
      </c>
      <c r="AA34" s="588"/>
      <c r="AB34" s="464"/>
      <c r="AC34" s="524">
        <v>0</v>
      </c>
      <c r="AD34" s="141">
        <v>0</v>
      </c>
      <c r="AE34" s="464">
        <v>0</v>
      </c>
      <c r="AF34" s="585" t="s">
        <v>2139</v>
      </c>
    </row>
    <row r="35" spans="1:32" s="662" customFormat="1" ht="33.6" customHeight="1" thickTop="1" thickBot="1">
      <c r="A35" s="573" t="s">
        <v>1906</v>
      </c>
      <c r="B35" s="179">
        <v>2</v>
      </c>
      <c r="C35" s="574" t="s">
        <v>2130</v>
      </c>
      <c r="D35" s="180">
        <v>12</v>
      </c>
      <c r="E35" s="661" t="s">
        <v>2150</v>
      </c>
      <c r="F35" s="384">
        <v>44798</v>
      </c>
      <c r="G35" s="311" t="s">
        <v>2151</v>
      </c>
      <c r="H35" s="308" t="s">
        <v>1905</v>
      </c>
      <c r="I35" s="394">
        <v>15</v>
      </c>
      <c r="J35" s="389">
        <v>30</v>
      </c>
      <c r="K35" s="389"/>
      <c r="L35" s="630"/>
      <c r="M35" s="386">
        <v>40</v>
      </c>
      <c r="N35" s="386">
        <v>40</v>
      </c>
      <c r="O35" s="386">
        <v>0</v>
      </c>
      <c r="P35" s="386">
        <v>0</v>
      </c>
      <c r="Q35" s="180" t="s">
        <v>2133</v>
      </c>
      <c r="R35" s="386" t="s">
        <v>1920</v>
      </c>
      <c r="S35" s="770"/>
      <c r="T35" s="667">
        <v>25</v>
      </c>
      <c r="U35" s="399">
        <v>0</v>
      </c>
      <c r="V35" s="138" t="s">
        <v>749</v>
      </c>
      <c r="W35" s="141" t="s">
        <v>749</v>
      </c>
      <c r="X35" s="425">
        <v>0</v>
      </c>
      <c r="Y35" s="408">
        <v>1</v>
      </c>
      <c r="Z35" s="434">
        <v>0</v>
      </c>
      <c r="AA35" s="588"/>
      <c r="AB35" s="464"/>
      <c r="AC35" s="524">
        <v>0</v>
      </c>
      <c r="AD35" s="141">
        <v>0</v>
      </c>
      <c r="AE35" s="464">
        <v>3</v>
      </c>
      <c r="AF35" s="585" t="s">
        <v>2139</v>
      </c>
    </row>
    <row r="36" spans="1:32" s="663" customFormat="1" ht="33.6" customHeight="1" thickTop="1" thickBot="1">
      <c r="A36" s="342" t="s">
        <v>1906</v>
      </c>
      <c r="B36" s="179">
        <v>2</v>
      </c>
      <c r="C36" s="343" t="s">
        <v>2130</v>
      </c>
      <c r="D36" s="183">
        <v>13</v>
      </c>
      <c r="E36" s="641" t="s">
        <v>2152</v>
      </c>
      <c r="F36" s="333">
        <v>44798</v>
      </c>
      <c r="G36" s="314" t="s">
        <v>2132</v>
      </c>
      <c r="H36" s="109" t="s">
        <v>1713</v>
      </c>
      <c r="I36" s="395">
        <v>15</v>
      </c>
      <c r="J36" s="390">
        <v>50</v>
      </c>
      <c r="K36" s="390"/>
      <c r="L36" s="630"/>
      <c r="M36" s="335">
        <v>50</v>
      </c>
      <c r="N36" s="335">
        <v>10</v>
      </c>
      <c r="O36" s="335">
        <v>1</v>
      </c>
      <c r="P36" s="335">
        <v>0</v>
      </c>
      <c r="Q36" s="183" t="s">
        <v>2133</v>
      </c>
      <c r="R36" s="335" t="s">
        <v>1917</v>
      </c>
      <c r="S36" s="766"/>
      <c r="T36" s="668">
        <v>48.571428571428569</v>
      </c>
      <c r="U36" s="401">
        <v>0</v>
      </c>
      <c r="V36" s="129" t="s">
        <v>749</v>
      </c>
      <c r="W36" s="132" t="s">
        <v>749</v>
      </c>
      <c r="X36" s="426">
        <v>0</v>
      </c>
      <c r="Y36" s="409">
        <v>1</v>
      </c>
      <c r="Z36" s="435">
        <v>0</v>
      </c>
      <c r="AA36" s="407"/>
      <c r="AB36" s="431"/>
      <c r="AC36" s="413">
        <v>2</v>
      </c>
      <c r="AD36" s="132">
        <v>0</v>
      </c>
      <c r="AE36" s="431">
        <v>3</v>
      </c>
      <c r="AF36" s="586" t="s">
        <v>2153</v>
      </c>
    </row>
    <row r="37" spans="1:32" s="663" customFormat="1" ht="33.6" customHeight="1" thickTop="1" thickBot="1">
      <c r="A37" s="342" t="s">
        <v>1906</v>
      </c>
      <c r="B37" s="179">
        <v>2</v>
      </c>
      <c r="C37" s="343" t="s">
        <v>2130</v>
      </c>
      <c r="D37" s="183">
        <v>14</v>
      </c>
      <c r="E37" s="641" t="s">
        <v>2154</v>
      </c>
      <c r="F37" s="333"/>
      <c r="G37" s="314"/>
      <c r="H37" s="109"/>
      <c r="I37" s="395"/>
      <c r="J37" s="390" t="s">
        <v>720</v>
      </c>
      <c r="K37" s="390">
        <v>50</v>
      </c>
      <c r="L37" s="630"/>
      <c r="M37" s="335"/>
      <c r="N37" s="335"/>
      <c r="O37" s="335"/>
      <c r="P37" s="335"/>
      <c r="Q37" s="183"/>
      <c r="R37" s="335"/>
      <c r="S37" s="766"/>
      <c r="T37" s="668"/>
      <c r="U37" s="401"/>
      <c r="V37" s="129"/>
      <c r="W37" s="132"/>
      <c r="X37" s="426"/>
      <c r="Y37" s="409"/>
      <c r="Z37" s="435"/>
      <c r="AA37" s="407"/>
      <c r="AB37" s="431"/>
      <c r="AC37" s="413"/>
      <c r="AD37" s="132"/>
      <c r="AE37" s="431"/>
      <c r="AF37" s="586"/>
    </row>
    <row r="38" spans="1:32" s="663" customFormat="1" ht="33.6" customHeight="1" thickTop="1" thickBot="1">
      <c r="A38" s="342" t="s">
        <v>1906</v>
      </c>
      <c r="B38" s="179">
        <v>2</v>
      </c>
      <c r="C38" s="343" t="s">
        <v>2130</v>
      </c>
      <c r="D38" s="183">
        <v>15</v>
      </c>
      <c r="E38" s="641" t="s">
        <v>2155</v>
      </c>
      <c r="F38" s="333">
        <v>44795</v>
      </c>
      <c r="G38" s="314" t="s">
        <v>2132</v>
      </c>
      <c r="H38" s="109" t="s">
        <v>1905</v>
      </c>
      <c r="I38" s="395">
        <v>15</v>
      </c>
      <c r="J38" s="390">
        <v>20</v>
      </c>
      <c r="K38" s="390">
        <v>30</v>
      </c>
      <c r="L38" s="630">
        <v>-10</v>
      </c>
      <c r="M38" s="335">
        <v>70</v>
      </c>
      <c r="N38" s="335">
        <v>70</v>
      </c>
      <c r="O38" s="335">
        <v>1</v>
      </c>
      <c r="P38" s="335">
        <v>1</v>
      </c>
      <c r="Q38" s="183" t="s">
        <v>2133</v>
      </c>
      <c r="R38" s="335" t="s">
        <v>1921</v>
      </c>
      <c r="S38" s="766"/>
      <c r="T38" s="668">
        <v>16.25</v>
      </c>
      <c r="U38" s="401">
        <v>0</v>
      </c>
      <c r="V38" s="129" t="s">
        <v>749</v>
      </c>
      <c r="W38" s="132" t="s">
        <v>749</v>
      </c>
      <c r="X38" s="426">
        <v>0</v>
      </c>
      <c r="Y38" s="409">
        <v>1</v>
      </c>
      <c r="Z38" s="435">
        <v>0</v>
      </c>
      <c r="AA38" s="407"/>
      <c r="AB38" s="431"/>
      <c r="AC38" s="413">
        <v>0</v>
      </c>
      <c r="AD38" s="132">
        <v>0</v>
      </c>
      <c r="AE38" s="431">
        <v>3</v>
      </c>
      <c r="AF38" s="586" t="s">
        <v>2139</v>
      </c>
    </row>
    <row r="39" spans="1:32" s="663" customFormat="1" ht="33.6" customHeight="1" thickTop="1" thickBot="1">
      <c r="A39" s="342" t="s">
        <v>1906</v>
      </c>
      <c r="B39" s="179">
        <v>2</v>
      </c>
      <c r="C39" s="343" t="s">
        <v>2130</v>
      </c>
      <c r="D39" s="183">
        <v>16</v>
      </c>
      <c r="E39" s="641" t="s">
        <v>2156</v>
      </c>
      <c r="F39" s="333"/>
      <c r="G39" s="314"/>
      <c r="H39" s="109"/>
      <c r="I39" s="395"/>
      <c r="J39" s="390" t="s">
        <v>720</v>
      </c>
      <c r="K39" s="390">
        <v>40</v>
      </c>
      <c r="L39" s="630"/>
      <c r="M39" s="335"/>
      <c r="N39" s="335"/>
      <c r="O39" s="335"/>
      <c r="P39" s="335"/>
      <c r="Q39" s="183"/>
      <c r="R39" s="335"/>
      <c r="S39" s="766"/>
      <c r="T39" s="668"/>
      <c r="U39" s="401"/>
      <c r="V39" s="129"/>
      <c r="W39" s="132"/>
      <c r="X39" s="426"/>
      <c r="Y39" s="409"/>
      <c r="Z39" s="435"/>
      <c r="AA39" s="407"/>
      <c r="AB39" s="431"/>
      <c r="AC39" s="413"/>
      <c r="AD39" s="132"/>
      <c r="AE39" s="431"/>
      <c r="AF39" s="586"/>
    </row>
    <row r="40" spans="1:32" s="663" customFormat="1" ht="33.6" customHeight="1" thickTop="1" thickBot="1">
      <c r="A40" s="342" t="s">
        <v>1906</v>
      </c>
      <c r="B40" s="179">
        <v>2</v>
      </c>
      <c r="C40" s="343" t="s">
        <v>2130</v>
      </c>
      <c r="D40" s="183">
        <v>17</v>
      </c>
      <c r="E40" s="641" t="s">
        <v>2157</v>
      </c>
      <c r="F40" s="333"/>
      <c r="G40" s="314"/>
      <c r="H40" s="109"/>
      <c r="I40" s="395"/>
      <c r="J40" s="390" t="s">
        <v>720</v>
      </c>
      <c r="K40" s="390">
        <v>30</v>
      </c>
      <c r="L40" s="630"/>
      <c r="M40" s="335"/>
      <c r="N40" s="335"/>
      <c r="O40" s="335"/>
      <c r="P40" s="335"/>
      <c r="Q40" s="183"/>
      <c r="R40" s="335"/>
      <c r="S40" s="766"/>
      <c r="T40" s="668"/>
      <c r="U40" s="401"/>
      <c r="V40" s="129"/>
      <c r="W40" s="132"/>
      <c r="X40" s="426"/>
      <c r="Y40" s="409"/>
      <c r="Z40" s="435"/>
      <c r="AA40" s="407"/>
      <c r="AB40" s="431"/>
      <c r="AC40" s="413"/>
      <c r="AD40" s="132"/>
      <c r="AE40" s="431"/>
      <c r="AF40" s="586"/>
    </row>
    <row r="41" spans="1:32" s="663" customFormat="1" ht="33.6" customHeight="1" thickTop="1" thickBot="1">
      <c r="A41" s="342" t="s">
        <v>1906</v>
      </c>
      <c r="B41" s="179">
        <v>2</v>
      </c>
      <c r="C41" s="343" t="s">
        <v>2130</v>
      </c>
      <c r="D41" s="183">
        <v>18</v>
      </c>
      <c r="E41" s="641" t="s">
        <v>2158</v>
      </c>
      <c r="F41" s="333"/>
      <c r="G41" s="314"/>
      <c r="H41" s="109"/>
      <c r="I41" s="395"/>
      <c r="J41" s="390" t="s">
        <v>720</v>
      </c>
      <c r="K41" s="390">
        <v>20</v>
      </c>
      <c r="L41" s="630"/>
      <c r="M41" s="335"/>
      <c r="N41" s="335"/>
      <c r="O41" s="335"/>
      <c r="P41" s="335"/>
      <c r="Q41" s="183"/>
      <c r="R41" s="335"/>
      <c r="S41" s="766"/>
      <c r="T41" s="668"/>
      <c r="U41" s="401"/>
      <c r="V41" s="129"/>
      <c r="W41" s="132"/>
      <c r="X41" s="426"/>
      <c r="Y41" s="409"/>
      <c r="Z41" s="435"/>
      <c r="AA41" s="407"/>
      <c r="AB41" s="431"/>
      <c r="AC41" s="413"/>
      <c r="AD41" s="132"/>
      <c r="AE41" s="431"/>
      <c r="AF41" s="586"/>
    </row>
    <row r="42" spans="1:32" s="663" customFormat="1" ht="33.6" customHeight="1" thickTop="1" thickBot="1">
      <c r="A42" s="342" t="s">
        <v>1906</v>
      </c>
      <c r="B42" s="179">
        <v>2</v>
      </c>
      <c r="C42" s="343" t="s">
        <v>2130</v>
      </c>
      <c r="D42" s="183">
        <v>19</v>
      </c>
      <c r="E42" s="641" t="s">
        <v>2159</v>
      </c>
      <c r="F42" s="333">
        <v>44790</v>
      </c>
      <c r="G42" s="314" t="s">
        <v>2132</v>
      </c>
      <c r="H42" s="109" t="s">
        <v>1905</v>
      </c>
      <c r="I42" s="395">
        <v>15</v>
      </c>
      <c r="J42" s="390">
        <v>70</v>
      </c>
      <c r="K42" s="390">
        <v>60</v>
      </c>
      <c r="L42" s="630">
        <v>10</v>
      </c>
      <c r="M42" s="335">
        <v>20</v>
      </c>
      <c r="N42" s="335">
        <v>20</v>
      </c>
      <c r="O42" s="335">
        <v>1</v>
      </c>
      <c r="P42" s="335">
        <v>1</v>
      </c>
      <c r="Q42" s="183" t="s">
        <v>2133</v>
      </c>
      <c r="R42" s="335" t="s">
        <v>1913</v>
      </c>
      <c r="S42" s="766"/>
      <c r="T42" s="668">
        <v>64.285714285714292</v>
      </c>
      <c r="U42" s="401">
        <v>0</v>
      </c>
      <c r="V42" s="129" t="s">
        <v>749</v>
      </c>
      <c r="W42" s="132" t="s">
        <v>749</v>
      </c>
      <c r="X42" s="426">
        <v>0</v>
      </c>
      <c r="Y42" s="409">
        <v>1</v>
      </c>
      <c r="Z42" s="435">
        <v>0</v>
      </c>
      <c r="AA42" s="407"/>
      <c r="AB42" s="431"/>
      <c r="AC42" s="413">
        <v>0</v>
      </c>
      <c r="AD42" s="132">
        <v>0</v>
      </c>
      <c r="AE42" s="431">
        <v>2</v>
      </c>
      <c r="AF42" s="586" t="s">
        <v>2139</v>
      </c>
    </row>
    <row r="43" spans="1:32" s="663" customFormat="1" ht="33.6" customHeight="1" thickTop="1" thickBot="1">
      <c r="A43" s="342" t="s">
        <v>1906</v>
      </c>
      <c r="B43" s="179">
        <v>2</v>
      </c>
      <c r="C43" s="343" t="s">
        <v>2130</v>
      </c>
      <c r="D43" s="183">
        <v>20</v>
      </c>
      <c r="E43" s="641" t="s">
        <v>2160</v>
      </c>
      <c r="F43" s="333">
        <v>44800</v>
      </c>
      <c r="G43" s="314" t="s">
        <v>2132</v>
      </c>
      <c r="H43" s="109" t="s">
        <v>1713</v>
      </c>
      <c r="I43" s="395">
        <v>15</v>
      </c>
      <c r="J43" s="390">
        <v>40</v>
      </c>
      <c r="K43" s="390"/>
      <c r="L43" s="630"/>
      <c r="M43" s="335">
        <v>80</v>
      </c>
      <c r="N43" s="335">
        <v>50</v>
      </c>
      <c r="O43" s="335">
        <v>10</v>
      </c>
      <c r="P43" s="335">
        <v>1</v>
      </c>
      <c r="Q43" s="183" t="s">
        <v>1922</v>
      </c>
      <c r="R43" s="335" t="s">
        <v>1917</v>
      </c>
      <c r="S43" s="766"/>
      <c r="T43" s="668"/>
      <c r="U43" s="401">
        <v>0</v>
      </c>
      <c r="V43" s="129" t="s">
        <v>749</v>
      </c>
      <c r="W43" s="132" t="s">
        <v>749</v>
      </c>
      <c r="X43" s="426">
        <v>0</v>
      </c>
      <c r="Y43" s="409">
        <v>1</v>
      </c>
      <c r="Z43" s="435">
        <v>0</v>
      </c>
      <c r="AA43" s="407"/>
      <c r="AB43" s="431"/>
      <c r="AC43" s="413">
        <v>0</v>
      </c>
      <c r="AD43" s="132">
        <v>0</v>
      </c>
      <c r="AE43" s="431">
        <v>10</v>
      </c>
      <c r="AF43" s="586" t="s">
        <v>1924</v>
      </c>
    </row>
    <row r="44" spans="1:32" s="663" customFormat="1" ht="33.6" customHeight="1" thickTop="1" thickBot="1">
      <c r="A44" s="342" t="s">
        <v>1906</v>
      </c>
      <c r="B44" s="179">
        <v>2</v>
      </c>
      <c r="C44" s="343" t="s">
        <v>2130</v>
      </c>
      <c r="D44" s="183">
        <v>21</v>
      </c>
      <c r="E44" s="641" t="s">
        <v>2161</v>
      </c>
      <c r="F44" s="333">
        <v>44800</v>
      </c>
      <c r="G44" s="314" t="s">
        <v>2132</v>
      </c>
      <c r="H44" s="109" t="s">
        <v>1905</v>
      </c>
      <c r="I44" s="395">
        <v>15</v>
      </c>
      <c r="J44" s="390">
        <v>70</v>
      </c>
      <c r="K44" s="390"/>
      <c r="L44" s="630"/>
      <c r="M44" s="335">
        <v>80</v>
      </c>
      <c r="N44" s="335">
        <v>70</v>
      </c>
      <c r="O44" s="335">
        <v>5</v>
      </c>
      <c r="P44" s="335">
        <v>5</v>
      </c>
      <c r="Q44" s="183" t="s">
        <v>2133</v>
      </c>
      <c r="R44" s="335" t="s">
        <v>1923</v>
      </c>
      <c r="S44" s="766"/>
      <c r="T44" s="668">
        <v>119</v>
      </c>
      <c r="U44" s="401">
        <v>0</v>
      </c>
      <c r="V44" s="129" t="s">
        <v>749</v>
      </c>
      <c r="W44" s="132" t="s">
        <v>749</v>
      </c>
      <c r="X44" s="426">
        <v>0</v>
      </c>
      <c r="Y44" s="409">
        <v>1</v>
      </c>
      <c r="Z44" s="435">
        <v>0</v>
      </c>
      <c r="AA44" s="407"/>
      <c r="AB44" s="431"/>
      <c r="AC44" s="413">
        <v>0</v>
      </c>
      <c r="AD44" s="132">
        <v>0</v>
      </c>
      <c r="AE44" s="431">
        <v>2</v>
      </c>
      <c r="AF44" s="586" t="s">
        <v>1924</v>
      </c>
    </row>
    <row r="45" spans="1:32" s="663" customFormat="1" ht="33.6" customHeight="1" thickTop="1" thickBot="1">
      <c r="A45" s="342" t="s">
        <v>1906</v>
      </c>
      <c r="B45" s="179">
        <v>2</v>
      </c>
      <c r="C45" s="343" t="s">
        <v>2130</v>
      </c>
      <c r="D45" s="183">
        <v>22</v>
      </c>
      <c r="E45" s="641" t="s">
        <v>2162</v>
      </c>
      <c r="F45" s="333"/>
      <c r="G45" s="314"/>
      <c r="H45" s="109"/>
      <c r="I45" s="395"/>
      <c r="J45" s="390" t="s">
        <v>720</v>
      </c>
      <c r="K45" s="390">
        <v>80</v>
      </c>
      <c r="L45" s="630"/>
      <c r="M45" s="335"/>
      <c r="N45" s="335"/>
      <c r="O45" s="335"/>
      <c r="P45" s="335"/>
      <c r="Q45" s="183"/>
      <c r="R45" s="335"/>
      <c r="S45" s="766"/>
      <c r="T45" s="668"/>
      <c r="U45" s="401"/>
      <c r="V45" s="129"/>
      <c r="W45" s="132"/>
      <c r="X45" s="426"/>
      <c r="Y45" s="409"/>
      <c r="Z45" s="435"/>
      <c r="AA45" s="407"/>
      <c r="AB45" s="431"/>
      <c r="AC45" s="413"/>
      <c r="AD45" s="132"/>
      <c r="AE45" s="431"/>
      <c r="AF45" s="586"/>
    </row>
    <row r="46" spans="1:32" s="663" customFormat="1" ht="33.6" customHeight="1" thickTop="1" thickBot="1">
      <c r="A46" s="342" t="s">
        <v>1906</v>
      </c>
      <c r="B46" s="179">
        <v>2</v>
      </c>
      <c r="C46" s="343" t="s">
        <v>2130</v>
      </c>
      <c r="D46" s="183">
        <v>23</v>
      </c>
      <c r="E46" s="641" t="s">
        <v>2163</v>
      </c>
      <c r="F46" s="333"/>
      <c r="G46" s="314"/>
      <c r="H46" s="109"/>
      <c r="I46" s="395"/>
      <c r="J46" s="390" t="s">
        <v>720</v>
      </c>
      <c r="K46" s="390">
        <v>10</v>
      </c>
      <c r="L46" s="630"/>
      <c r="M46" s="335"/>
      <c r="N46" s="335"/>
      <c r="O46" s="335"/>
      <c r="P46" s="335"/>
      <c r="Q46" s="183"/>
      <c r="R46" s="335"/>
      <c r="S46" s="766"/>
      <c r="T46" s="668"/>
      <c r="U46" s="401"/>
      <c r="V46" s="129"/>
      <c r="W46" s="132"/>
      <c r="X46" s="426"/>
      <c r="Y46" s="409"/>
      <c r="Z46" s="435"/>
      <c r="AA46" s="407"/>
      <c r="AB46" s="431"/>
      <c r="AC46" s="413"/>
      <c r="AD46" s="132"/>
      <c r="AE46" s="431"/>
      <c r="AF46" s="586"/>
    </row>
    <row r="47" spans="1:32" s="663" customFormat="1" ht="33.6" customHeight="1" thickTop="1" thickBot="1">
      <c r="A47" s="342" t="s">
        <v>1906</v>
      </c>
      <c r="B47" s="179">
        <v>2</v>
      </c>
      <c r="C47" s="343" t="s">
        <v>2130</v>
      </c>
      <c r="D47" s="183">
        <v>24</v>
      </c>
      <c r="E47" s="641" t="s">
        <v>118</v>
      </c>
      <c r="F47" s="333">
        <v>44794</v>
      </c>
      <c r="G47" s="314" t="s">
        <v>2151</v>
      </c>
      <c r="H47" s="109" t="s">
        <v>1905</v>
      </c>
      <c r="I47" s="395">
        <v>15</v>
      </c>
      <c r="J47" s="390">
        <v>70</v>
      </c>
      <c r="K47" s="390">
        <v>40</v>
      </c>
      <c r="L47" s="630">
        <v>30</v>
      </c>
      <c r="M47" s="335">
        <v>80</v>
      </c>
      <c r="N47" s="335">
        <v>80</v>
      </c>
      <c r="O47" s="335">
        <v>5</v>
      </c>
      <c r="P47" s="335">
        <v>5</v>
      </c>
      <c r="Q47" s="183" t="s">
        <v>2164</v>
      </c>
      <c r="R47" s="335" t="s">
        <v>1917</v>
      </c>
      <c r="S47" s="766"/>
      <c r="T47" s="668">
        <v>208</v>
      </c>
      <c r="U47" s="401">
        <v>0</v>
      </c>
      <c r="V47" s="129" t="s">
        <v>749</v>
      </c>
      <c r="W47" s="132" t="s">
        <v>749</v>
      </c>
      <c r="X47" s="426">
        <v>0</v>
      </c>
      <c r="Y47" s="409">
        <v>2</v>
      </c>
      <c r="Z47" s="435" t="s">
        <v>1925</v>
      </c>
      <c r="AA47" s="407"/>
      <c r="AB47" s="431"/>
      <c r="AC47" s="413">
        <v>0</v>
      </c>
      <c r="AD47" s="132">
        <v>0</v>
      </c>
      <c r="AE47" s="431">
        <v>8</v>
      </c>
      <c r="AF47" s="586" t="s">
        <v>1924</v>
      </c>
    </row>
    <row r="48" spans="1:32" s="663" customFormat="1" ht="33.6" customHeight="1" thickTop="1">
      <c r="A48" s="342" t="s">
        <v>1906</v>
      </c>
      <c r="B48" s="179">
        <v>2</v>
      </c>
      <c r="C48" s="343" t="s">
        <v>2130</v>
      </c>
      <c r="D48" s="183">
        <v>25</v>
      </c>
      <c r="E48" s="641" t="s">
        <v>120</v>
      </c>
      <c r="F48" s="333">
        <v>44790</v>
      </c>
      <c r="G48" s="314" t="s">
        <v>2132</v>
      </c>
      <c r="H48" s="109" t="s">
        <v>1905</v>
      </c>
      <c r="I48" s="395">
        <v>15</v>
      </c>
      <c r="J48" s="390">
        <v>80</v>
      </c>
      <c r="K48" s="390">
        <v>70</v>
      </c>
      <c r="L48" s="630">
        <v>10</v>
      </c>
      <c r="M48" s="335">
        <v>40</v>
      </c>
      <c r="N48" s="335">
        <v>40</v>
      </c>
      <c r="O48" s="335">
        <v>1</v>
      </c>
      <c r="P48" s="335">
        <v>1</v>
      </c>
      <c r="Q48" s="183" t="s">
        <v>2133</v>
      </c>
      <c r="R48" s="335" t="s">
        <v>1913</v>
      </c>
      <c r="S48" s="766"/>
      <c r="T48" s="668">
        <v>81.428571428571431</v>
      </c>
      <c r="U48" s="401">
        <v>0</v>
      </c>
      <c r="V48" s="129" t="s">
        <v>749</v>
      </c>
      <c r="W48" s="132" t="s">
        <v>749</v>
      </c>
      <c r="X48" s="426">
        <v>0</v>
      </c>
      <c r="Y48" s="409">
        <v>1</v>
      </c>
      <c r="Z48" s="435">
        <v>0</v>
      </c>
      <c r="AA48" s="407"/>
      <c r="AB48" s="431"/>
      <c r="AC48" s="413">
        <v>0</v>
      </c>
      <c r="AD48" s="132">
        <v>0</v>
      </c>
      <c r="AE48" s="431">
        <v>8</v>
      </c>
      <c r="AF48" s="586" t="s">
        <v>2139</v>
      </c>
    </row>
    <row r="49" spans="1:32" s="663" customFormat="1" ht="33.6" customHeight="1">
      <c r="A49" s="342" t="s">
        <v>1906</v>
      </c>
      <c r="B49" s="179">
        <v>2</v>
      </c>
      <c r="C49" s="343" t="s">
        <v>2130</v>
      </c>
      <c r="D49" s="664">
        <v>26</v>
      </c>
      <c r="E49" s="670" t="s">
        <v>2165</v>
      </c>
      <c r="F49" s="333">
        <v>44798</v>
      </c>
      <c r="G49" s="314" t="s">
        <v>2132</v>
      </c>
      <c r="H49" s="109" t="s">
        <v>1713</v>
      </c>
      <c r="I49" s="395">
        <v>15</v>
      </c>
      <c r="J49" s="390">
        <v>40</v>
      </c>
      <c r="K49" s="390"/>
      <c r="L49" s="390"/>
      <c r="M49" s="335">
        <v>40</v>
      </c>
      <c r="N49" s="335">
        <v>10</v>
      </c>
      <c r="O49" s="335">
        <v>1</v>
      </c>
      <c r="P49" s="335">
        <v>0</v>
      </c>
      <c r="Q49" s="183" t="s">
        <v>2166</v>
      </c>
      <c r="R49" s="335" t="s">
        <v>1917</v>
      </c>
      <c r="S49" s="766"/>
      <c r="T49" s="668">
        <v>50.555555555555557</v>
      </c>
      <c r="U49" s="401">
        <v>0</v>
      </c>
      <c r="V49" s="129" t="s">
        <v>749</v>
      </c>
      <c r="W49" s="132" t="s">
        <v>749</v>
      </c>
      <c r="X49" s="426">
        <v>0</v>
      </c>
      <c r="Y49" s="409">
        <v>1</v>
      </c>
      <c r="Z49" s="435">
        <v>0</v>
      </c>
      <c r="AA49" s="407"/>
      <c r="AB49" s="431"/>
      <c r="AC49" s="413">
        <v>0</v>
      </c>
      <c r="AD49" s="132">
        <v>0</v>
      </c>
      <c r="AE49" s="431">
        <v>3</v>
      </c>
      <c r="AF49" s="586" t="s">
        <v>1924</v>
      </c>
    </row>
    <row r="50" spans="1:32" s="663" customFormat="1" ht="33.6" customHeight="1">
      <c r="A50" s="342" t="s">
        <v>1906</v>
      </c>
      <c r="B50" s="179">
        <v>2</v>
      </c>
      <c r="C50" s="343" t="s">
        <v>2130</v>
      </c>
      <c r="D50" s="664">
        <v>27</v>
      </c>
      <c r="E50" s="670" t="s">
        <v>2167</v>
      </c>
      <c r="F50" s="333">
        <v>44800</v>
      </c>
      <c r="G50" s="314" t="s">
        <v>2132</v>
      </c>
      <c r="H50" s="109" t="s">
        <v>1713</v>
      </c>
      <c r="I50" s="395">
        <v>15</v>
      </c>
      <c r="J50" s="390">
        <v>80</v>
      </c>
      <c r="K50" s="390"/>
      <c r="L50" s="390"/>
      <c r="M50" s="335">
        <v>10</v>
      </c>
      <c r="N50" s="335">
        <v>10</v>
      </c>
      <c r="O50" s="335">
        <v>1</v>
      </c>
      <c r="P50" s="335">
        <v>1</v>
      </c>
      <c r="Q50" s="183" t="s">
        <v>2136</v>
      </c>
      <c r="R50" s="335" t="s">
        <v>1913</v>
      </c>
      <c r="S50" s="766"/>
      <c r="T50" s="668">
        <v>221</v>
      </c>
      <c r="U50" s="401">
        <v>0</v>
      </c>
      <c r="V50" s="129" t="s">
        <v>749</v>
      </c>
      <c r="W50" s="132" t="s">
        <v>749</v>
      </c>
      <c r="X50" s="426">
        <v>0</v>
      </c>
      <c r="Y50" s="409">
        <v>2</v>
      </c>
      <c r="Z50" s="435" t="s">
        <v>1925</v>
      </c>
      <c r="AA50" s="407"/>
      <c r="AB50" s="431"/>
      <c r="AC50" s="413">
        <v>0</v>
      </c>
      <c r="AD50" s="132">
        <v>2</v>
      </c>
      <c r="AE50" s="431">
        <v>2</v>
      </c>
      <c r="AF50" s="586" t="s">
        <v>1924</v>
      </c>
    </row>
    <row r="51" spans="1:32" s="663" customFormat="1" ht="33.6" customHeight="1">
      <c r="A51" s="342" t="s">
        <v>1906</v>
      </c>
      <c r="B51" s="179">
        <v>2</v>
      </c>
      <c r="C51" s="343" t="s">
        <v>2130</v>
      </c>
      <c r="D51" s="664">
        <v>28</v>
      </c>
      <c r="E51" s="670" t="s">
        <v>2168</v>
      </c>
      <c r="F51" s="333">
        <v>44800</v>
      </c>
      <c r="G51" s="314" t="s">
        <v>2132</v>
      </c>
      <c r="H51" s="109" t="s">
        <v>1905</v>
      </c>
      <c r="I51" s="395">
        <v>15</v>
      </c>
      <c r="J51" s="390">
        <v>80</v>
      </c>
      <c r="K51" s="390"/>
      <c r="L51" s="390"/>
      <c r="M51" s="335">
        <v>60</v>
      </c>
      <c r="N51" s="335">
        <v>60</v>
      </c>
      <c r="O51" s="335">
        <v>5</v>
      </c>
      <c r="P51" s="335">
        <v>1</v>
      </c>
      <c r="Q51" s="183" t="s">
        <v>2169</v>
      </c>
      <c r="R51" s="335" t="s">
        <v>1923</v>
      </c>
      <c r="S51" s="766"/>
      <c r="T51" s="668">
        <v>241</v>
      </c>
      <c r="U51" s="401">
        <v>0</v>
      </c>
      <c r="V51" s="129" t="s">
        <v>749</v>
      </c>
      <c r="W51" s="132" t="s">
        <v>749</v>
      </c>
      <c r="X51" s="426">
        <v>0</v>
      </c>
      <c r="Y51" s="409">
        <v>1</v>
      </c>
      <c r="Z51" s="435">
        <v>0</v>
      </c>
      <c r="AA51" s="407"/>
      <c r="AB51" s="431"/>
      <c r="AC51" s="413">
        <v>0</v>
      </c>
      <c r="AD51" s="132">
        <v>0</v>
      </c>
      <c r="AE51" s="431">
        <v>2</v>
      </c>
      <c r="AF51" s="586" t="s">
        <v>1924</v>
      </c>
    </row>
    <row r="52" spans="1:32" s="663" customFormat="1" ht="33.6" customHeight="1">
      <c r="A52" s="342" t="s">
        <v>1906</v>
      </c>
      <c r="B52" s="179">
        <v>2</v>
      </c>
      <c r="C52" s="343" t="s">
        <v>2130</v>
      </c>
      <c r="D52" s="664">
        <v>29</v>
      </c>
      <c r="E52" s="670" t="s">
        <v>2170</v>
      </c>
      <c r="F52" s="333">
        <v>44800</v>
      </c>
      <c r="G52" s="314" t="s">
        <v>2132</v>
      </c>
      <c r="H52" s="109" t="s">
        <v>1905</v>
      </c>
      <c r="I52" s="395">
        <v>15</v>
      </c>
      <c r="J52" s="390">
        <v>80</v>
      </c>
      <c r="K52" s="390"/>
      <c r="L52" s="390"/>
      <c r="M52" s="335">
        <v>60</v>
      </c>
      <c r="N52" s="335">
        <v>60</v>
      </c>
      <c r="O52" s="335">
        <v>1</v>
      </c>
      <c r="P52" s="335">
        <v>1</v>
      </c>
      <c r="Q52" s="183" t="s">
        <v>2169</v>
      </c>
      <c r="R52" s="335" t="s">
        <v>1913</v>
      </c>
      <c r="S52" s="766"/>
      <c r="T52" s="668">
        <v>169</v>
      </c>
      <c r="U52" s="401">
        <v>0</v>
      </c>
      <c r="V52" s="129" t="s">
        <v>749</v>
      </c>
      <c r="W52" s="132" t="s">
        <v>749</v>
      </c>
      <c r="X52" s="426">
        <v>0</v>
      </c>
      <c r="Y52" s="409">
        <v>1</v>
      </c>
      <c r="Z52" s="435">
        <v>0</v>
      </c>
      <c r="AA52" s="407"/>
      <c r="AB52" s="431"/>
      <c r="AC52" s="413">
        <v>1</v>
      </c>
      <c r="AD52" s="132">
        <v>0</v>
      </c>
      <c r="AE52" s="431">
        <v>4</v>
      </c>
      <c r="AF52" s="586" t="s">
        <v>1924</v>
      </c>
    </row>
    <row r="53" spans="1:32" s="663" customFormat="1" ht="33.6" customHeight="1">
      <c r="A53" s="342" t="s">
        <v>1906</v>
      </c>
      <c r="B53" s="179">
        <v>2</v>
      </c>
      <c r="C53" s="343" t="s">
        <v>2130</v>
      </c>
      <c r="D53" s="664">
        <v>30</v>
      </c>
      <c r="E53" s="670" t="s">
        <v>2171</v>
      </c>
      <c r="F53" s="333">
        <v>44800</v>
      </c>
      <c r="G53" s="314" t="s">
        <v>2132</v>
      </c>
      <c r="H53" s="109" t="s">
        <v>1905</v>
      </c>
      <c r="I53" s="395">
        <v>15</v>
      </c>
      <c r="J53" s="390">
        <v>20</v>
      </c>
      <c r="K53" s="390"/>
      <c r="L53" s="390"/>
      <c r="M53" s="335">
        <v>30</v>
      </c>
      <c r="N53" s="335">
        <v>30</v>
      </c>
      <c r="O53" s="335">
        <v>1</v>
      </c>
      <c r="P53" s="335">
        <v>1</v>
      </c>
      <c r="Q53" s="183" t="s">
        <v>2133</v>
      </c>
      <c r="R53" s="335" t="s">
        <v>1918</v>
      </c>
      <c r="S53" s="766"/>
      <c r="T53" s="668">
        <v>41.666666666666664</v>
      </c>
      <c r="U53" s="401">
        <v>0</v>
      </c>
      <c r="V53" s="129" t="s">
        <v>749</v>
      </c>
      <c r="W53" s="132" t="s">
        <v>749</v>
      </c>
      <c r="X53" s="426">
        <v>0</v>
      </c>
      <c r="Y53" s="409">
        <v>1</v>
      </c>
      <c r="Z53" s="435">
        <v>0</v>
      </c>
      <c r="AA53" s="407"/>
      <c r="AB53" s="431"/>
      <c r="AC53" s="413">
        <v>0</v>
      </c>
      <c r="AD53" s="132">
        <v>0</v>
      </c>
      <c r="AE53" s="431">
        <v>4</v>
      </c>
      <c r="AF53" s="586" t="s">
        <v>1924</v>
      </c>
    </row>
    <row r="54" spans="1:32" s="285" customFormat="1" ht="33.6" customHeight="1" thickBot="1">
      <c r="A54" s="642" t="s">
        <v>1906</v>
      </c>
      <c r="B54" s="643">
        <v>2</v>
      </c>
      <c r="C54" s="644" t="s">
        <v>2130</v>
      </c>
      <c r="D54" s="665">
        <v>31</v>
      </c>
      <c r="E54" s="671" t="s">
        <v>2172</v>
      </c>
      <c r="F54" s="645">
        <v>44801</v>
      </c>
      <c r="G54" s="646" t="s">
        <v>2132</v>
      </c>
      <c r="H54" s="647" t="s">
        <v>1905</v>
      </c>
      <c r="I54" s="648">
        <v>15</v>
      </c>
      <c r="J54" s="649">
        <v>70</v>
      </c>
      <c r="K54" s="649"/>
      <c r="L54" s="649"/>
      <c r="M54" s="650">
        <v>80</v>
      </c>
      <c r="N54" s="650">
        <v>80</v>
      </c>
      <c r="O54" s="650">
        <v>1</v>
      </c>
      <c r="P54" s="650">
        <v>1</v>
      </c>
      <c r="Q54" s="651" t="s">
        <v>2136</v>
      </c>
      <c r="R54" s="650" t="s">
        <v>1919</v>
      </c>
      <c r="S54" s="771"/>
      <c r="T54" s="669">
        <v>204</v>
      </c>
      <c r="U54" s="652">
        <v>0</v>
      </c>
      <c r="V54" s="653" t="s">
        <v>749</v>
      </c>
      <c r="W54" s="654" t="s">
        <v>749</v>
      </c>
      <c r="X54" s="655">
        <v>0</v>
      </c>
      <c r="Y54" s="656">
        <v>1</v>
      </c>
      <c r="Z54" s="657">
        <v>0</v>
      </c>
      <c r="AA54" s="700"/>
      <c r="AB54" s="659"/>
      <c r="AC54" s="658">
        <v>1</v>
      </c>
      <c r="AD54" s="654">
        <v>0</v>
      </c>
      <c r="AE54" s="659">
        <v>5</v>
      </c>
      <c r="AF54" s="660" t="s">
        <v>1924</v>
      </c>
    </row>
    <row r="55" spans="1:32" ht="27" customHeight="1" thickTop="1">
      <c r="A55" s="382" t="s">
        <v>2173</v>
      </c>
      <c r="B55" s="383">
        <v>3</v>
      </c>
      <c r="C55" s="382" t="s">
        <v>2174</v>
      </c>
      <c r="D55" s="456">
        <v>1</v>
      </c>
      <c r="E55" s="470" t="s">
        <v>2175</v>
      </c>
      <c r="F55" s="537">
        <v>44875</v>
      </c>
      <c r="G55" s="311" t="s">
        <v>2176</v>
      </c>
      <c r="H55" s="311" t="s">
        <v>1905</v>
      </c>
      <c r="I55" s="394">
        <v>15</v>
      </c>
      <c r="J55" s="389">
        <v>50</v>
      </c>
      <c r="K55" s="389">
        <v>50</v>
      </c>
      <c r="L55" s="389">
        <v>0</v>
      </c>
      <c r="M55" s="550">
        <v>0</v>
      </c>
      <c r="N55" s="550">
        <v>0</v>
      </c>
      <c r="O55" s="550">
        <v>0</v>
      </c>
      <c r="P55" s="550">
        <v>0</v>
      </c>
      <c r="Q55" s="311" t="s">
        <v>2177</v>
      </c>
      <c r="R55" s="550">
        <v>2</v>
      </c>
      <c r="S55" s="772"/>
      <c r="T55" s="551">
        <v>56</v>
      </c>
      <c r="U55" s="523">
        <v>0</v>
      </c>
      <c r="V55" s="138" t="s">
        <v>749</v>
      </c>
      <c r="W55" s="141" t="s">
        <v>749</v>
      </c>
      <c r="X55" s="425">
        <v>0</v>
      </c>
      <c r="Y55" s="408">
        <v>1</v>
      </c>
      <c r="Z55" s="434">
        <v>0</v>
      </c>
      <c r="AA55" s="588"/>
      <c r="AB55" s="464"/>
      <c r="AC55" s="524"/>
      <c r="AD55" s="141"/>
      <c r="AE55" s="464"/>
      <c r="AF55" s="585"/>
    </row>
    <row r="56" spans="1:32" ht="27" customHeight="1">
      <c r="A56" s="331" t="s">
        <v>2173</v>
      </c>
      <c r="B56" s="332">
        <v>3</v>
      </c>
      <c r="C56" s="331" t="s">
        <v>2174</v>
      </c>
      <c r="D56" s="340">
        <v>2</v>
      </c>
      <c r="E56" s="341" t="s">
        <v>129</v>
      </c>
      <c r="F56" s="344">
        <v>44797</v>
      </c>
      <c r="G56" s="314" t="s">
        <v>1710</v>
      </c>
      <c r="H56" s="314" t="s">
        <v>1905</v>
      </c>
      <c r="I56" s="395">
        <v>15</v>
      </c>
      <c r="J56" s="390">
        <v>40</v>
      </c>
      <c r="K56" s="390">
        <v>40</v>
      </c>
      <c r="L56" s="389">
        <v>0</v>
      </c>
      <c r="M56" s="345">
        <v>80</v>
      </c>
      <c r="N56" s="345">
        <v>80</v>
      </c>
      <c r="O56" s="345">
        <v>0</v>
      </c>
      <c r="P56" s="345">
        <v>0</v>
      </c>
      <c r="Q56" s="183" t="s">
        <v>1707</v>
      </c>
      <c r="R56" s="345">
        <v>0</v>
      </c>
      <c r="S56" s="773"/>
      <c r="T56" s="428" t="s">
        <v>749</v>
      </c>
      <c r="U56" s="392">
        <v>0</v>
      </c>
      <c r="V56" s="129" t="s">
        <v>749</v>
      </c>
      <c r="W56" s="132" t="s">
        <v>749</v>
      </c>
      <c r="X56" s="426">
        <v>0</v>
      </c>
      <c r="Y56" s="409">
        <v>1</v>
      </c>
      <c r="Z56" s="435">
        <v>0</v>
      </c>
      <c r="AA56" s="407"/>
      <c r="AB56" s="431"/>
      <c r="AC56" s="413"/>
      <c r="AD56" s="132"/>
      <c r="AE56" s="431"/>
      <c r="AF56" s="586"/>
    </row>
    <row r="57" spans="1:32" ht="27" customHeight="1">
      <c r="A57" s="331" t="s">
        <v>2173</v>
      </c>
      <c r="B57" s="332">
        <v>3</v>
      </c>
      <c r="C57" s="331" t="s">
        <v>2174</v>
      </c>
      <c r="D57" s="340">
        <v>3</v>
      </c>
      <c r="E57" s="341" t="s">
        <v>2178</v>
      </c>
      <c r="F57" s="344">
        <v>44797</v>
      </c>
      <c r="G57" s="314" t="s">
        <v>1710</v>
      </c>
      <c r="H57" s="314" t="s">
        <v>1905</v>
      </c>
      <c r="I57" s="395">
        <v>15</v>
      </c>
      <c r="J57" s="390">
        <v>80</v>
      </c>
      <c r="K57" s="390">
        <v>80</v>
      </c>
      <c r="L57" s="389">
        <v>0</v>
      </c>
      <c r="M57" s="345">
        <v>80</v>
      </c>
      <c r="N57" s="345">
        <v>80</v>
      </c>
      <c r="O57" s="345" t="s">
        <v>1711</v>
      </c>
      <c r="P57" s="345" t="s">
        <v>1711</v>
      </c>
      <c r="Q57" s="183" t="s">
        <v>1868</v>
      </c>
      <c r="R57" s="345">
        <v>0</v>
      </c>
      <c r="S57" s="773"/>
      <c r="T57" s="428" t="s">
        <v>749</v>
      </c>
      <c r="U57" s="392">
        <v>0</v>
      </c>
      <c r="V57" s="129" t="s">
        <v>749</v>
      </c>
      <c r="W57" s="132" t="s">
        <v>749</v>
      </c>
      <c r="X57" s="426">
        <v>0</v>
      </c>
      <c r="Y57" s="409">
        <v>1</v>
      </c>
      <c r="Z57" s="435">
        <v>0</v>
      </c>
      <c r="AA57" s="407"/>
      <c r="AB57" s="431"/>
      <c r="AC57" s="413"/>
      <c r="AD57" s="132"/>
      <c r="AE57" s="431"/>
      <c r="AF57" s="586"/>
    </row>
    <row r="58" spans="1:32" ht="27" customHeight="1">
      <c r="A58" s="331" t="s">
        <v>2173</v>
      </c>
      <c r="B58" s="332">
        <v>3</v>
      </c>
      <c r="C58" s="331" t="s">
        <v>2174</v>
      </c>
      <c r="D58" s="340">
        <v>4</v>
      </c>
      <c r="E58" s="341" t="s">
        <v>2179</v>
      </c>
      <c r="F58" s="344">
        <v>44837</v>
      </c>
      <c r="G58" s="314" t="s">
        <v>1710</v>
      </c>
      <c r="H58" s="314" t="s">
        <v>1905</v>
      </c>
      <c r="I58" s="395">
        <v>15</v>
      </c>
      <c r="J58" s="392" t="s">
        <v>1711</v>
      </c>
      <c r="K58" s="392">
        <v>2.5</v>
      </c>
      <c r="L58" s="389" t="e">
        <v>#VALUE!</v>
      </c>
      <c r="M58" s="345">
        <v>20</v>
      </c>
      <c r="N58" s="345">
        <v>50</v>
      </c>
      <c r="O58" s="345">
        <v>0</v>
      </c>
      <c r="P58" s="345">
        <v>0</v>
      </c>
      <c r="Q58" s="183" t="s">
        <v>1869</v>
      </c>
      <c r="R58" s="345">
        <v>0</v>
      </c>
      <c r="S58" s="773"/>
      <c r="T58" s="428" t="s">
        <v>749</v>
      </c>
      <c r="U58" s="392">
        <v>0</v>
      </c>
      <c r="V58" s="129" t="s">
        <v>749</v>
      </c>
      <c r="W58" s="132" t="s">
        <v>749</v>
      </c>
      <c r="X58" s="426">
        <v>0</v>
      </c>
      <c r="Y58" s="409">
        <v>1</v>
      </c>
      <c r="Z58" s="435">
        <v>0</v>
      </c>
      <c r="AA58" s="407"/>
      <c r="AB58" s="431"/>
      <c r="AC58" s="413"/>
      <c r="AD58" s="132"/>
      <c r="AE58" s="431"/>
      <c r="AF58" s="586"/>
    </row>
    <row r="59" spans="1:32" ht="27" customHeight="1">
      <c r="A59" s="331" t="s">
        <v>2173</v>
      </c>
      <c r="B59" s="332">
        <v>3</v>
      </c>
      <c r="C59" s="331" t="s">
        <v>2174</v>
      </c>
      <c r="D59" s="340">
        <v>5</v>
      </c>
      <c r="E59" s="341" t="s">
        <v>2180</v>
      </c>
      <c r="F59" s="344">
        <v>44837</v>
      </c>
      <c r="G59" s="314" t="s">
        <v>1710</v>
      </c>
      <c r="H59" s="314" t="s">
        <v>1905</v>
      </c>
      <c r="I59" s="395">
        <v>15</v>
      </c>
      <c r="J59" s="392" t="s">
        <v>1711</v>
      </c>
      <c r="K59" s="392">
        <v>2.5</v>
      </c>
      <c r="L59" s="389" t="e">
        <v>#VALUE!</v>
      </c>
      <c r="M59" s="345">
        <v>10</v>
      </c>
      <c r="N59" s="345">
        <v>0</v>
      </c>
      <c r="O59" s="345">
        <v>0</v>
      </c>
      <c r="P59" s="345">
        <v>0</v>
      </c>
      <c r="Q59" s="183" t="s">
        <v>1707</v>
      </c>
      <c r="R59" s="345">
        <v>0</v>
      </c>
      <c r="S59" s="773"/>
      <c r="T59" s="428" t="s">
        <v>749</v>
      </c>
      <c r="U59" s="392">
        <v>0</v>
      </c>
      <c r="V59" s="129" t="s">
        <v>749</v>
      </c>
      <c r="W59" s="132" t="s">
        <v>749</v>
      </c>
      <c r="X59" s="426">
        <v>0</v>
      </c>
      <c r="Y59" s="409">
        <v>1</v>
      </c>
      <c r="Z59" s="435">
        <v>0</v>
      </c>
      <c r="AA59" s="407"/>
      <c r="AB59" s="431"/>
      <c r="AC59" s="413"/>
      <c r="AD59" s="132"/>
      <c r="AE59" s="431"/>
      <c r="AF59" s="586"/>
    </row>
    <row r="60" spans="1:32" ht="27" customHeight="1">
      <c r="A60" s="331" t="s">
        <v>2173</v>
      </c>
      <c r="B60" s="332">
        <v>3</v>
      </c>
      <c r="C60" s="331" t="s">
        <v>2174</v>
      </c>
      <c r="D60" s="340">
        <v>6</v>
      </c>
      <c r="E60" s="341" t="s">
        <v>2181</v>
      </c>
      <c r="F60" s="344">
        <v>44839</v>
      </c>
      <c r="G60" s="314" t="s">
        <v>1710</v>
      </c>
      <c r="H60" s="314" t="s">
        <v>1905</v>
      </c>
      <c r="I60" s="395">
        <v>15</v>
      </c>
      <c r="J60" s="390">
        <v>80</v>
      </c>
      <c r="K60" s="390">
        <v>80</v>
      </c>
      <c r="L60" s="389">
        <v>0</v>
      </c>
      <c r="M60" s="345">
        <v>20</v>
      </c>
      <c r="N60" s="345">
        <v>20</v>
      </c>
      <c r="O60" s="345">
        <v>0</v>
      </c>
      <c r="P60" s="345">
        <v>0</v>
      </c>
      <c r="Q60" s="183" t="s">
        <v>2182</v>
      </c>
      <c r="R60" s="345">
        <v>1</v>
      </c>
      <c r="S60" s="773"/>
      <c r="T60" s="417">
        <v>260</v>
      </c>
      <c r="U60" s="392">
        <v>0</v>
      </c>
      <c r="V60" s="129" t="s">
        <v>749</v>
      </c>
      <c r="W60" s="132" t="s">
        <v>749</v>
      </c>
      <c r="X60" s="426">
        <v>0</v>
      </c>
      <c r="Y60" s="409">
        <v>1</v>
      </c>
      <c r="Z60" s="435">
        <v>0</v>
      </c>
      <c r="AA60" s="407"/>
      <c r="AB60" s="431"/>
      <c r="AC60" s="413"/>
      <c r="AD60" s="132"/>
      <c r="AE60" s="431"/>
      <c r="AF60" s="586"/>
    </row>
    <row r="61" spans="1:32" ht="27" customHeight="1">
      <c r="A61" s="331" t="s">
        <v>2173</v>
      </c>
      <c r="B61" s="332">
        <v>3</v>
      </c>
      <c r="C61" s="331" t="s">
        <v>2174</v>
      </c>
      <c r="D61" s="340">
        <v>7</v>
      </c>
      <c r="E61" s="341" t="s">
        <v>2183</v>
      </c>
      <c r="F61" s="344">
        <v>44839</v>
      </c>
      <c r="G61" s="314" t="s">
        <v>1710</v>
      </c>
      <c r="H61" s="314" t="s">
        <v>1905</v>
      </c>
      <c r="I61" s="395">
        <v>15</v>
      </c>
      <c r="J61" s="390">
        <v>30</v>
      </c>
      <c r="K61" s="390">
        <v>30</v>
      </c>
      <c r="L61" s="389">
        <v>0</v>
      </c>
      <c r="M61" s="345">
        <v>80</v>
      </c>
      <c r="N61" s="345">
        <v>80</v>
      </c>
      <c r="O61" s="345">
        <v>0</v>
      </c>
      <c r="P61" s="345">
        <v>0</v>
      </c>
      <c r="Q61" s="183" t="s">
        <v>1706</v>
      </c>
      <c r="R61" s="345">
        <v>1</v>
      </c>
      <c r="S61" s="773"/>
      <c r="T61" s="428" t="s">
        <v>749</v>
      </c>
      <c r="U61" s="392">
        <v>0</v>
      </c>
      <c r="V61" s="129" t="s">
        <v>749</v>
      </c>
      <c r="W61" s="132" t="s">
        <v>749</v>
      </c>
      <c r="X61" s="426">
        <v>0</v>
      </c>
      <c r="Y61" s="409">
        <v>1</v>
      </c>
      <c r="Z61" s="435">
        <v>0</v>
      </c>
      <c r="AA61" s="407"/>
      <c r="AB61" s="431"/>
      <c r="AC61" s="413"/>
      <c r="AD61" s="132"/>
      <c r="AE61" s="431"/>
      <c r="AF61" s="586"/>
    </row>
    <row r="62" spans="1:32" ht="27" customHeight="1">
      <c r="A62" s="331" t="s">
        <v>2173</v>
      </c>
      <c r="B62" s="332">
        <v>3</v>
      </c>
      <c r="C62" s="331" t="s">
        <v>2174</v>
      </c>
      <c r="D62" s="340">
        <v>8</v>
      </c>
      <c r="E62" s="341" t="s">
        <v>2184</v>
      </c>
      <c r="F62" s="344">
        <v>44836</v>
      </c>
      <c r="G62" s="314" t="s">
        <v>1710</v>
      </c>
      <c r="H62" s="314" t="s">
        <v>1905</v>
      </c>
      <c r="I62" s="395">
        <v>15</v>
      </c>
      <c r="J62" s="392" t="s">
        <v>1711</v>
      </c>
      <c r="K62" s="392">
        <v>2.5</v>
      </c>
      <c r="L62" s="389" t="e">
        <v>#VALUE!</v>
      </c>
      <c r="M62" s="345">
        <v>80</v>
      </c>
      <c r="N62" s="345">
        <v>80</v>
      </c>
      <c r="O62" s="345">
        <v>30</v>
      </c>
      <c r="P62" s="345">
        <v>30</v>
      </c>
      <c r="Q62" s="183" t="s">
        <v>1707</v>
      </c>
      <c r="R62" s="345">
        <v>1</v>
      </c>
      <c r="S62" s="773"/>
      <c r="T62" s="428" t="s">
        <v>749</v>
      </c>
      <c r="U62" s="392">
        <v>0</v>
      </c>
      <c r="V62" s="129" t="s">
        <v>749</v>
      </c>
      <c r="W62" s="132" t="s">
        <v>749</v>
      </c>
      <c r="X62" s="426">
        <v>0</v>
      </c>
      <c r="Y62" s="409">
        <v>1</v>
      </c>
      <c r="Z62" s="435">
        <v>0</v>
      </c>
      <c r="AA62" s="407"/>
      <c r="AB62" s="431"/>
      <c r="AC62" s="413"/>
      <c r="AD62" s="132"/>
      <c r="AE62" s="431"/>
      <c r="AF62" s="586"/>
    </row>
    <row r="63" spans="1:32" ht="27" customHeight="1">
      <c r="A63" s="331" t="s">
        <v>2173</v>
      </c>
      <c r="B63" s="332">
        <v>3</v>
      </c>
      <c r="C63" s="331" t="s">
        <v>2174</v>
      </c>
      <c r="D63" s="340">
        <v>9</v>
      </c>
      <c r="E63" s="341" t="s">
        <v>2185</v>
      </c>
      <c r="F63" s="344">
        <v>44834</v>
      </c>
      <c r="G63" s="314" t="s">
        <v>1710</v>
      </c>
      <c r="H63" s="314" t="s">
        <v>1905</v>
      </c>
      <c r="I63" s="395">
        <v>15</v>
      </c>
      <c r="J63" s="390">
        <v>40</v>
      </c>
      <c r="K63" s="390">
        <v>30</v>
      </c>
      <c r="L63" s="389">
        <v>10</v>
      </c>
      <c r="M63" s="345">
        <v>60</v>
      </c>
      <c r="N63" s="345">
        <v>60</v>
      </c>
      <c r="O63" s="345">
        <v>0</v>
      </c>
      <c r="P63" s="345">
        <v>0</v>
      </c>
      <c r="Q63" s="183" t="s">
        <v>2182</v>
      </c>
      <c r="R63" s="345">
        <v>1</v>
      </c>
      <c r="S63" s="773"/>
      <c r="T63" s="417">
        <v>56</v>
      </c>
      <c r="U63" s="392">
        <v>0</v>
      </c>
      <c r="V63" s="129" t="s">
        <v>749</v>
      </c>
      <c r="W63" s="132" t="s">
        <v>749</v>
      </c>
      <c r="X63" s="426">
        <v>0</v>
      </c>
      <c r="Y63" s="409">
        <v>1</v>
      </c>
      <c r="Z63" s="435">
        <v>0</v>
      </c>
      <c r="AA63" s="407"/>
      <c r="AB63" s="431"/>
      <c r="AC63" s="413"/>
      <c r="AD63" s="132"/>
      <c r="AE63" s="431"/>
      <c r="AF63" s="586"/>
    </row>
    <row r="64" spans="1:32" ht="27" customHeight="1">
      <c r="A64" s="331" t="s">
        <v>2173</v>
      </c>
      <c r="B64" s="332">
        <v>3</v>
      </c>
      <c r="C64" s="331" t="s">
        <v>2174</v>
      </c>
      <c r="D64" s="340">
        <v>10</v>
      </c>
      <c r="E64" s="341" t="s">
        <v>2186</v>
      </c>
      <c r="F64" s="344">
        <v>44834</v>
      </c>
      <c r="G64" s="314" t="s">
        <v>1710</v>
      </c>
      <c r="H64" s="314" t="s">
        <v>1905</v>
      </c>
      <c r="I64" s="395">
        <v>15</v>
      </c>
      <c r="J64" s="390">
        <v>60</v>
      </c>
      <c r="K64" s="390">
        <v>50</v>
      </c>
      <c r="L64" s="389">
        <v>10</v>
      </c>
      <c r="M64" s="345">
        <v>50</v>
      </c>
      <c r="N64" s="345">
        <v>50</v>
      </c>
      <c r="O64" s="345">
        <v>0</v>
      </c>
      <c r="P64" s="345">
        <v>0</v>
      </c>
      <c r="Q64" s="183" t="s">
        <v>2182</v>
      </c>
      <c r="R64" s="345">
        <v>3</v>
      </c>
      <c r="S64" s="773"/>
      <c r="T64" s="417">
        <v>66</v>
      </c>
      <c r="U64" s="392">
        <v>0</v>
      </c>
      <c r="V64" s="129" t="s">
        <v>749</v>
      </c>
      <c r="W64" s="132" t="s">
        <v>749</v>
      </c>
      <c r="X64" s="426">
        <v>0</v>
      </c>
      <c r="Y64" s="409">
        <v>1</v>
      </c>
      <c r="Z64" s="435">
        <v>0</v>
      </c>
      <c r="AA64" s="407"/>
      <c r="AB64" s="431"/>
      <c r="AC64" s="413"/>
      <c r="AD64" s="132"/>
      <c r="AE64" s="431"/>
      <c r="AF64" s="586"/>
    </row>
    <row r="65" spans="1:32" s="285" customFormat="1" ht="27" customHeight="1">
      <c r="A65" s="331" t="s">
        <v>2173</v>
      </c>
      <c r="B65" s="332">
        <v>3</v>
      </c>
      <c r="C65" s="331" t="s">
        <v>2174</v>
      </c>
      <c r="D65" s="340">
        <v>11</v>
      </c>
      <c r="E65" s="341" t="s">
        <v>2187</v>
      </c>
      <c r="F65" s="344">
        <v>44837</v>
      </c>
      <c r="G65" s="314" t="s">
        <v>1710</v>
      </c>
      <c r="H65" s="314" t="s">
        <v>1905</v>
      </c>
      <c r="I65" s="395">
        <v>15</v>
      </c>
      <c r="J65" s="390">
        <v>30</v>
      </c>
      <c r="K65" s="390">
        <v>20</v>
      </c>
      <c r="L65" s="389">
        <v>10</v>
      </c>
      <c r="M65" s="345">
        <v>80</v>
      </c>
      <c r="N65" s="345">
        <v>50</v>
      </c>
      <c r="O65" s="345">
        <v>0</v>
      </c>
      <c r="P65" s="345">
        <v>0</v>
      </c>
      <c r="Q65" s="314" t="s">
        <v>2177</v>
      </c>
      <c r="R65" s="345">
        <v>1</v>
      </c>
      <c r="S65" s="773"/>
      <c r="T65" s="417">
        <v>42</v>
      </c>
      <c r="U65" s="392">
        <v>0</v>
      </c>
      <c r="V65" s="129" t="s">
        <v>749</v>
      </c>
      <c r="W65" s="132" t="s">
        <v>749</v>
      </c>
      <c r="X65" s="426">
        <v>0</v>
      </c>
      <c r="Y65" s="409">
        <v>1</v>
      </c>
      <c r="Z65" s="435">
        <v>0</v>
      </c>
      <c r="AA65" s="407"/>
      <c r="AB65" s="431"/>
      <c r="AC65" s="413"/>
      <c r="AD65" s="132"/>
      <c r="AE65" s="431"/>
      <c r="AF65" s="586"/>
    </row>
    <row r="66" spans="1:32" ht="27" customHeight="1">
      <c r="A66" s="331" t="s">
        <v>2173</v>
      </c>
      <c r="B66" s="332">
        <v>3</v>
      </c>
      <c r="C66" s="331" t="s">
        <v>2174</v>
      </c>
      <c r="D66" s="340">
        <v>12</v>
      </c>
      <c r="E66" s="341" t="s">
        <v>2188</v>
      </c>
      <c r="F66" s="344">
        <v>44832</v>
      </c>
      <c r="G66" s="314" t="s">
        <v>1710</v>
      </c>
      <c r="H66" s="314" t="s">
        <v>1905</v>
      </c>
      <c r="I66" s="395">
        <v>15</v>
      </c>
      <c r="J66" s="390">
        <v>80</v>
      </c>
      <c r="K66" s="390">
        <v>80</v>
      </c>
      <c r="L66" s="389">
        <v>0</v>
      </c>
      <c r="M66" s="345">
        <v>0</v>
      </c>
      <c r="N66" s="345">
        <v>0</v>
      </c>
      <c r="O66" s="345">
        <v>0</v>
      </c>
      <c r="P66" s="345">
        <v>0</v>
      </c>
      <c r="Q66" s="314" t="s">
        <v>2177</v>
      </c>
      <c r="R66" s="345">
        <v>6</v>
      </c>
      <c r="S66" s="773"/>
      <c r="T66" s="417">
        <v>100</v>
      </c>
      <c r="U66" s="392">
        <v>0</v>
      </c>
      <c r="V66" s="129" t="s">
        <v>749</v>
      </c>
      <c r="W66" s="132" t="s">
        <v>749</v>
      </c>
      <c r="X66" s="426">
        <v>0</v>
      </c>
      <c r="Y66" s="409">
        <v>1</v>
      </c>
      <c r="Z66" s="435">
        <v>0</v>
      </c>
      <c r="AA66" s="407"/>
      <c r="AB66" s="431"/>
      <c r="AC66" s="413"/>
      <c r="AD66" s="132"/>
      <c r="AE66" s="431"/>
      <c r="AF66" s="586"/>
    </row>
    <row r="67" spans="1:32" ht="27" customHeight="1">
      <c r="A67" s="331" t="s">
        <v>2173</v>
      </c>
      <c r="B67" s="332">
        <v>3</v>
      </c>
      <c r="C67" s="331" t="s">
        <v>2174</v>
      </c>
      <c r="D67" s="340">
        <v>13</v>
      </c>
      <c r="E67" s="341" t="s">
        <v>2189</v>
      </c>
      <c r="F67" s="344">
        <v>44832</v>
      </c>
      <c r="G67" s="314" t="s">
        <v>1710</v>
      </c>
      <c r="H67" s="314" t="s">
        <v>1905</v>
      </c>
      <c r="I67" s="395">
        <v>15</v>
      </c>
      <c r="J67" s="390">
        <v>20</v>
      </c>
      <c r="K67" s="390">
        <v>20</v>
      </c>
      <c r="L67" s="389">
        <v>0</v>
      </c>
      <c r="M67" s="345">
        <v>20</v>
      </c>
      <c r="N67" s="345">
        <v>20</v>
      </c>
      <c r="O67" s="345">
        <v>0</v>
      </c>
      <c r="P67" s="345">
        <v>0</v>
      </c>
      <c r="Q67" s="183" t="s">
        <v>2182</v>
      </c>
      <c r="R67" s="345">
        <v>1</v>
      </c>
      <c r="S67" s="773"/>
      <c r="T67" s="417">
        <v>84</v>
      </c>
      <c r="U67" s="392">
        <v>0</v>
      </c>
      <c r="V67" s="129" t="s">
        <v>749</v>
      </c>
      <c r="W67" s="132" t="s">
        <v>749</v>
      </c>
      <c r="X67" s="426">
        <v>0</v>
      </c>
      <c r="Y67" s="409">
        <v>1</v>
      </c>
      <c r="Z67" s="435">
        <v>0</v>
      </c>
      <c r="AA67" s="407"/>
      <c r="AB67" s="431"/>
      <c r="AC67" s="413"/>
      <c r="AD67" s="132"/>
      <c r="AE67" s="431"/>
      <c r="AF67" s="586"/>
    </row>
    <row r="68" spans="1:32" ht="27" customHeight="1">
      <c r="A68" s="331" t="s">
        <v>2173</v>
      </c>
      <c r="B68" s="332">
        <v>3</v>
      </c>
      <c r="C68" s="331" t="s">
        <v>2174</v>
      </c>
      <c r="D68" s="340">
        <v>14</v>
      </c>
      <c r="E68" s="341" t="s">
        <v>2190</v>
      </c>
      <c r="F68" s="344">
        <v>44832</v>
      </c>
      <c r="G68" s="314" t="s">
        <v>1710</v>
      </c>
      <c r="H68" s="314" t="s">
        <v>1905</v>
      </c>
      <c r="I68" s="395">
        <v>15</v>
      </c>
      <c r="J68" s="390">
        <v>70</v>
      </c>
      <c r="K68" s="390">
        <v>70</v>
      </c>
      <c r="L68" s="389">
        <v>0</v>
      </c>
      <c r="M68" s="345">
        <v>10</v>
      </c>
      <c r="N68" s="345">
        <v>10</v>
      </c>
      <c r="O68" s="345">
        <v>0</v>
      </c>
      <c r="P68" s="345">
        <v>0</v>
      </c>
      <c r="Q68" s="183" t="s">
        <v>1706</v>
      </c>
      <c r="R68" s="345">
        <v>0</v>
      </c>
      <c r="S68" s="773"/>
      <c r="T68" s="428" t="s">
        <v>749</v>
      </c>
      <c r="U68" s="392">
        <v>0</v>
      </c>
      <c r="V68" s="129" t="s">
        <v>749</v>
      </c>
      <c r="W68" s="132" t="s">
        <v>749</v>
      </c>
      <c r="X68" s="313" t="s">
        <v>1711</v>
      </c>
      <c r="Y68" s="409">
        <v>1</v>
      </c>
      <c r="Z68" s="435">
        <v>0</v>
      </c>
      <c r="AA68" s="407"/>
      <c r="AB68" s="431"/>
      <c r="AC68" s="413"/>
      <c r="AD68" s="132"/>
      <c r="AE68" s="431"/>
      <c r="AF68" s="586"/>
    </row>
    <row r="69" spans="1:32" ht="27" customHeight="1" thickBot="1">
      <c r="A69" s="474" t="s">
        <v>2173</v>
      </c>
      <c r="B69" s="475">
        <v>3</v>
      </c>
      <c r="C69" s="474" t="s">
        <v>2174</v>
      </c>
      <c r="D69" s="467">
        <v>15</v>
      </c>
      <c r="E69" s="525" t="s">
        <v>2191</v>
      </c>
      <c r="F69" s="528">
        <v>44832</v>
      </c>
      <c r="G69" s="530" t="s">
        <v>1710</v>
      </c>
      <c r="H69" s="530" t="s">
        <v>1905</v>
      </c>
      <c r="I69" s="526">
        <v>15</v>
      </c>
      <c r="J69" s="497">
        <v>60</v>
      </c>
      <c r="K69" s="497">
        <v>60</v>
      </c>
      <c r="L69" s="389">
        <v>0</v>
      </c>
      <c r="M69" s="544">
        <v>30</v>
      </c>
      <c r="N69" s="544">
        <v>30</v>
      </c>
      <c r="O69" s="544">
        <v>0</v>
      </c>
      <c r="P69" s="544">
        <v>0</v>
      </c>
      <c r="Q69" s="530" t="s">
        <v>2177</v>
      </c>
      <c r="R69" s="544">
        <v>1</v>
      </c>
      <c r="S69" s="774"/>
      <c r="T69" s="545">
        <v>34</v>
      </c>
      <c r="U69" s="481">
        <v>0</v>
      </c>
      <c r="V69" s="594" t="s">
        <v>749</v>
      </c>
      <c r="W69" s="583" t="s">
        <v>749</v>
      </c>
      <c r="X69" s="576">
        <v>0</v>
      </c>
      <c r="Y69" s="535">
        <v>1</v>
      </c>
      <c r="Z69" s="503">
        <v>0</v>
      </c>
      <c r="AA69" s="501"/>
      <c r="AB69" s="503"/>
      <c r="AC69" s="519"/>
      <c r="AD69" s="583"/>
      <c r="AE69" s="503"/>
      <c r="AF69" s="587"/>
    </row>
    <row r="70" spans="1:32" ht="27" customHeight="1" thickTop="1">
      <c r="A70" s="573" t="s">
        <v>2192</v>
      </c>
      <c r="B70" s="179">
        <v>4</v>
      </c>
      <c r="C70" s="574" t="s">
        <v>153</v>
      </c>
      <c r="D70" s="179">
        <v>1</v>
      </c>
      <c r="E70" s="470" t="s">
        <v>2193</v>
      </c>
      <c r="F70" s="508">
        <v>44922</v>
      </c>
      <c r="G70" s="141" t="s">
        <v>2194</v>
      </c>
      <c r="H70" s="311" t="s">
        <v>1905</v>
      </c>
      <c r="I70" s="464">
        <v>15</v>
      </c>
      <c r="J70" s="588">
        <v>40</v>
      </c>
      <c r="K70" s="588">
        <v>30</v>
      </c>
      <c r="L70" s="588">
        <v>10</v>
      </c>
      <c r="M70" s="509">
        <v>0</v>
      </c>
      <c r="N70" s="509">
        <v>0</v>
      </c>
      <c r="O70" s="509">
        <v>0</v>
      </c>
      <c r="P70" s="509">
        <v>0</v>
      </c>
      <c r="Q70" s="141" t="s">
        <v>1708</v>
      </c>
      <c r="R70" s="509">
        <v>20</v>
      </c>
      <c r="S70" s="775"/>
      <c r="T70" s="510">
        <v>73</v>
      </c>
      <c r="U70" s="720">
        <v>0</v>
      </c>
      <c r="V70" s="138"/>
      <c r="W70" s="138"/>
      <c r="X70" s="721">
        <v>0</v>
      </c>
      <c r="Y70" s="408">
        <v>1</v>
      </c>
      <c r="Z70" s="464">
        <v>0</v>
      </c>
      <c r="AA70" s="588" t="s">
        <v>749</v>
      </c>
      <c r="AB70" s="464">
        <v>3</v>
      </c>
      <c r="AC70" s="524">
        <v>0</v>
      </c>
      <c r="AD70" s="141">
        <v>0</v>
      </c>
      <c r="AE70" s="464">
        <v>6</v>
      </c>
      <c r="AF70" s="513" t="s">
        <v>1804</v>
      </c>
    </row>
    <row r="71" spans="1:32" s="285" customFormat="1" ht="27" customHeight="1">
      <c r="A71" s="342" t="s">
        <v>2192</v>
      </c>
      <c r="B71" s="182">
        <v>4</v>
      </c>
      <c r="C71" s="343" t="s">
        <v>153</v>
      </c>
      <c r="D71" s="182">
        <v>2</v>
      </c>
      <c r="E71" s="341" t="s">
        <v>2195</v>
      </c>
      <c r="F71" s="371">
        <v>44923</v>
      </c>
      <c r="G71" s="132" t="s">
        <v>2194</v>
      </c>
      <c r="H71" s="314" t="s">
        <v>1905</v>
      </c>
      <c r="I71" s="431">
        <v>20</v>
      </c>
      <c r="J71" s="407">
        <v>30</v>
      </c>
      <c r="K71" s="407">
        <v>40</v>
      </c>
      <c r="L71" s="588">
        <v>-10</v>
      </c>
      <c r="M71" s="372">
        <v>20</v>
      </c>
      <c r="N71" s="372">
        <v>15</v>
      </c>
      <c r="O71" s="372">
        <v>50</v>
      </c>
      <c r="P71" s="372">
        <v>35</v>
      </c>
      <c r="Q71" s="183" t="s">
        <v>1707</v>
      </c>
      <c r="R71" s="372">
        <v>4.666666666666667</v>
      </c>
      <c r="S71" s="776"/>
      <c r="T71" s="424">
        <v>33</v>
      </c>
      <c r="U71" s="393">
        <v>0</v>
      </c>
      <c r="V71" s="129"/>
      <c r="W71" s="129"/>
      <c r="X71" s="433">
        <v>0</v>
      </c>
      <c r="Y71" s="409">
        <v>1</v>
      </c>
      <c r="Z71" s="431">
        <v>0</v>
      </c>
      <c r="AA71" s="407" t="s">
        <v>749</v>
      </c>
      <c r="AB71" s="431">
        <v>2</v>
      </c>
      <c r="AC71" s="413">
        <v>0</v>
      </c>
      <c r="AD71" s="132">
        <v>0</v>
      </c>
      <c r="AE71" s="431">
        <v>0</v>
      </c>
      <c r="AF71" s="441" t="s">
        <v>2196</v>
      </c>
    </row>
    <row r="72" spans="1:32" s="285" customFormat="1" ht="27" customHeight="1">
      <c r="A72" s="342" t="s">
        <v>2192</v>
      </c>
      <c r="B72" s="182">
        <v>4</v>
      </c>
      <c r="C72" s="343" t="s">
        <v>153</v>
      </c>
      <c r="D72" s="182">
        <v>3</v>
      </c>
      <c r="E72" s="341" t="s">
        <v>2197</v>
      </c>
      <c r="F72" s="371">
        <v>44922</v>
      </c>
      <c r="G72" s="132" t="s">
        <v>2194</v>
      </c>
      <c r="H72" s="314" t="s">
        <v>1905</v>
      </c>
      <c r="I72" s="431">
        <v>35</v>
      </c>
      <c r="J72" s="407">
        <v>50</v>
      </c>
      <c r="K72" s="407">
        <v>50</v>
      </c>
      <c r="L72" s="588">
        <v>0</v>
      </c>
      <c r="M72" s="372">
        <v>10</v>
      </c>
      <c r="N72" s="372">
        <v>80</v>
      </c>
      <c r="O72" s="372">
        <v>5</v>
      </c>
      <c r="P72" s="372">
        <v>5</v>
      </c>
      <c r="Q72" s="183" t="s">
        <v>1707</v>
      </c>
      <c r="R72" s="372">
        <v>18.666666666666668</v>
      </c>
      <c r="S72" s="776"/>
      <c r="T72" s="424">
        <v>83</v>
      </c>
      <c r="U72" s="393">
        <v>0</v>
      </c>
      <c r="V72" s="129"/>
      <c r="W72" s="129"/>
      <c r="X72" s="433">
        <v>0</v>
      </c>
      <c r="Y72" s="409">
        <v>1</v>
      </c>
      <c r="Z72" s="431">
        <v>0</v>
      </c>
      <c r="AA72" s="407" t="s">
        <v>749</v>
      </c>
      <c r="AB72" s="431">
        <v>3</v>
      </c>
      <c r="AC72" s="413">
        <v>0</v>
      </c>
      <c r="AD72" s="132">
        <v>0</v>
      </c>
      <c r="AE72" s="431">
        <v>8</v>
      </c>
      <c r="AF72" s="441" t="s">
        <v>1804</v>
      </c>
    </row>
    <row r="73" spans="1:32" ht="27" customHeight="1">
      <c r="A73" s="342" t="s">
        <v>2192</v>
      </c>
      <c r="B73" s="182">
        <v>4</v>
      </c>
      <c r="C73" s="343" t="s">
        <v>153</v>
      </c>
      <c r="D73" s="182">
        <v>4</v>
      </c>
      <c r="E73" s="341" t="s">
        <v>2198</v>
      </c>
      <c r="F73" s="371">
        <v>44922</v>
      </c>
      <c r="G73" s="132" t="s">
        <v>2199</v>
      </c>
      <c r="H73" s="314" t="s">
        <v>1905</v>
      </c>
      <c r="I73" s="431">
        <v>15</v>
      </c>
      <c r="J73" s="407">
        <v>30</v>
      </c>
      <c r="K73" s="407">
        <v>40</v>
      </c>
      <c r="L73" s="588">
        <v>-10</v>
      </c>
      <c r="M73" s="372">
        <v>5</v>
      </c>
      <c r="N73" s="372">
        <v>10</v>
      </c>
      <c r="O73" s="372">
        <v>0.5</v>
      </c>
      <c r="P73" s="372">
        <v>2.5</v>
      </c>
      <c r="Q73" s="183" t="s">
        <v>1708</v>
      </c>
      <c r="R73" s="372">
        <v>12.666666666666666</v>
      </c>
      <c r="S73" s="776"/>
      <c r="T73" s="424">
        <v>58</v>
      </c>
      <c r="U73" s="393">
        <v>0</v>
      </c>
      <c r="V73" s="129"/>
      <c r="W73" s="129"/>
      <c r="X73" s="433">
        <v>0</v>
      </c>
      <c r="Y73" s="410">
        <v>2</v>
      </c>
      <c r="Z73" s="431">
        <v>0.5</v>
      </c>
      <c r="AA73" s="407" t="s">
        <v>749</v>
      </c>
      <c r="AB73" s="431">
        <v>2</v>
      </c>
      <c r="AC73" s="413">
        <v>0</v>
      </c>
      <c r="AD73" s="132">
        <v>0</v>
      </c>
      <c r="AE73" s="431">
        <v>10</v>
      </c>
      <c r="AF73" s="441" t="s">
        <v>1804</v>
      </c>
    </row>
    <row r="74" spans="1:32" ht="27" customHeight="1">
      <c r="A74" s="342" t="s">
        <v>2192</v>
      </c>
      <c r="B74" s="182">
        <v>4</v>
      </c>
      <c r="C74" s="343" t="s">
        <v>153</v>
      </c>
      <c r="D74" s="182">
        <v>5</v>
      </c>
      <c r="E74" s="341" t="s">
        <v>2200</v>
      </c>
      <c r="F74" s="371">
        <v>44923</v>
      </c>
      <c r="G74" s="132" t="s">
        <v>2194</v>
      </c>
      <c r="H74" s="314" t="s">
        <v>1905</v>
      </c>
      <c r="I74" s="431">
        <v>15</v>
      </c>
      <c r="J74" s="407">
        <v>10</v>
      </c>
      <c r="K74" s="407">
        <v>10</v>
      </c>
      <c r="L74" s="588">
        <v>0</v>
      </c>
      <c r="M74" s="372">
        <v>10</v>
      </c>
      <c r="N74" s="372">
        <v>10</v>
      </c>
      <c r="O74" s="372">
        <v>7.5</v>
      </c>
      <c r="P74" s="372">
        <v>12.5</v>
      </c>
      <c r="Q74" s="141" t="s">
        <v>1708</v>
      </c>
      <c r="R74" s="372">
        <v>2</v>
      </c>
      <c r="S74" s="776"/>
      <c r="T74" s="424">
        <v>23</v>
      </c>
      <c r="U74" s="393">
        <v>0.5</v>
      </c>
      <c r="V74" s="129" t="s">
        <v>1719</v>
      </c>
      <c r="W74" s="129" t="s">
        <v>1719</v>
      </c>
      <c r="X74" s="433">
        <v>0.5</v>
      </c>
      <c r="Y74" s="409">
        <v>2</v>
      </c>
      <c r="Z74" s="431">
        <v>0.5</v>
      </c>
      <c r="AA74" s="407" t="s">
        <v>749</v>
      </c>
      <c r="AB74" s="431">
        <v>3</v>
      </c>
      <c r="AC74" s="413"/>
      <c r="AD74" s="132"/>
      <c r="AE74" s="431"/>
      <c r="AF74" s="441" t="s">
        <v>1804</v>
      </c>
    </row>
    <row r="75" spans="1:32" ht="27" customHeight="1">
      <c r="A75" s="342" t="s">
        <v>2192</v>
      </c>
      <c r="B75" s="182">
        <v>4</v>
      </c>
      <c r="C75" s="343" t="s">
        <v>153</v>
      </c>
      <c r="D75" s="182">
        <v>6</v>
      </c>
      <c r="E75" s="341" t="s">
        <v>2201</v>
      </c>
      <c r="F75" s="371">
        <v>44922</v>
      </c>
      <c r="G75" s="132" t="s">
        <v>2194</v>
      </c>
      <c r="H75" s="314" t="s">
        <v>1905</v>
      </c>
      <c r="I75" s="431">
        <v>15</v>
      </c>
      <c r="J75" s="407">
        <v>30</v>
      </c>
      <c r="K75" s="407">
        <v>40</v>
      </c>
      <c r="L75" s="588">
        <v>-10</v>
      </c>
      <c r="M75" s="372">
        <v>15</v>
      </c>
      <c r="N75" s="372">
        <v>55</v>
      </c>
      <c r="O75" s="372">
        <v>3</v>
      </c>
      <c r="P75" s="372">
        <v>5</v>
      </c>
      <c r="Q75" s="183" t="s">
        <v>1708</v>
      </c>
      <c r="R75" s="372">
        <v>20.666666666666668</v>
      </c>
      <c r="S75" s="776"/>
      <c r="T75" s="424">
        <v>52</v>
      </c>
      <c r="U75" s="393">
        <v>0</v>
      </c>
      <c r="V75" s="129"/>
      <c r="W75" s="129"/>
      <c r="X75" s="433">
        <v>0.5</v>
      </c>
      <c r="Y75" s="409">
        <v>1</v>
      </c>
      <c r="Z75" s="431">
        <v>0</v>
      </c>
      <c r="AA75" s="407" t="s">
        <v>749</v>
      </c>
      <c r="AB75" s="431" t="s">
        <v>749</v>
      </c>
      <c r="AC75" s="413">
        <v>0</v>
      </c>
      <c r="AD75" s="132">
        <v>0</v>
      </c>
      <c r="AE75" s="431">
        <v>4</v>
      </c>
      <c r="AF75" s="441" t="s">
        <v>2196</v>
      </c>
    </row>
    <row r="76" spans="1:32" ht="27" customHeight="1">
      <c r="A76" s="342" t="s">
        <v>2192</v>
      </c>
      <c r="B76" s="182">
        <v>4</v>
      </c>
      <c r="C76" s="343" t="s">
        <v>153</v>
      </c>
      <c r="D76" s="182">
        <v>7</v>
      </c>
      <c r="E76" s="341" t="s">
        <v>2202</v>
      </c>
      <c r="F76" s="371">
        <v>44946</v>
      </c>
      <c r="G76" s="132" t="s">
        <v>2194</v>
      </c>
      <c r="H76" s="314" t="s">
        <v>1905</v>
      </c>
      <c r="I76" s="431">
        <v>15</v>
      </c>
      <c r="J76" s="407">
        <v>10</v>
      </c>
      <c r="K76" s="407">
        <v>30</v>
      </c>
      <c r="L76" s="588">
        <v>-20</v>
      </c>
      <c r="M76" s="372">
        <v>1.5</v>
      </c>
      <c r="N76" s="372">
        <v>5</v>
      </c>
      <c r="O76" s="372">
        <v>45</v>
      </c>
      <c r="P76" s="372">
        <v>1.5</v>
      </c>
      <c r="Q76" s="183" t="s">
        <v>1708</v>
      </c>
      <c r="R76" s="372">
        <v>38</v>
      </c>
      <c r="S76" s="776"/>
      <c r="T76" s="424">
        <v>50</v>
      </c>
      <c r="U76" s="393">
        <v>0</v>
      </c>
      <c r="V76" s="129"/>
      <c r="W76" s="129"/>
      <c r="X76" s="433">
        <v>0</v>
      </c>
      <c r="Y76" s="410">
        <v>2</v>
      </c>
      <c r="Z76" s="431">
        <v>0.5</v>
      </c>
      <c r="AA76" s="407" t="s">
        <v>749</v>
      </c>
      <c r="AB76" s="431" t="s">
        <v>749</v>
      </c>
      <c r="AC76" s="413">
        <v>0</v>
      </c>
      <c r="AD76" s="132">
        <v>0</v>
      </c>
      <c r="AE76" s="431">
        <v>5</v>
      </c>
      <c r="AF76" s="441" t="s">
        <v>2196</v>
      </c>
    </row>
    <row r="77" spans="1:32" ht="27" customHeight="1">
      <c r="A77" s="342" t="s">
        <v>2192</v>
      </c>
      <c r="B77" s="182">
        <v>4</v>
      </c>
      <c r="C77" s="343" t="s">
        <v>153</v>
      </c>
      <c r="D77" s="182">
        <v>8</v>
      </c>
      <c r="E77" s="341" t="s">
        <v>2203</v>
      </c>
      <c r="F77" s="371">
        <v>44946</v>
      </c>
      <c r="G77" s="132" t="s">
        <v>2194</v>
      </c>
      <c r="H77" s="314" t="s">
        <v>1905</v>
      </c>
      <c r="I77" s="431">
        <v>15</v>
      </c>
      <c r="J77" s="407">
        <v>10</v>
      </c>
      <c r="K77" s="407">
        <v>10</v>
      </c>
      <c r="L77" s="588">
        <v>0</v>
      </c>
      <c r="M77" s="372">
        <v>0</v>
      </c>
      <c r="N77" s="372">
        <v>0</v>
      </c>
      <c r="O77" s="372">
        <v>0</v>
      </c>
      <c r="P77" s="372">
        <v>0</v>
      </c>
      <c r="Q77" s="183" t="s">
        <v>1708</v>
      </c>
      <c r="R77" s="372">
        <v>27.333333333333332</v>
      </c>
      <c r="S77" s="776"/>
      <c r="T77" s="424">
        <v>25.555555555555557</v>
      </c>
      <c r="U77" s="393">
        <v>0</v>
      </c>
      <c r="V77" s="129"/>
      <c r="W77" s="129"/>
      <c r="X77" s="433">
        <v>0</v>
      </c>
      <c r="Y77" s="409">
        <v>1</v>
      </c>
      <c r="Z77" s="431">
        <v>0</v>
      </c>
      <c r="AA77" s="407" t="s">
        <v>749</v>
      </c>
      <c r="AB77" s="431">
        <v>3</v>
      </c>
      <c r="AC77" s="413">
        <v>0</v>
      </c>
      <c r="AD77" s="132">
        <v>0</v>
      </c>
      <c r="AE77" s="431">
        <v>27</v>
      </c>
      <c r="AF77" s="441" t="s">
        <v>1804</v>
      </c>
    </row>
    <row r="78" spans="1:32" ht="27" customHeight="1">
      <c r="A78" s="342" t="s">
        <v>2192</v>
      </c>
      <c r="B78" s="182">
        <v>4</v>
      </c>
      <c r="C78" s="343" t="s">
        <v>153</v>
      </c>
      <c r="D78" s="182">
        <v>9</v>
      </c>
      <c r="E78" s="341" t="s">
        <v>2204</v>
      </c>
      <c r="F78" s="371">
        <v>44946</v>
      </c>
      <c r="G78" s="132" t="s">
        <v>2194</v>
      </c>
      <c r="H78" s="314" t="s">
        <v>1905</v>
      </c>
      <c r="I78" s="431">
        <v>15</v>
      </c>
      <c r="J78" s="407">
        <v>10</v>
      </c>
      <c r="K78" s="407">
        <v>20</v>
      </c>
      <c r="L78" s="588">
        <v>-10</v>
      </c>
      <c r="M78" s="372">
        <v>0</v>
      </c>
      <c r="N78" s="372">
        <v>0</v>
      </c>
      <c r="O78" s="372">
        <v>0</v>
      </c>
      <c r="P78" s="372">
        <v>0</v>
      </c>
      <c r="Q78" s="183" t="s">
        <v>1708</v>
      </c>
      <c r="R78" s="372">
        <v>35.333333333333336</v>
      </c>
      <c r="S78" s="776"/>
      <c r="T78" s="424">
        <v>55</v>
      </c>
      <c r="U78" s="393">
        <v>0</v>
      </c>
      <c r="V78" s="129"/>
      <c r="W78" s="129"/>
      <c r="X78" s="433">
        <v>1</v>
      </c>
      <c r="Y78" s="410">
        <v>1</v>
      </c>
      <c r="Z78" s="431">
        <v>0</v>
      </c>
      <c r="AA78" s="407" t="s">
        <v>749</v>
      </c>
      <c r="AB78" s="431">
        <v>2</v>
      </c>
      <c r="AC78" s="413">
        <v>1</v>
      </c>
      <c r="AD78" s="132">
        <v>0</v>
      </c>
      <c r="AE78" s="431">
        <v>12</v>
      </c>
      <c r="AF78" s="441" t="s">
        <v>1804</v>
      </c>
    </row>
    <row r="79" spans="1:32" ht="27" customHeight="1">
      <c r="A79" s="342" t="s">
        <v>2192</v>
      </c>
      <c r="B79" s="182">
        <v>4</v>
      </c>
      <c r="C79" s="343" t="s">
        <v>153</v>
      </c>
      <c r="D79" s="182">
        <v>10</v>
      </c>
      <c r="E79" s="341" t="s">
        <v>2205</v>
      </c>
      <c r="F79" s="371">
        <v>44946</v>
      </c>
      <c r="G79" s="132" t="s">
        <v>2194</v>
      </c>
      <c r="H79" s="314" t="s">
        <v>1905</v>
      </c>
      <c r="I79" s="431">
        <v>15</v>
      </c>
      <c r="J79" s="407">
        <v>30</v>
      </c>
      <c r="K79" s="407">
        <v>30</v>
      </c>
      <c r="L79" s="588">
        <v>0</v>
      </c>
      <c r="M79" s="372">
        <v>0</v>
      </c>
      <c r="N79" s="372">
        <v>0</v>
      </c>
      <c r="O79" s="372">
        <v>0</v>
      </c>
      <c r="P79" s="372">
        <v>0</v>
      </c>
      <c r="Q79" s="183" t="s">
        <v>1708</v>
      </c>
      <c r="R79" s="372">
        <v>40</v>
      </c>
      <c r="S79" s="776"/>
      <c r="T79" s="424">
        <v>33</v>
      </c>
      <c r="U79" s="393">
        <v>0</v>
      </c>
      <c r="V79" s="129"/>
      <c r="W79" s="129"/>
      <c r="X79" s="433">
        <v>0</v>
      </c>
      <c r="Y79" s="409">
        <v>1</v>
      </c>
      <c r="Z79" s="431">
        <v>0</v>
      </c>
      <c r="AA79" s="407" t="s">
        <v>749</v>
      </c>
      <c r="AB79" s="431">
        <v>2</v>
      </c>
      <c r="AC79" s="413">
        <v>1</v>
      </c>
      <c r="AD79" s="132">
        <v>0</v>
      </c>
      <c r="AE79" s="431">
        <v>7</v>
      </c>
      <c r="AF79" s="441" t="s">
        <v>1804</v>
      </c>
    </row>
    <row r="80" spans="1:32" ht="27" customHeight="1">
      <c r="A80" s="342" t="s">
        <v>2192</v>
      </c>
      <c r="B80" s="182">
        <v>4</v>
      </c>
      <c r="C80" s="343" t="s">
        <v>153</v>
      </c>
      <c r="D80" s="182">
        <v>11</v>
      </c>
      <c r="E80" s="341" t="s">
        <v>2206</v>
      </c>
      <c r="F80" s="371">
        <v>44946</v>
      </c>
      <c r="G80" s="132" t="s">
        <v>2194</v>
      </c>
      <c r="H80" s="314" t="s">
        <v>1905</v>
      </c>
      <c r="I80" s="431">
        <v>15</v>
      </c>
      <c r="J80" s="407">
        <v>20</v>
      </c>
      <c r="K80" s="407">
        <v>10</v>
      </c>
      <c r="L80" s="588">
        <v>10</v>
      </c>
      <c r="M80" s="372">
        <v>0</v>
      </c>
      <c r="N80" s="372">
        <v>0</v>
      </c>
      <c r="O80" s="372">
        <v>0</v>
      </c>
      <c r="P80" s="372">
        <v>0</v>
      </c>
      <c r="Q80" s="141" t="s">
        <v>1708</v>
      </c>
      <c r="R80" s="372">
        <v>26.666666666666668</v>
      </c>
      <c r="S80" s="776"/>
      <c r="T80" s="424">
        <v>26</v>
      </c>
      <c r="U80" s="393">
        <v>0</v>
      </c>
      <c r="V80" s="129"/>
      <c r="W80" s="129"/>
      <c r="X80" s="433">
        <v>0.5</v>
      </c>
      <c r="Y80" s="409">
        <v>1</v>
      </c>
      <c r="Z80" s="431">
        <v>0</v>
      </c>
      <c r="AA80" s="407" t="s">
        <v>749</v>
      </c>
      <c r="AB80" s="431">
        <v>2</v>
      </c>
      <c r="AC80" s="413">
        <v>1</v>
      </c>
      <c r="AD80" s="132">
        <v>0</v>
      </c>
      <c r="AE80" s="431">
        <v>4</v>
      </c>
      <c r="AF80" s="441" t="s">
        <v>1804</v>
      </c>
    </row>
    <row r="81" spans="1:32" ht="27" customHeight="1">
      <c r="A81" s="342" t="s">
        <v>2192</v>
      </c>
      <c r="B81" s="182">
        <v>4</v>
      </c>
      <c r="C81" s="343" t="s">
        <v>153</v>
      </c>
      <c r="D81" s="182">
        <v>12</v>
      </c>
      <c r="E81" s="341" t="s">
        <v>2207</v>
      </c>
      <c r="F81" s="371"/>
      <c r="G81" s="132"/>
      <c r="H81" s="314"/>
      <c r="I81" s="431"/>
      <c r="J81" s="407"/>
      <c r="K81" s="407">
        <v>10</v>
      </c>
      <c r="L81" s="588"/>
      <c r="M81" s="372"/>
      <c r="N81" s="372"/>
      <c r="O81" s="372"/>
      <c r="P81" s="372"/>
      <c r="Q81" s="141"/>
      <c r="R81" s="372"/>
      <c r="S81" s="776"/>
      <c r="T81" s="424"/>
      <c r="U81" s="393"/>
      <c r="V81" s="129"/>
      <c r="W81" s="129"/>
      <c r="X81" s="433"/>
      <c r="Y81" s="409"/>
      <c r="Z81" s="431"/>
      <c r="AA81" s="407"/>
      <c r="AB81" s="431"/>
      <c r="AC81" s="413"/>
      <c r="AD81" s="132"/>
      <c r="AE81" s="431"/>
      <c r="AF81" s="441"/>
    </row>
    <row r="82" spans="1:32" ht="27" customHeight="1">
      <c r="A82" s="342" t="s">
        <v>2192</v>
      </c>
      <c r="B82" s="182">
        <v>4</v>
      </c>
      <c r="C82" s="343" t="s">
        <v>153</v>
      </c>
      <c r="D82" s="182">
        <v>13</v>
      </c>
      <c r="E82" s="341" t="s">
        <v>2208</v>
      </c>
      <c r="F82" s="371">
        <v>44946</v>
      </c>
      <c r="G82" s="132" t="s">
        <v>2194</v>
      </c>
      <c r="H82" s="314" t="s">
        <v>1905</v>
      </c>
      <c r="I82" s="431">
        <v>15</v>
      </c>
      <c r="J82" s="407">
        <v>30</v>
      </c>
      <c r="K82" s="407">
        <v>30</v>
      </c>
      <c r="L82" s="588">
        <v>0</v>
      </c>
      <c r="M82" s="372">
        <v>0</v>
      </c>
      <c r="N82" s="372">
        <v>0</v>
      </c>
      <c r="O82" s="372">
        <v>0</v>
      </c>
      <c r="P82" s="372">
        <v>0</v>
      </c>
      <c r="Q82" s="183" t="s">
        <v>1708</v>
      </c>
      <c r="R82" s="372">
        <v>2</v>
      </c>
      <c r="S82" s="776"/>
      <c r="T82" s="424">
        <v>20</v>
      </c>
      <c r="U82" s="393">
        <v>0</v>
      </c>
      <c r="V82" s="129"/>
      <c r="W82" s="129"/>
      <c r="X82" s="433">
        <v>0</v>
      </c>
      <c r="Y82" s="410">
        <v>1</v>
      </c>
      <c r="Z82" s="431">
        <v>0</v>
      </c>
      <c r="AA82" s="407" t="s">
        <v>749</v>
      </c>
      <c r="AB82" s="431">
        <v>2</v>
      </c>
      <c r="AC82" s="413">
        <v>0</v>
      </c>
      <c r="AD82" s="132">
        <v>0</v>
      </c>
      <c r="AE82" s="431">
        <v>2</v>
      </c>
      <c r="AF82" s="441" t="s">
        <v>1804</v>
      </c>
    </row>
    <row r="83" spans="1:32" s="285" customFormat="1" ht="27" customHeight="1">
      <c r="A83" s="342" t="s">
        <v>2192</v>
      </c>
      <c r="B83" s="182">
        <v>4</v>
      </c>
      <c r="C83" s="343" t="s">
        <v>153</v>
      </c>
      <c r="D83" s="182">
        <v>14</v>
      </c>
      <c r="E83" s="341" t="s">
        <v>2209</v>
      </c>
      <c r="F83" s="109"/>
      <c r="G83" s="109"/>
      <c r="H83" s="109"/>
      <c r="I83" s="110"/>
      <c r="J83" s="391"/>
      <c r="K83" s="391"/>
      <c r="L83" s="588"/>
      <c r="M83" s="338"/>
      <c r="N83" s="338"/>
      <c r="O83" s="338"/>
      <c r="P83" s="338"/>
      <c r="Q83" s="109"/>
      <c r="R83" s="109"/>
      <c r="S83" s="777"/>
      <c r="T83" s="110"/>
      <c r="U83" s="722"/>
      <c r="V83" s="364"/>
      <c r="W83" s="364"/>
      <c r="X83" s="723"/>
      <c r="Y83" s="403"/>
      <c r="Z83" s="110"/>
      <c r="AA83" s="391"/>
      <c r="AB83" s="110"/>
      <c r="AC83" s="403"/>
      <c r="AD83" s="109"/>
      <c r="AE83" s="110"/>
      <c r="AF83" s="307"/>
    </row>
    <row r="84" spans="1:32" ht="27" customHeight="1">
      <c r="A84" s="342" t="s">
        <v>2192</v>
      </c>
      <c r="B84" s="182">
        <v>4</v>
      </c>
      <c r="C84" s="343" t="s">
        <v>153</v>
      </c>
      <c r="D84" s="182">
        <v>15</v>
      </c>
      <c r="E84" s="341" t="s">
        <v>2210</v>
      </c>
      <c r="F84" s="371">
        <v>44946</v>
      </c>
      <c r="G84" s="132" t="s">
        <v>2194</v>
      </c>
      <c r="H84" s="109" t="s">
        <v>1713</v>
      </c>
      <c r="I84" s="431">
        <v>20</v>
      </c>
      <c r="J84" s="407">
        <v>60</v>
      </c>
      <c r="K84" s="407">
        <v>40</v>
      </c>
      <c r="L84" s="588">
        <v>20</v>
      </c>
      <c r="M84" s="372">
        <v>0</v>
      </c>
      <c r="N84" s="372">
        <v>0</v>
      </c>
      <c r="O84" s="372">
        <v>0</v>
      </c>
      <c r="P84" s="372">
        <v>0</v>
      </c>
      <c r="Q84" s="183" t="s">
        <v>1708</v>
      </c>
      <c r="R84" s="372">
        <v>9.3333333333333339</v>
      </c>
      <c r="S84" s="776"/>
      <c r="T84" s="424">
        <v>51</v>
      </c>
      <c r="U84" s="393">
        <v>0</v>
      </c>
      <c r="V84" s="129"/>
      <c r="W84" s="129"/>
      <c r="X84" s="433">
        <v>0</v>
      </c>
      <c r="Y84" s="409">
        <v>2</v>
      </c>
      <c r="Z84" s="431">
        <v>0.5</v>
      </c>
      <c r="AA84" s="407" t="s">
        <v>749</v>
      </c>
      <c r="AB84" s="431">
        <v>3</v>
      </c>
      <c r="AC84" s="413">
        <v>1</v>
      </c>
      <c r="AD84" s="132">
        <v>0</v>
      </c>
      <c r="AE84" s="431">
        <v>3</v>
      </c>
      <c r="AF84" s="441" t="s">
        <v>1804</v>
      </c>
    </row>
    <row r="85" spans="1:32" ht="27" customHeight="1">
      <c r="A85" s="342" t="s">
        <v>2192</v>
      </c>
      <c r="B85" s="182">
        <v>4</v>
      </c>
      <c r="C85" s="343" t="s">
        <v>153</v>
      </c>
      <c r="D85" s="182">
        <v>16</v>
      </c>
      <c r="E85" s="341" t="s">
        <v>1714</v>
      </c>
      <c r="F85" s="371">
        <v>44838</v>
      </c>
      <c r="G85" s="132" t="s">
        <v>2194</v>
      </c>
      <c r="H85" s="314" t="s">
        <v>1905</v>
      </c>
      <c r="I85" s="431">
        <v>15</v>
      </c>
      <c r="J85" s="407" t="s">
        <v>1711</v>
      </c>
      <c r="K85" s="407">
        <v>10</v>
      </c>
      <c r="L85" s="588" t="e">
        <v>#VALUE!</v>
      </c>
      <c r="M85" s="372">
        <v>4</v>
      </c>
      <c r="N85" s="372">
        <v>6.5</v>
      </c>
      <c r="O85" s="372">
        <v>0</v>
      </c>
      <c r="P85" s="372">
        <v>0</v>
      </c>
      <c r="Q85" s="141" t="s">
        <v>1708</v>
      </c>
      <c r="R85" s="372">
        <v>5.333333333333333</v>
      </c>
      <c r="S85" s="776"/>
      <c r="T85" s="424">
        <v>54</v>
      </c>
      <c r="U85" s="393">
        <v>0</v>
      </c>
      <c r="V85" s="129"/>
      <c r="W85" s="129"/>
      <c r="X85" s="433">
        <v>0</v>
      </c>
      <c r="Y85" s="409">
        <v>1</v>
      </c>
      <c r="Z85" s="431">
        <v>0</v>
      </c>
      <c r="AA85" s="407" t="s">
        <v>749</v>
      </c>
      <c r="AB85" s="431">
        <v>3</v>
      </c>
      <c r="AC85" s="413">
        <v>1</v>
      </c>
      <c r="AD85" s="132">
        <v>0</v>
      </c>
      <c r="AE85" s="431">
        <v>0</v>
      </c>
      <c r="AF85" s="441" t="s">
        <v>2196</v>
      </c>
    </row>
    <row r="86" spans="1:32" ht="27" customHeight="1">
      <c r="A86" s="342" t="s">
        <v>2192</v>
      </c>
      <c r="B86" s="182">
        <v>4</v>
      </c>
      <c r="C86" s="343" t="s">
        <v>153</v>
      </c>
      <c r="D86" s="182">
        <v>17</v>
      </c>
      <c r="E86" s="341" t="s">
        <v>2211</v>
      </c>
      <c r="F86" s="371"/>
      <c r="G86" s="132"/>
      <c r="H86" s="314"/>
      <c r="I86" s="431"/>
      <c r="J86" s="407"/>
      <c r="K86" s="407">
        <v>40</v>
      </c>
      <c r="L86" s="588"/>
      <c r="M86" s="372"/>
      <c r="N86" s="372"/>
      <c r="O86" s="372"/>
      <c r="P86" s="372"/>
      <c r="Q86" s="183"/>
      <c r="R86" s="372"/>
      <c r="S86" s="776"/>
      <c r="T86" s="424"/>
      <c r="U86" s="393"/>
      <c r="V86" s="129"/>
      <c r="W86" s="129"/>
      <c r="X86" s="433"/>
      <c r="Y86" s="410"/>
      <c r="Z86" s="431"/>
      <c r="AA86" s="407"/>
      <c r="AB86" s="431"/>
      <c r="AC86" s="413"/>
      <c r="AD86" s="132"/>
      <c r="AE86" s="431"/>
      <c r="AF86" s="441"/>
    </row>
    <row r="87" spans="1:32" ht="27" customHeight="1">
      <c r="A87" s="342" t="s">
        <v>2192</v>
      </c>
      <c r="B87" s="182">
        <v>4</v>
      </c>
      <c r="C87" s="343" t="s">
        <v>153</v>
      </c>
      <c r="D87" s="182">
        <v>18</v>
      </c>
      <c r="E87" s="341" t="s">
        <v>2212</v>
      </c>
      <c r="F87" s="371"/>
      <c r="G87" s="132"/>
      <c r="H87" s="314"/>
      <c r="I87" s="431"/>
      <c r="J87" s="407"/>
      <c r="K87" s="407">
        <v>60</v>
      </c>
      <c r="L87" s="588"/>
      <c r="M87" s="372"/>
      <c r="N87" s="372"/>
      <c r="O87" s="372"/>
      <c r="P87" s="372"/>
      <c r="Q87" s="183"/>
      <c r="R87" s="372"/>
      <c r="S87" s="776"/>
      <c r="T87" s="424"/>
      <c r="U87" s="393"/>
      <c r="V87" s="129"/>
      <c r="W87" s="129"/>
      <c r="X87" s="433"/>
      <c r="Y87" s="409"/>
      <c r="Z87" s="431"/>
      <c r="AA87" s="407"/>
      <c r="AB87" s="431"/>
      <c r="AC87" s="413"/>
      <c r="AD87" s="132"/>
      <c r="AE87" s="431"/>
      <c r="AF87" s="441"/>
    </row>
    <row r="88" spans="1:32" ht="27" customHeight="1">
      <c r="A88" s="342" t="s">
        <v>2192</v>
      </c>
      <c r="B88" s="182">
        <v>4</v>
      </c>
      <c r="C88" s="343" t="s">
        <v>153</v>
      </c>
      <c r="D88" s="182">
        <v>19</v>
      </c>
      <c r="E88" s="341" t="s">
        <v>1715</v>
      </c>
      <c r="F88" s="371"/>
      <c r="G88" s="132"/>
      <c r="H88" s="314"/>
      <c r="I88" s="431"/>
      <c r="J88" s="407"/>
      <c r="K88" s="407">
        <v>40</v>
      </c>
      <c r="L88" s="588"/>
      <c r="M88" s="372"/>
      <c r="N88" s="372"/>
      <c r="O88" s="372"/>
      <c r="P88" s="372"/>
      <c r="Q88" s="183"/>
      <c r="R88" s="372"/>
      <c r="S88" s="776"/>
      <c r="T88" s="424"/>
      <c r="U88" s="393"/>
      <c r="V88" s="129"/>
      <c r="W88" s="129"/>
      <c r="X88" s="433"/>
      <c r="Y88" s="409"/>
      <c r="Z88" s="431"/>
      <c r="AA88" s="407"/>
      <c r="AB88" s="431"/>
      <c r="AC88" s="413"/>
      <c r="AD88" s="132"/>
      <c r="AE88" s="431"/>
      <c r="AF88" s="441"/>
    </row>
    <row r="89" spans="1:32" ht="27" customHeight="1">
      <c r="A89" s="342" t="s">
        <v>2192</v>
      </c>
      <c r="B89" s="182">
        <v>4</v>
      </c>
      <c r="C89" s="343" t="s">
        <v>153</v>
      </c>
      <c r="D89" s="182">
        <v>20</v>
      </c>
      <c r="E89" s="341" t="s">
        <v>1716</v>
      </c>
      <c r="F89" s="371"/>
      <c r="G89" s="132"/>
      <c r="H89" s="314"/>
      <c r="I89" s="431"/>
      <c r="J89" s="407"/>
      <c r="K89" s="407">
        <v>40</v>
      </c>
      <c r="L89" s="588"/>
      <c r="M89" s="372"/>
      <c r="N89" s="372"/>
      <c r="O89" s="372"/>
      <c r="P89" s="372"/>
      <c r="Q89" s="183"/>
      <c r="R89" s="372"/>
      <c r="S89" s="776"/>
      <c r="T89" s="424"/>
      <c r="U89" s="393"/>
      <c r="V89" s="129"/>
      <c r="W89" s="129"/>
      <c r="X89" s="433"/>
      <c r="Y89" s="409"/>
      <c r="Z89" s="431"/>
      <c r="AA89" s="407"/>
      <c r="AB89" s="431"/>
      <c r="AC89" s="413"/>
      <c r="AD89" s="132"/>
      <c r="AE89" s="431"/>
      <c r="AF89" s="441"/>
    </row>
    <row r="90" spans="1:32" ht="27" customHeight="1">
      <c r="A90" s="342" t="s">
        <v>2192</v>
      </c>
      <c r="B90" s="182">
        <v>4</v>
      </c>
      <c r="C90" s="343" t="s">
        <v>153</v>
      </c>
      <c r="D90" s="182">
        <v>21</v>
      </c>
      <c r="E90" s="341" t="s">
        <v>1717</v>
      </c>
      <c r="F90" s="371"/>
      <c r="G90" s="132"/>
      <c r="H90" s="314"/>
      <c r="I90" s="431"/>
      <c r="J90" s="407"/>
      <c r="K90" s="407">
        <v>50</v>
      </c>
      <c r="L90" s="588"/>
      <c r="M90" s="372"/>
      <c r="N90" s="372"/>
      <c r="O90" s="372"/>
      <c r="P90" s="372"/>
      <c r="Q90" s="183"/>
      <c r="R90" s="372"/>
      <c r="S90" s="776"/>
      <c r="T90" s="424"/>
      <c r="U90" s="393"/>
      <c r="V90" s="129"/>
      <c r="W90" s="129"/>
      <c r="X90" s="433"/>
      <c r="Y90" s="410"/>
      <c r="Z90" s="431"/>
      <c r="AA90" s="407"/>
      <c r="AB90" s="431"/>
      <c r="AC90" s="413"/>
      <c r="AD90" s="132"/>
      <c r="AE90" s="431"/>
      <c r="AF90" s="441"/>
    </row>
    <row r="91" spans="1:32" ht="27" customHeight="1">
      <c r="A91" s="342" t="s">
        <v>2192</v>
      </c>
      <c r="B91" s="182">
        <v>4</v>
      </c>
      <c r="C91" s="343" t="s">
        <v>153</v>
      </c>
      <c r="D91" s="182">
        <v>22</v>
      </c>
      <c r="E91" s="341" t="s">
        <v>1718</v>
      </c>
      <c r="F91" s="371"/>
      <c r="G91" s="132"/>
      <c r="H91" s="314"/>
      <c r="I91" s="431"/>
      <c r="J91" s="407"/>
      <c r="K91" s="407">
        <v>50</v>
      </c>
      <c r="L91" s="588"/>
      <c r="M91" s="372"/>
      <c r="N91" s="372"/>
      <c r="O91" s="372"/>
      <c r="P91" s="372"/>
      <c r="Q91" s="183"/>
      <c r="R91" s="372"/>
      <c r="S91" s="776"/>
      <c r="T91" s="424"/>
      <c r="U91" s="393"/>
      <c r="V91" s="129"/>
      <c r="W91" s="129"/>
      <c r="X91" s="440"/>
      <c r="Y91" s="409"/>
      <c r="Z91" s="431"/>
      <c r="AA91" s="407"/>
      <c r="AB91" s="431"/>
      <c r="AC91" s="413"/>
      <c r="AD91" s="132"/>
      <c r="AE91" s="431"/>
      <c r="AF91" s="441"/>
    </row>
    <row r="92" spans="1:32" s="285" customFormat="1" ht="27" customHeight="1">
      <c r="A92" s="342" t="s">
        <v>2192</v>
      </c>
      <c r="B92" s="182">
        <v>4</v>
      </c>
      <c r="C92" s="343" t="s">
        <v>153</v>
      </c>
      <c r="D92" s="182">
        <v>23</v>
      </c>
      <c r="E92" s="341" t="s">
        <v>2213</v>
      </c>
      <c r="F92" s="371">
        <v>44838</v>
      </c>
      <c r="G92" s="132" t="s">
        <v>2194</v>
      </c>
      <c r="H92" s="314" t="s">
        <v>1905</v>
      </c>
      <c r="I92" s="431">
        <v>15</v>
      </c>
      <c r="J92" s="407">
        <v>20</v>
      </c>
      <c r="K92" s="407">
        <v>20</v>
      </c>
      <c r="L92" s="588">
        <v>0</v>
      </c>
      <c r="M92" s="372">
        <v>10</v>
      </c>
      <c r="N92" s="372">
        <v>45</v>
      </c>
      <c r="O92" s="372">
        <v>2</v>
      </c>
      <c r="P92" s="372">
        <v>1.5</v>
      </c>
      <c r="Q92" s="183" t="s">
        <v>1708</v>
      </c>
      <c r="R92" s="372">
        <v>8</v>
      </c>
      <c r="S92" s="776"/>
      <c r="T92" s="431">
        <v>20</v>
      </c>
      <c r="U92" s="393">
        <v>0</v>
      </c>
      <c r="V92" s="129"/>
      <c r="W92" s="129"/>
      <c r="X92" s="433">
        <v>0</v>
      </c>
      <c r="Y92" s="409">
        <v>2</v>
      </c>
      <c r="Z92" s="431">
        <v>0.5</v>
      </c>
      <c r="AA92" s="407" t="s">
        <v>749</v>
      </c>
      <c r="AB92" s="431">
        <v>1</v>
      </c>
      <c r="AC92" s="413">
        <v>0</v>
      </c>
      <c r="AD92" s="132">
        <v>0</v>
      </c>
      <c r="AE92" s="431">
        <v>5</v>
      </c>
      <c r="AF92" s="441" t="s">
        <v>1804</v>
      </c>
    </row>
    <row r="93" spans="1:32" s="285" customFormat="1" ht="27" customHeight="1">
      <c r="A93" s="342" t="s">
        <v>2192</v>
      </c>
      <c r="B93" s="182">
        <v>4</v>
      </c>
      <c r="C93" s="343" t="s">
        <v>153</v>
      </c>
      <c r="D93" s="182">
        <v>24</v>
      </c>
      <c r="E93" s="341" t="s">
        <v>2214</v>
      </c>
      <c r="F93" s="371">
        <v>44838</v>
      </c>
      <c r="G93" s="132" t="s">
        <v>2194</v>
      </c>
      <c r="H93" s="314" t="s">
        <v>1905</v>
      </c>
      <c r="I93" s="431">
        <v>15</v>
      </c>
      <c r="J93" s="407">
        <v>50</v>
      </c>
      <c r="K93" s="407">
        <v>60</v>
      </c>
      <c r="L93" s="588">
        <v>-10</v>
      </c>
      <c r="M93" s="372">
        <v>25</v>
      </c>
      <c r="N93" s="372">
        <v>15</v>
      </c>
      <c r="O93" s="372">
        <v>1.5</v>
      </c>
      <c r="P93" s="372">
        <v>1.5</v>
      </c>
      <c r="Q93" s="183" t="s">
        <v>1708</v>
      </c>
      <c r="R93" s="372">
        <v>31.333333333333332</v>
      </c>
      <c r="S93" s="776"/>
      <c r="T93" s="424">
        <v>76.666666666666671</v>
      </c>
      <c r="U93" s="393">
        <v>0</v>
      </c>
      <c r="V93" s="129"/>
      <c r="W93" s="129"/>
      <c r="X93" s="433">
        <v>0</v>
      </c>
      <c r="Y93" s="409">
        <v>1</v>
      </c>
      <c r="Z93" s="431">
        <v>0</v>
      </c>
      <c r="AA93" s="407" t="s">
        <v>749</v>
      </c>
      <c r="AB93" s="431">
        <v>3</v>
      </c>
      <c r="AC93" s="413">
        <v>1</v>
      </c>
      <c r="AD93" s="132">
        <v>0</v>
      </c>
      <c r="AE93" s="431" t="s">
        <v>2215</v>
      </c>
      <c r="AF93" s="441" t="s">
        <v>1804</v>
      </c>
    </row>
    <row r="94" spans="1:32" ht="27" customHeight="1">
      <c r="A94" s="342" t="s">
        <v>2192</v>
      </c>
      <c r="B94" s="182">
        <v>4</v>
      </c>
      <c r="C94" s="343" t="s">
        <v>153</v>
      </c>
      <c r="D94" s="182">
        <v>25</v>
      </c>
      <c r="E94" s="341" t="s">
        <v>2216</v>
      </c>
      <c r="F94" s="371">
        <v>44838</v>
      </c>
      <c r="G94" s="132" t="s">
        <v>2194</v>
      </c>
      <c r="H94" s="314" t="s">
        <v>1905</v>
      </c>
      <c r="I94" s="431">
        <v>15</v>
      </c>
      <c r="J94" s="407">
        <v>50</v>
      </c>
      <c r="K94" s="407">
        <v>60</v>
      </c>
      <c r="L94" s="588">
        <v>-10</v>
      </c>
      <c r="M94" s="372">
        <v>10</v>
      </c>
      <c r="N94" s="372">
        <v>40</v>
      </c>
      <c r="O94" s="372">
        <v>2</v>
      </c>
      <c r="P94" s="372">
        <v>2</v>
      </c>
      <c r="Q94" s="183" t="s">
        <v>1708</v>
      </c>
      <c r="R94" s="372">
        <v>24</v>
      </c>
      <c r="S94" s="776"/>
      <c r="T94" s="424">
        <v>76</v>
      </c>
      <c r="U94" s="393">
        <v>0.5</v>
      </c>
      <c r="V94" s="129" t="s">
        <v>1719</v>
      </c>
      <c r="W94" s="129" t="s">
        <v>1719</v>
      </c>
      <c r="X94" s="433">
        <v>0.5</v>
      </c>
      <c r="Y94" s="410">
        <v>2</v>
      </c>
      <c r="Z94" s="431">
        <v>0.5</v>
      </c>
      <c r="AA94" s="407" t="s">
        <v>749</v>
      </c>
      <c r="AB94" s="431">
        <v>2</v>
      </c>
      <c r="AC94" s="413">
        <v>0</v>
      </c>
      <c r="AD94" s="132">
        <v>0</v>
      </c>
      <c r="AE94" s="431">
        <v>10</v>
      </c>
      <c r="AF94" s="441" t="s">
        <v>1804</v>
      </c>
    </row>
    <row r="95" spans="1:32" s="285" customFormat="1" ht="27" customHeight="1">
      <c r="A95" s="342" t="s">
        <v>2192</v>
      </c>
      <c r="B95" s="182">
        <v>4</v>
      </c>
      <c r="C95" s="343" t="s">
        <v>153</v>
      </c>
      <c r="D95" s="182">
        <v>26</v>
      </c>
      <c r="E95" s="340" t="s">
        <v>190</v>
      </c>
      <c r="F95" s="371"/>
      <c r="G95" s="132"/>
      <c r="H95" s="336"/>
      <c r="I95" s="431"/>
      <c r="J95" s="407"/>
      <c r="K95" s="407"/>
      <c r="L95" s="588"/>
      <c r="M95" s="372"/>
      <c r="N95" s="372"/>
      <c r="O95" s="372"/>
      <c r="P95" s="372"/>
      <c r="Q95" s="132"/>
      <c r="R95" s="132"/>
      <c r="S95" s="778"/>
      <c r="T95" s="431"/>
      <c r="U95" s="724"/>
      <c r="V95" s="129"/>
      <c r="W95" s="129"/>
      <c r="X95" s="440"/>
      <c r="Y95" s="413"/>
      <c r="Z95" s="431"/>
      <c r="AA95" s="407"/>
      <c r="AB95" s="431"/>
      <c r="AC95" s="413"/>
      <c r="AD95" s="132"/>
      <c r="AE95" s="431"/>
      <c r="AF95" s="586"/>
    </row>
    <row r="96" spans="1:32" ht="27" customHeight="1">
      <c r="A96" s="342" t="s">
        <v>2192</v>
      </c>
      <c r="B96" s="182">
        <v>4</v>
      </c>
      <c r="C96" s="343" t="s">
        <v>153</v>
      </c>
      <c r="D96" s="182">
        <v>27</v>
      </c>
      <c r="E96" s="340" t="s">
        <v>191</v>
      </c>
      <c r="F96" s="371"/>
      <c r="G96" s="132"/>
      <c r="H96" s="314"/>
      <c r="I96" s="431"/>
      <c r="J96" s="407"/>
      <c r="K96" s="407">
        <v>70</v>
      </c>
      <c r="L96" s="588"/>
      <c r="M96" s="372"/>
      <c r="N96" s="372"/>
      <c r="O96" s="372"/>
      <c r="P96" s="372"/>
      <c r="Q96" s="183"/>
      <c r="R96" s="372"/>
      <c r="S96" s="776"/>
      <c r="T96" s="424"/>
      <c r="U96" s="393"/>
      <c r="V96" s="129"/>
      <c r="W96" s="129"/>
      <c r="X96" s="433"/>
      <c r="Y96" s="409"/>
      <c r="Z96" s="431"/>
      <c r="AA96" s="407"/>
      <c r="AB96" s="431"/>
      <c r="AC96" s="413"/>
      <c r="AD96" s="132"/>
      <c r="AE96" s="431"/>
      <c r="AF96" s="441"/>
    </row>
    <row r="97" spans="1:32" ht="27" customHeight="1">
      <c r="A97" s="342" t="s">
        <v>2192</v>
      </c>
      <c r="B97" s="182">
        <v>4</v>
      </c>
      <c r="C97" s="343" t="s">
        <v>153</v>
      </c>
      <c r="D97" s="182">
        <v>28</v>
      </c>
      <c r="E97" s="341" t="s">
        <v>2217</v>
      </c>
      <c r="F97" s="371">
        <v>44838</v>
      </c>
      <c r="G97" s="132" t="s">
        <v>2194</v>
      </c>
      <c r="H97" s="314" t="s">
        <v>1905</v>
      </c>
      <c r="I97" s="431">
        <v>15</v>
      </c>
      <c r="J97" s="407">
        <v>80</v>
      </c>
      <c r="K97" s="407">
        <v>60</v>
      </c>
      <c r="L97" s="588">
        <v>20</v>
      </c>
      <c r="M97" s="372">
        <v>3</v>
      </c>
      <c r="N97" s="372">
        <v>10</v>
      </c>
      <c r="O97" s="372">
        <v>0</v>
      </c>
      <c r="P97" s="372">
        <v>0</v>
      </c>
      <c r="Q97" s="183" t="s">
        <v>1942</v>
      </c>
      <c r="R97" s="372">
        <v>14.666666666666666</v>
      </c>
      <c r="S97" s="776"/>
      <c r="T97" s="424">
        <v>80</v>
      </c>
      <c r="U97" s="393">
        <v>0</v>
      </c>
      <c r="V97" s="129"/>
      <c r="W97" s="129"/>
      <c r="X97" s="433">
        <v>0</v>
      </c>
      <c r="Y97" s="409">
        <v>1</v>
      </c>
      <c r="Z97" s="431">
        <v>0</v>
      </c>
      <c r="AA97" s="407" t="s">
        <v>749</v>
      </c>
      <c r="AB97" s="431" t="s">
        <v>749</v>
      </c>
      <c r="AC97" s="413">
        <v>0</v>
      </c>
      <c r="AD97" s="132">
        <v>0</v>
      </c>
      <c r="AE97" s="431" t="s">
        <v>2215</v>
      </c>
      <c r="AF97" s="441" t="s">
        <v>2196</v>
      </c>
    </row>
    <row r="98" spans="1:32" s="285" customFormat="1" ht="27" customHeight="1">
      <c r="A98" s="342" t="s">
        <v>2192</v>
      </c>
      <c r="B98" s="182">
        <v>4</v>
      </c>
      <c r="C98" s="343" t="s">
        <v>153</v>
      </c>
      <c r="D98" s="182">
        <v>29</v>
      </c>
      <c r="E98" s="341" t="s">
        <v>193</v>
      </c>
      <c r="F98" s="371"/>
      <c r="G98" s="132"/>
      <c r="H98" s="336"/>
      <c r="I98" s="431"/>
      <c r="J98" s="407"/>
      <c r="K98" s="407"/>
      <c r="L98" s="588"/>
      <c r="M98" s="372"/>
      <c r="N98" s="372"/>
      <c r="O98" s="372"/>
      <c r="P98" s="372"/>
      <c r="Q98" s="132"/>
      <c r="R98" s="132"/>
      <c r="S98" s="778"/>
      <c r="T98" s="431"/>
      <c r="U98" s="724"/>
      <c r="V98" s="129"/>
      <c r="W98" s="129"/>
      <c r="X98" s="440"/>
      <c r="Y98" s="413"/>
      <c r="Z98" s="431"/>
      <c r="AA98" s="407"/>
      <c r="AB98" s="431"/>
      <c r="AC98" s="413"/>
      <c r="AD98" s="132"/>
      <c r="AE98" s="431"/>
      <c r="AF98" s="586"/>
    </row>
    <row r="99" spans="1:32" s="285" customFormat="1" ht="27" customHeight="1">
      <c r="A99" s="342" t="s">
        <v>2192</v>
      </c>
      <c r="B99" s="182">
        <v>4</v>
      </c>
      <c r="C99" s="343" t="s">
        <v>153</v>
      </c>
      <c r="D99" s="182">
        <v>30</v>
      </c>
      <c r="E99" s="341" t="s">
        <v>197</v>
      </c>
      <c r="F99" s="371"/>
      <c r="G99" s="132"/>
      <c r="H99" s="336"/>
      <c r="I99" s="431"/>
      <c r="J99" s="407"/>
      <c r="K99" s="407"/>
      <c r="L99" s="588"/>
      <c r="M99" s="372"/>
      <c r="N99" s="372"/>
      <c r="O99" s="372"/>
      <c r="P99" s="372"/>
      <c r="Q99" s="132"/>
      <c r="R99" s="132"/>
      <c r="S99" s="778"/>
      <c r="T99" s="431"/>
      <c r="U99" s="724"/>
      <c r="V99" s="129"/>
      <c r="W99" s="129"/>
      <c r="X99" s="440"/>
      <c r="Y99" s="413"/>
      <c r="Z99" s="431"/>
      <c r="AA99" s="407"/>
      <c r="AB99" s="431"/>
      <c r="AC99" s="413"/>
      <c r="AD99" s="132"/>
      <c r="AE99" s="431"/>
      <c r="AF99" s="586"/>
    </row>
    <row r="100" spans="1:32" s="285" customFormat="1" ht="27" customHeight="1">
      <c r="A100" s="342" t="s">
        <v>2192</v>
      </c>
      <c r="B100" s="182">
        <v>4</v>
      </c>
      <c r="C100" s="343" t="s">
        <v>153</v>
      </c>
      <c r="D100" s="182">
        <v>31</v>
      </c>
      <c r="E100" s="341" t="s">
        <v>198</v>
      </c>
      <c r="F100" s="371"/>
      <c r="G100" s="132"/>
      <c r="H100" s="336"/>
      <c r="I100" s="431"/>
      <c r="J100" s="407"/>
      <c r="K100" s="407"/>
      <c r="L100" s="588"/>
      <c r="M100" s="372"/>
      <c r="N100" s="372"/>
      <c r="O100" s="372"/>
      <c r="P100" s="372"/>
      <c r="Q100" s="132"/>
      <c r="R100" s="132"/>
      <c r="S100" s="778"/>
      <c r="T100" s="431"/>
      <c r="U100" s="724"/>
      <c r="V100" s="129"/>
      <c r="W100" s="129"/>
      <c r="X100" s="440"/>
      <c r="Y100" s="413"/>
      <c r="Z100" s="431"/>
      <c r="AA100" s="407"/>
      <c r="AB100" s="431"/>
      <c r="AC100" s="413"/>
      <c r="AD100" s="132"/>
      <c r="AE100" s="431"/>
      <c r="AF100" s="586"/>
    </row>
    <row r="101" spans="1:32" s="285" customFormat="1" ht="27" customHeight="1">
      <c r="A101" s="342" t="s">
        <v>2192</v>
      </c>
      <c r="B101" s="182">
        <v>4</v>
      </c>
      <c r="C101" s="343" t="s">
        <v>153</v>
      </c>
      <c r="D101" s="182">
        <v>32</v>
      </c>
      <c r="E101" s="341" t="s">
        <v>200</v>
      </c>
      <c r="F101" s="371"/>
      <c r="G101" s="132"/>
      <c r="H101" s="336"/>
      <c r="I101" s="431"/>
      <c r="J101" s="407"/>
      <c r="K101" s="407"/>
      <c r="L101" s="588"/>
      <c r="M101" s="372"/>
      <c r="N101" s="372"/>
      <c r="O101" s="372"/>
      <c r="P101" s="372"/>
      <c r="Q101" s="132"/>
      <c r="R101" s="132"/>
      <c r="S101" s="778"/>
      <c r="T101" s="431"/>
      <c r="U101" s="724"/>
      <c r="V101" s="129"/>
      <c r="W101" s="129"/>
      <c r="X101" s="440"/>
      <c r="Y101" s="413"/>
      <c r="Z101" s="431"/>
      <c r="AA101" s="407"/>
      <c r="AB101" s="431"/>
      <c r="AC101" s="413"/>
      <c r="AD101" s="132"/>
      <c r="AE101" s="431"/>
      <c r="AF101" s="586"/>
    </row>
    <row r="102" spans="1:32" s="285" customFormat="1" ht="27" customHeight="1">
      <c r="A102" s="342" t="s">
        <v>2192</v>
      </c>
      <c r="B102" s="182">
        <v>4</v>
      </c>
      <c r="C102" s="343" t="s">
        <v>153</v>
      </c>
      <c r="D102" s="182">
        <v>33</v>
      </c>
      <c r="E102" s="341" t="s">
        <v>201</v>
      </c>
      <c r="F102" s="371">
        <v>44922</v>
      </c>
      <c r="G102" s="132" t="s">
        <v>2194</v>
      </c>
      <c r="H102" s="314" t="s">
        <v>1905</v>
      </c>
      <c r="I102" s="431">
        <v>15</v>
      </c>
      <c r="J102" s="407">
        <v>60</v>
      </c>
      <c r="K102" s="407">
        <v>50</v>
      </c>
      <c r="L102" s="588">
        <v>10</v>
      </c>
      <c r="M102" s="372">
        <v>0</v>
      </c>
      <c r="N102" s="372">
        <v>0</v>
      </c>
      <c r="O102" s="372">
        <v>0</v>
      </c>
      <c r="P102" s="372">
        <v>0</v>
      </c>
      <c r="Q102" s="183" t="s">
        <v>1708</v>
      </c>
      <c r="R102" s="372">
        <v>15.333333333333334</v>
      </c>
      <c r="S102" s="776"/>
      <c r="T102" s="424">
        <v>108</v>
      </c>
      <c r="U102" s="393">
        <v>0</v>
      </c>
      <c r="V102" s="129"/>
      <c r="W102" s="129"/>
      <c r="X102" s="433">
        <v>0</v>
      </c>
      <c r="Y102" s="409">
        <v>1</v>
      </c>
      <c r="Z102" s="431">
        <v>0</v>
      </c>
      <c r="AA102" s="407" t="s">
        <v>749</v>
      </c>
      <c r="AB102" s="431">
        <v>2</v>
      </c>
      <c r="AC102" s="413">
        <v>0</v>
      </c>
      <c r="AD102" s="132">
        <v>0</v>
      </c>
      <c r="AE102" s="431">
        <v>6</v>
      </c>
      <c r="AF102" s="441" t="s">
        <v>1804</v>
      </c>
    </row>
    <row r="103" spans="1:32" s="285" customFormat="1" ht="27" customHeight="1">
      <c r="A103" s="342" t="s">
        <v>2192</v>
      </c>
      <c r="B103" s="182">
        <v>4</v>
      </c>
      <c r="C103" s="343" t="s">
        <v>153</v>
      </c>
      <c r="D103" s="182">
        <v>34</v>
      </c>
      <c r="E103" s="341" t="s">
        <v>202</v>
      </c>
      <c r="F103" s="371"/>
      <c r="G103" s="132"/>
      <c r="H103" s="336"/>
      <c r="I103" s="431"/>
      <c r="J103" s="407"/>
      <c r="K103" s="407"/>
      <c r="L103" s="588"/>
      <c r="M103" s="372"/>
      <c r="N103" s="372"/>
      <c r="O103" s="372"/>
      <c r="P103" s="372"/>
      <c r="Q103" s="132"/>
      <c r="R103" s="132"/>
      <c r="S103" s="778"/>
      <c r="T103" s="431"/>
      <c r="U103" s="724"/>
      <c r="V103" s="129"/>
      <c r="W103" s="129"/>
      <c r="X103" s="440"/>
      <c r="Y103" s="413"/>
      <c r="Z103" s="431"/>
      <c r="AA103" s="407"/>
      <c r="AB103" s="431"/>
      <c r="AC103" s="413"/>
      <c r="AD103" s="132"/>
      <c r="AE103" s="431"/>
      <c r="AF103" s="586"/>
    </row>
    <row r="104" spans="1:32" s="285" customFormat="1" ht="27" customHeight="1">
      <c r="A104" s="342" t="s">
        <v>2192</v>
      </c>
      <c r="B104" s="182">
        <v>4</v>
      </c>
      <c r="C104" s="343" t="s">
        <v>153</v>
      </c>
      <c r="D104" s="182">
        <v>35</v>
      </c>
      <c r="E104" s="341" t="s">
        <v>204</v>
      </c>
      <c r="F104" s="109"/>
      <c r="G104" s="109"/>
      <c r="H104" s="109"/>
      <c r="I104" s="110"/>
      <c r="J104" s="391"/>
      <c r="K104" s="391"/>
      <c r="L104" s="588"/>
      <c r="M104" s="338"/>
      <c r="N104" s="338"/>
      <c r="O104" s="338"/>
      <c r="P104" s="338"/>
      <c r="Q104" s="109"/>
      <c r="R104" s="109"/>
      <c r="S104" s="777"/>
      <c r="T104" s="110"/>
      <c r="U104" s="722"/>
      <c r="V104" s="364"/>
      <c r="W104" s="364"/>
      <c r="X104" s="723"/>
      <c r="Y104" s="403"/>
      <c r="Z104" s="110"/>
      <c r="AA104" s="391"/>
      <c r="AB104" s="110"/>
      <c r="AC104" s="403"/>
      <c r="AD104" s="109"/>
      <c r="AE104" s="110"/>
      <c r="AF104" s="307"/>
    </row>
    <row r="105" spans="1:32" s="285" customFormat="1" ht="27" customHeight="1">
      <c r="A105" s="342" t="s">
        <v>2192</v>
      </c>
      <c r="B105" s="182">
        <v>4</v>
      </c>
      <c r="C105" s="343" t="s">
        <v>153</v>
      </c>
      <c r="D105" s="182">
        <v>36</v>
      </c>
      <c r="E105" s="341" t="s">
        <v>205</v>
      </c>
      <c r="F105" s="371"/>
      <c r="G105" s="132"/>
      <c r="H105" s="336"/>
      <c r="I105" s="431"/>
      <c r="J105" s="407"/>
      <c r="K105" s="407"/>
      <c r="L105" s="588"/>
      <c r="M105" s="372"/>
      <c r="N105" s="372"/>
      <c r="O105" s="372"/>
      <c r="P105" s="372"/>
      <c r="Q105" s="132"/>
      <c r="R105" s="132"/>
      <c r="S105" s="778"/>
      <c r="T105" s="431"/>
      <c r="U105" s="724"/>
      <c r="V105" s="129"/>
      <c r="W105" s="129"/>
      <c r="X105" s="440"/>
      <c r="Y105" s="413"/>
      <c r="Z105" s="431"/>
      <c r="AA105" s="407"/>
      <c r="AB105" s="431"/>
      <c r="AC105" s="413"/>
      <c r="AD105" s="132"/>
      <c r="AE105" s="431"/>
      <c r="AF105" s="586"/>
    </row>
    <row r="106" spans="1:32" s="285" customFormat="1" ht="27" customHeight="1">
      <c r="A106" s="342" t="s">
        <v>2192</v>
      </c>
      <c r="B106" s="182">
        <v>4</v>
      </c>
      <c r="C106" s="343" t="s">
        <v>153</v>
      </c>
      <c r="D106" s="182">
        <v>37</v>
      </c>
      <c r="E106" s="341" t="s">
        <v>206</v>
      </c>
      <c r="F106" s="371"/>
      <c r="G106" s="132"/>
      <c r="H106" s="336"/>
      <c r="I106" s="431"/>
      <c r="J106" s="407"/>
      <c r="K106" s="407"/>
      <c r="L106" s="588"/>
      <c r="M106" s="372"/>
      <c r="N106" s="372"/>
      <c r="O106" s="372"/>
      <c r="P106" s="372"/>
      <c r="Q106" s="132"/>
      <c r="R106" s="132"/>
      <c r="S106" s="778"/>
      <c r="T106" s="431"/>
      <c r="U106" s="724"/>
      <c r="V106" s="129"/>
      <c r="W106" s="129"/>
      <c r="X106" s="440"/>
      <c r="Y106" s="413"/>
      <c r="Z106" s="431"/>
      <c r="AA106" s="407"/>
      <c r="AB106" s="431"/>
      <c r="AC106" s="413"/>
      <c r="AD106" s="132"/>
      <c r="AE106" s="431"/>
      <c r="AF106" s="586"/>
    </row>
    <row r="107" spans="1:32" s="285" customFormat="1" ht="27" customHeight="1">
      <c r="A107" s="342" t="s">
        <v>2192</v>
      </c>
      <c r="B107" s="182">
        <v>4</v>
      </c>
      <c r="C107" s="343" t="s">
        <v>153</v>
      </c>
      <c r="D107" s="182">
        <v>38</v>
      </c>
      <c r="E107" s="341" t="s">
        <v>2218</v>
      </c>
      <c r="F107" s="371"/>
      <c r="G107" s="132"/>
      <c r="H107" s="336"/>
      <c r="I107" s="431"/>
      <c r="J107" s="407"/>
      <c r="K107" s="407"/>
      <c r="L107" s="588"/>
      <c r="M107" s="372"/>
      <c r="N107" s="372"/>
      <c r="O107" s="372"/>
      <c r="P107" s="372"/>
      <c r="Q107" s="132"/>
      <c r="R107" s="132"/>
      <c r="S107" s="778"/>
      <c r="T107" s="431"/>
      <c r="U107" s="724"/>
      <c r="V107" s="129"/>
      <c r="W107" s="129"/>
      <c r="X107" s="440"/>
      <c r="Y107" s="413"/>
      <c r="Z107" s="431"/>
      <c r="AA107" s="407"/>
      <c r="AB107" s="431"/>
      <c r="AC107" s="413"/>
      <c r="AD107" s="132"/>
      <c r="AE107" s="431"/>
      <c r="AF107" s="586"/>
    </row>
    <row r="108" spans="1:32" ht="27" customHeight="1">
      <c r="A108" s="342" t="s">
        <v>2192</v>
      </c>
      <c r="B108" s="182">
        <v>4</v>
      </c>
      <c r="C108" s="343" t="s">
        <v>153</v>
      </c>
      <c r="D108" s="182">
        <v>39</v>
      </c>
      <c r="E108" s="341" t="s">
        <v>212</v>
      </c>
      <c r="F108" s="371">
        <v>44838</v>
      </c>
      <c r="G108" s="132" t="s">
        <v>2194</v>
      </c>
      <c r="H108" s="109" t="s">
        <v>1713</v>
      </c>
      <c r="I108" s="431">
        <v>15</v>
      </c>
      <c r="J108" s="407">
        <v>60</v>
      </c>
      <c r="K108" s="407">
        <v>60</v>
      </c>
      <c r="L108" s="588">
        <v>0</v>
      </c>
      <c r="M108" s="372">
        <v>7.5</v>
      </c>
      <c r="N108" s="372">
        <v>11.5</v>
      </c>
      <c r="O108" s="372">
        <v>1.5</v>
      </c>
      <c r="P108" s="372">
        <v>0.5</v>
      </c>
      <c r="Q108" s="183" t="s">
        <v>1708</v>
      </c>
      <c r="R108" s="372">
        <v>13.333333333333334</v>
      </c>
      <c r="S108" s="776"/>
      <c r="T108" s="424">
        <v>60</v>
      </c>
      <c r="U108" s="393">
        <v>0</v>
      </c>
      <c r="V108" s="129"/>
      <c r="W108" s="129"/>
      <c r="X108" s="433">
        <v>0</v>
      </c>
      <c r="Y108" s="409">
        <v>1</v>
      </c>
      <c r="Z108" s="431">
        <v>0</v>
      </c>
      <c r="AA108" s="407" t="s">
        <v>749</v>
      </c>
      <c r="AB108" s="431">
        <v>2</v>
      </c>
      <c r="AC108" s="413">
        <v>1</v>
      </c>
      <c r="AD108" s="132">
        <v>0</v>
      </c>
      <c r="AE108" s="431" t="s">
        <v>2219</v>
      </c>
      <c r="AF108" s="441" t="s">
        <v>1804</v>
      </c>
    </row>
    <row r="109" spans="1:32" ht="27" customHeight="1">
      <c r="A109" s="346" t="s">
        <v>2220</v>
      </c>
      <c r="B109" s="340">
        <v>4</v>
      </c>
      <c r="C109" s="346" t="s">
        <v>2221</v>
      </c>
      <c r="D109" s="340">
        <v>40</v>
      </c>
      <c r="E109" s="341" t="s">
        <v>2222</v>
      </c>
      <c r="F109" s="371">
        <v>44946</v>
      </c>
      <c r="G109" s="132" t="s">
        <v>2194</v>
      </c>
      <c r="H109" s="314" t="s">
        <v>1905</v>
      </c>
      <c r="I109" s="431">
        <v>15</v>
      </c>
      <c r="J109" s="407">
        <v>70</v>
      </c>
      <c r="K109" s="407">
        <v>70</v>
      </c>
      <c r="L109" s="588">
        <v>0</v>
      </c>
      <c r="M109" s="372">
        <v>0</v>
      </c>
      <c r="N109" s="372">
        <v>0</v>
      </c>
      <c r="O109" s="372">
        <v>0</v>
      </c>
      <c r="P109" s="372">
        <v>0</v>
      </c>
      <c r="Q109" s="183" t="s">
        <v>1708</v>
      </c>
      <c r="R109" s="372">
        <v>15.333333333333334</v>
      </c>
      <c r="S109" s="776"/>
      <c r="T109" s="424">
        <v>68</v>
      </c>
      <c r="U109" s="393">
        <v>0</v>
      </c>
      <c r="V109" s="129"/>
      <c r="W109" s="129"/>
      <c r="X109" s="433">
        <v>0</v>
      </c>
      <c r="Y109" s="409">
        <v>1</v>
      </c>
      <c r="Z109" s="431">
        <v>0</v>
      </c>
      <c r="AA109" s="407" t="s">
        <v>749</v>
      </c>
      <c r="AB109" s="431">
        <v>1</v>
      </c>
      <c r="AC109" s="413">
        <v>0</v>
      </c>
      <c r="AD109" s="132">
        <v>0</v>
      </c>
      <c r="AE109" s="431">
        <v>3</v>
      </c>
      <c r="AF109" s="441" t="s">
        <v>1804</v>
      </c>
    </row>
    <row r="110" spans="1:32" ht="27" customHeight="1">
      <c r="A110" s="346" t="s">
        <v>2220</v>
      </c>
      <c r="B110" s="340">
        <v>4</v>
      </c>
      <c r="C110" s="346" t="s">
        <v>2221</v>
      </c>
      <c r="D110" s="340">
        <v>41</v>
      </c>
      <c r="E110" s="341" t="s">
        <v>2223</v>
      </c>
      <c r="F110" s="109"/>
      <c r="G110" s="109"/>
      <c r="H110" s="109"/>
      <c r="I110" s="110"/>
      <c r="J110" s="391"/>
      <c r="K110" s="391"/>
      <c r="L110" s="588"/>
      <c r="M110" s="338"/>
      <c r="N110" s="338"/>
      <c r="O110" s="338"/>
      <c r="P110" s="338"/>
      <c r="Q110" s="109"/>
      <c r="R110" s="109"/>
      <c r="S110" s="777"/>
      <c r="T110" s="110"/>
      <c r="U110" s="722"/>
      <c r="V110" s="364"/>
      <c r="W110" s="364"/>
      <c r="X110" s="723"/>
      <c r="Y110" s="403"/>
      <c r="Z110" s="110"/>
      <c r="AA110" s="391"/>
      <c r="AB110" s="110"/>
      <c r="AC110" s="403"/>
      <c r="AD110" s="109"/>
      <c r="AE110" s="110"/>
      <c r="AF110" s="307"/>
    </row>
    <row r="111" spans="1:32" ht="27" customHeight="1">
      <c r="A111" s="346" t="s">
        <v>2220</v>
      </c>
      <c r="B111" s="340">
        <v>4</v>
      </c>
      <c r="C111" s="346" t="s">
        <v>2221</v>
      </c>
      <c r="D111" s="340">
        <v>42</v>
      </c>
      <c r="E111" s="341" t="s">
        <v>2224</v>
      </c>
      <c r="F111" s="109"/>
      <c r="G111" s="109"/>
      <c r="H111" s="109"/>
      <c r="I111" s="110"/>
      <c r="J111" s="391"/>
      <c r="K111" s="391"/>
      <c r="L111" s="588"/>
      <c r="M111" s="338"/>
      <c r="N111" s="338"/>
      <c r="O111" s="338"/>
      <c r="P111" s="338"/>
      <c r="Q111" s="109"/>
      <c r="R111" s="109"/>
      <c r="S111" s="777"/>
      <c r="T111" s="110"/>
      <c r="U111" s="722"/>
      <c r="V111" s="364"/>
      <c r="W111" s="364"/>
      <c r="X111" s="723"/>
      <c r="Y111" s="403"/>
      <c r="Z111" s="110"/>
      <c r="AA111" s="391"/>
      <c r="AB111" s="110"/>
      <c r="AC111" s="403"/>
      <c r="AD111" s="109"/>
      <c r="AE111" s="110"/>
      <c r="AF111" s="307"/>
    </row>
    <row r="112" spans="1:32" ht="27" customHeight="1">
      <c r="A112" s="346" t="s">
        <v>2220</v>
      </c>
      <c r="B112" s="340">
        <v>4</v>
      </c>
      <c r="C112" s="346" t="s">
        <v>2221</v>
      </c>
      <c r="D112" s="340">
        <v>43</v>
      </c>
      <c r="E112" s="341" t="s">
        <v>2225</v>
      </c>
      <c r="F112" s="109"/>
      <c r="G112" s="109"/>
      <c r="H112" s="109"/>
      <c r="I112" s="110"/>
      <c r="J112" s="391"/>
      <c r="K112" s="391"/>
      <c r="L112" s="588"/>
      <c r="M112" s="338"/>
      <c r="N112" s="338"/>
      <c r="O112" s="338"/>
      <c r="P112" s="338"/>
      <c r="Q112" s="109"/>
      <c r="R112" s="109"/>
      <c r="S112" s="777"/>
      <c r="T112" s="110"/>
      <c r="U112" s="722"/>
      <c r="V112" s="364"/>
      <c r="W112" s="364"/>
      <c r="X112" s="723"/>
      <c r="Y112" s="403"/>
      <c r="Z112" s="110"/>
      <c r="AA112" s="391"/>
      <c r="AB112" s="110"/>
      <c r="AC112" s="403"/>
      <c r="AD112" s="109"/>
      <c r="AE112" s="110"/>
      <c r="AF112" s="307"/>
    </row>
    <row r="113" spans="1:32" ht="27" customHeight="1">
      <c r="A113" s="346" t="s">
        <v>2220</v>
      </c>
      <c r="B113" s="340">
        <v>4</v>
      </c>
      <c r="C113" s="346" t="s">
        <v>2221</v>
      </c>
      <c r="D113" s="340">
        <v>44</v>
      </c>
      <c r="E113" s="341" t="s">
        <v>2226</v>
      </c>
      <c r="F113" s="371">
        <v>44946</v>
      </c>
      <c r="G113" s="132" t="s">
        <v>2194</v>
      </c>
      <c r="H113" s="314" t="s">
        <v>1905</v>
      </c>
      <c r="I113" s="431">
        <v>15</v>
      </c>
      <c r="J113" s="407">
        <v>20</v>
      </c>
      <c r="K113" s="407">
        <v>60</v>
      </c>
      <c r="L113" s="588">
        <v>-40</v>
      </c>
      <c r="M113" s="372">
        <v>0</v>
      </c>
      <c r="N113" s="372">
        <v>0</v>
      </c>
      <c r="O113" s="372">
        <v>0</v>
      </c>
      <c r="P113" s="372">
        <v>0</v>
      </c>
      <c r="Q113" s="183" t="s">
        <v>1942</v>
      </c>
      <c r="R113" s="372">
        <v>22.666666666666668</v>
      </c>
      <c r="S113" s="776"/>
      <c r="T113" s="424">
        <v>30</v>
      </c>
      <c r="U113" s="393">
        <v>0</v>
      </c>
      <c r="V113" s="129"/>
      <c r="W113" s="129"/>
      <c r="X113" s="433">
        <v>0</v>
      </c>
      <c r="Y113" s="409">
        <v>2</v>
      </c>
      <c r="Z113" s="431">
        <v>0.5</v>
      </c>
      <c r="AA113" s="407" t="s">
        <v>749</v>
      </c>
      <c r="AB113" s="431">
        <v>2</v>
      </c>
      <c r="AC113" s="413">
        <v>2</v>
      </c>
      <c r="AD113" s="132">
        <v>0</v>
      </c>
      <c r="AE113" s="431">
        <v>2</v>
      </c>
      <c r="AF113" s="441" t="s">
        <v>1804</v>
      </c>
    </row>
    <row r="114" spans="1:32" ht="27" customHeight="1">
      <c r="A114" s="701" t="s">
        <v>2220</v>
      </c>
      <c r="B114" s="702">
        <v>4</v>
      </c>
      <c r="C114" s="701" t="s">
        <v>2221</v>
      </c>
      <c r="D114" s="702">
        <v>45</v>
      </c>
      <c r="E114" s="715" t="s">
        <v>2227</v>
      </c>
      <c r="F114" s="704"/>
      <c r="G114" s="705"/>
      <c r="H114" s="706"/>
      <c r="I114" s="707"/>
      <c r="J114" s="708"/>
      <c r="K114" s="708">
        <v>50</v>
      </c>
      <c r="L114" s="588"/>
      <c r="M114" s="709"/>
      <c r="N114" s="709"/>
      <c r="O114" s="709"/>
      <c r="P114" s="709"/>
      <c r="Q114" s="186"/>
      <c r="R114" s="709"/>
      <c r="S114" s="779"/>
      <c r="T114" s="710"/>
      <c r="U114" s="725"/>
      <c r="V114" s="711"/>
      <c r="W114" s="711"/>
      <c r="X114" s="726"/>
      <c r="Y114" s="712"/>
      <c r="Z114" s="707"/>
      <c r="AA114" s="708"/>
      <c r="AB114" s="707"/>
      <c r="AC114" s="713"/>
      <c r="AD114" s="705"/>
      <c r="AE114" s="707"/>
      <c r="AF114" s="714"/>
    </row>
    <row r="115" spans="1:32" ht="27" customHeight="1" thickBot="1">
      <c r="A115" s="466" t="s">
        <v>2220</v>
      </c>
      <c r="B115" s="467">
        <v>4</v>
      </c>
      <c r="C115" s="466" t="s">
        <v>2221</v>
      </c>
      <c r="D115" s="575">
        <v>46</v>
      </c>
      <c r="E115" s="572" t="s">
        <v>2043</v>
      </c>
      <c r="F115" s="496">
        <v>44946</v>
      </c>
      <c r="G115" s="583" t="s">
        <v>2194</v>
      </c>
      <c r="H115" s="530" t="s">
        <v>1905</v>
      </c>
      <c r="I115" s="503">
        <v>15</v>
      </c>
      <c r="J115" s="501">
        <v>50</v>
      </c>
      <c r="K115" s="501"/>
      <c r="L115" s="588"/>
      <c r="M115" s="499">
        <v>0</v>
      </c>
      <c r="N115" s="499">
        <v>0</v>
      </c>
      <c r="O115" s="499">
        <v>0</v>
      </c>
      <c r="P115" s="499">
        <v>0</v>
      </c>
      <c r="Q115" s="193" t="s">
        <v>1708</v>
      </c>
      <c r="R115" s="499"/>
      <c r="S115" s="780"/>
      <c r="T115" s="500">
        <v>50</v>
      </c>
      <c r="U115" s="727">
        <v>0.5</v>
      </c>
      <c r="V115" s="594" t="s">
        <v>1719</v>
      </c>
      <c r="W115" s="594" t="s">
        <v>1719</v>
      </c>
      <c r="X115" s="728">
        <v>0.5</v>
      </c>
      <c r="Y115" s="535">
        <v>1</v>
      </c>
      <c r="Z115" s="503">
        <v>0</v>
      </c>
      <c r="AA115" s="501" t="s">
        <v>749</v>
      </c>
      <c r="AB115" s="503">
        <v>6</v>
      </c>
      <c r="AC115" s="519">
        <v>1</v>
      </c>
      <c r="AD115" s="583">
        <v>0</v>
      </c>
      <c r="AE115" s="503">
        <v>0</v>
      </c>
      <c r="AF115" s="504" t="s">
        <v>1804</v>
      </c>
    </row>
    <row r="116" spans="1:32" ht="27" customHeight="1" thickTop="1">
      <c r="A116" s="573" t="s">
        <v>2228</v>
      </c>
      <c r="B116" s="179">
        <v>5</v>
      </c>
      <c r="C116" s="574" t="s">
        <v>215</v>
      </c>
      <c r="D116" s="179">
        <v>1</v>
      </c>
      <c r="E116" s="470" t="s">
        <v>2229</v>
      </c>
      <c r="F116" s="508">
        <v>44922</v>
      </c>
      <c r="G116" s="141" t="s">
        <v>2194</v>
      </c>
      <c r="H116" s="311" t="s">
        <v>1905</v>
      </c>
      <c r="I116" s="464">
        <v>15</v>
      </c>
      <c r="J116" s="588">
        <v>40</v>
      </c>
      <c r="K116" s="588">
        <v>50</v>
      </c>
      <c r="L116" s="588">
        <v>-10</v>
      </c>
      <c r="M116" s="509">
        <v>0</v>
      </c>
      <c r="N116" s="509">
        <v>0</v>
      </c>
      <c r="O116" s="509">
        <v>0</v>
      </c>
      <c r="P116" s="509">
        <v>0</v>
      </c>
      <c r="Q116" s="180" t="s">
        <v>1708</v>
      </c>
      <c r="R116" s="509">
        <v>24.666666666666668</v>
      </c>
      <c r="S116" s="775"/>
      <c r="T116" s="510">
        <v>76</v>
      </c>
      <c r="U116" s="720">
        <v>0</v>
      </c>
      <c r="V116" s="138"/>
      <c r="W116" s="138"/>
      <c r="X116" s="721">
        <v>0</v>
      </c>
      <c r="Y116" s="463">
        <v>1</v>
      </c>
      <c r="Z116" s="464">
        <v>0</v>
      </c>
      <c r="AA116" s="588" t="s">
        <v>749</v>
      </c>
      <c r="AB116" s="464">
        <v>2</v>
      </c>
      <c r="AC116" s="524">
        <v>0</v>
      </c>
      <c r="AD116" s="141">
        <v>0</v>
      </c>
      <c r="AE116" s="464">
        <v>9</v>
      </c>
      <c r="AF116" s="513" t="s">
        <v>1804</v>
      </c>
    </row>
    <row r="117" spans="1:32" s="285" customFormat="1" ht="27" customHeight="1">
      <c r="A117" s="342" t="s">
        <v>2228</v>
      </c>
      <c r="B117" s="182">
        <v>5</v>
      </c>
      <c r="C117" s="343" t="s">
        <v>215</v>
      </c>
      <c r="D117" s="182">
        <v>2</v>
      </c>
      <c r="E117" s="341" t="s">
        <v>2230</v>
      </c>
      <c r="F117" s="109"/>
      <c r="G117" s="109"/>
      <c r="H117" s="109"/>
      <c r="I117" s="110"/>
      <c r="J117" s="391"/>
      <c r="K117" s="391"/>
      <c r="L117" s="588"/>
      <c r="M117" s="338"/>
      <c r="N117" s="338"/>
      <c r="O117" s="338"/>
      <c r="P117" s="338"/>
      <c r="Q117" s="109"/>
      <c r="R117" s="109"/>
      <c r="S117" s="777"/>
      <c r="T117" s="110"/>
      <c r="U117" s="722"/>
      <c r="V117" s="364"/>
      <c r="W117" s="364"/>
      <c r="X117" s="723"/>
      <c r="Y117" s="403"/>
      <c r="Z117" s="110"/>
      <c r="AA117" s="391"/>
      <c r="AB117" s="110"/>
      <c r="AC117" s="403"/>
      <c r="AD117" s="109"/>
      <c r="AE117" s="110"/>
      <c r="AF117" s="307"/>
    </row>
    <row r="118" spans="1:32" s="285" customFormat="1" ht="27" customHeight="1">
      <c r="A118" s="342" t="s">
        <v>2228</v>
      </c>
      <c r="B118" s="182">
        <v>5</v>
      </c>
      <c r="C118" s="343" t="s">
        <v>215</v>
      </c>
      <c r="D118" s="182">
        <v>3</v>
      </c>
      <c r="E118" s="341" t="s">
        <v>2231</v>
      </c>
      <c r="F118" s="109"/>
      <c r="G118" s="109"/>
      <c r="H118" s="109"/>
      <c r="I118" s="110"/>
      <c r="J118" s="391"/>
      <c r="K118" s="391"/>
      <c r="L118" s="588"/>
      <c r="M118" s="338"/>
      <c r="N118" s="338"/>
      <c r="O118" s="338"/>
      <c r="P118" s="338"/>
      <c r="Q118" s="109"/>
      <c r="R118" s="109"/>
      <c r="S118" s="777"/>
      <c r="T118" s="110"/>
      <c r="U118" s="722"/>
      <c r="V118" s="364"/>
      <c r="W118" s="364"/>
      <c r="X118" s="723"/>
      <c r="Y118" s="403"/>
      <c r="Z118" s="110"/>
      <c r="AA118" s="391"/>
      <c r="AB118" s="110"/>
      <c r="AC118" s="403"/>
      <c r="AD118" s="109"/>
      <c r="AE118" s="110"/>
      <c r="AF118" s="307"/>
    </row>
    <row r="119" spans="1:32" s="285" customFormat="1" ht="27" customHeight="1">
      <c r="A119" s="342" t="s">
        <v>2228</v>
      </c>
      <c r="B119" s="182">
        <v>5</v>
      </c>
      <c r="C119" s="343" t="s">
        <v>215</v>
      </c>
      <c r="D119" s="182">
        <v>4</v>
      </c>
      <c r="E119" s="341" t="s">
        <v>2232</v>
      </c>
      <c r="F119" s="371">
        <v>44868</v>
      </c>
      <c r="G119" s="132" t="s">
        <v>2194</v>
      </c>
      <c r="H119" s="314" t="s">
        <v>1905</v>
      </c>
      <c r="I119" s="431">
        <v>15</v>
      </c>
      <c r="J119" s="407">
        <v>60</v>
      </c>
      <c r="K119" s="407">
        <v>60</v>
      </c>
      <c r="L119" s="588">
        <v>0</v>
      </c>
      <c r="M119" s="372">
        <v>1.5</v>
      </c>
      <c r="N119" s="372">
        <v>0</v>
      </c>
      <c r="O119" s="372">
        <v>0.5</v>
      </c>
      <c r="P119" s="372">
        <v>0</v>
      </c>
      <c r="Q119" s="183" t="s">
        <v>1708</v>
      </c>
      <c r="R119" s="372">
        <v>15.333333333333334</v>
      </c>
      <c r="S119" s="776"/>
      <c r="T119" s="424">
        <v>66</v>
      </c>
      <c r="U119" s="393">
        <v>0</v>
      </c>
      <c r="V119" s="129"/>
      <c r="W119" s="129"/>
      <c r="X119" s="433">
        <v>0</v>
      </c>
      <c r="Y119" s="409">
        <v>1</v>
      </c>
      <c r="Z119" s="431">
        <v>0</v>
      </c>
      <c r="AA119" s="407" t="s">
        <v>749</v>
      </c>
      <c r="AB119" s="431">
        <v>3</v>
      </c>
      <c r="AC119" s="413">
        <v>0</v>
      </c>
      <c r="AD119" s="132">
        <v>0</v>
      </c>
      <c r="AE119" s="431">
        <v>4</v>
      </c>
      <c r="AF119" s="441" t="s">
        <v>2196</v>
      </c>
    </row>
    <row r="120" spans="1:32" s="285" customFormat="1" ht="27" customHeight="1">
      <c r="A120" s="342" t="s">
        <v>2228</v>
      </c>
      <c r="B120" s="182">
        <v>5</v>
      </c>
      <c r="C120" s="343" t="s">
        <v>215</v>
      </c>
      <c r="D120" s="182">
        <v>5</v>
      </c>
      <c r="E120" s="341" t="s">
        <v>2233</v>
      </c>
      <c r="F120" s="371">
        <v>44868</v>
      </c>
      <c r="G120" s="132" t="s">
        <v>2194</v>
      </c>
      <c r="H120" s="314" t="s">
        <v>1905</v>
      </c>
      <c r="I120" s="431">
        <v>15</v>
      </c>
      <c r="J120" s="407">
        <v>70</v>
      </c>
      <c r="K120" s="407">
        <v>60</v>
      </c>
      <c r="L120" s="588">
        <v>10</v>
      </c>
      <c r="M120" s="372">
        <v>0</v>
      </c>
      <c r="N120" s="372">
        <v>0</v>
      </c>
      <c r="O120" s="372">
        <v>0</v>
      </c>
      <c r="P120" s="372">
        <v>0</v>
      </c>
      <c r="Q120" s="183" t="s">
        <v>1707</v>
      </c>
      <c r="R120" s="372">
        <v>10</v>
      </c>
      <c r="S120" s="776"/>
      <c r="T120" s="424">
        <v>90</v>
      </c>
      <c r="U120" s="393">
        <v>0</v>
      </c>
      <c r="V120" s="129"/>
      <c r="W120" s="129"/>
      <c r="X120" s="433">
        <v>0</v>
      </c>
      <c r="Y120" s="409">
        <v>2</v>
      </c>
      <c r="Z120" s="431">
        <v>1</v>
      </c>
      <c r="AA120" s="407" t="s">
        <v>749</v>
      </c>
      <c r="AB120" s="431">
        <v>2</v>
      </c>
      <c r="AC120" s="413">
        <v>0</v>
      </c>
      <c r="AD120" s="132">
        <v>0</v>
      </c>
      <c r="AE120" s="431">
        <v>4</v>
      </c>
      <c r="AF120" s="441" t="s">
        <v>2196</v>
      </c>
    </row>
    <row r="121" spans="1:32" ht="27" customHeight="1">
      <c r="A121" s="342" t="s">
        <v>2228</v>
      </c>
      <c r="B121" s="182">
        <v>5</v>
      </c>
      <c r="C121" s="343" t="s">
        <v>215</v>
      </c>
      <c r="D121" s="182">
        <v>6</v>
      </c>
      <c r="E121" s="341" t="s">
        <v>2234</v>
      </c>
      <c r="F121" s="371"/>
      <c r="G121" s="132"/>
      <c r="H121" s="314"/>
      <c r="I121" s="431"/>
      <c r="J121" s="407"/>
      <c r="K121" s="407">
        <v>30</v>
      </c>
      <c r="L121" s="588"/>
      <c r="M121" s="372"/>
      <c r="N121" s="372"/>
      <c r="O121" s="372"/>
      <c r="P121" s="372"/>
      <c r="Q121" s="183"/>
      <c r="R121" s="372"/>
      <c r="S121" s="776"/>
      <c r="T121" s="424"/>
      <c r="U121" s="393"/>
      <c r="V121" s="129"/>
      <c r="W121" s="129"/>
      <c r="X121" s="433"/>
      <c r="Y121" s="409"/>
      <c r="Z121" s="431"/>
      <c r="AA121" s="407"/>
      <c r="AB121" s="431"/>
      <c r="AC121" s="413"/>
      <c r="AD121" s="132"/>
      <c r="AE121" s="431"/>
      <c r="AF121" s="441"/>
    </row>
    <row r="122" spans="1:32" ht="27" customHeight="1">
      <c r="A122" s="342" t="s">
        <v>2228</v>
      </c>
      <c r="B122" s="182">
        <v>5</v>
      </c>
      <c r="C122" s="343" t="s">
        <v>215</v>
      </c>
      <c r="D122" s="182">
        <v>7</v>
      </c>
      <c r="E122" s="341" t="s">
        <v>2235</v>
      </c>
      <c r="F122" s="371">
        <v>44868</v>
      </c>
      <c r="G122" s="132" t="s">
        <v>2194</v>
      </c>
      <c r="H122" s="314" t="s">
        <v>1905</v>
      </c>
      <c r="I122" s="431">
        <v>15</v>
      </c>
      <c r="J122" s="407">
        <v>60</v>
      </c>
      <c r="K122" s="407">
        <v>50</v>
      </c>
      <c r="L122" s="588">
        <v>10</v>
      </c>
      <c r="M122" s="372">
        <v>1.5</v>
      </c>
      <c r="N122" s="372">
        <v>30</v>
      </c>
      <c r="O122" s="372">
        <v>0</v>
      </c>
      <c r="P122" s="372">
        <v>0</v>
      </c>
      <c r="Q122" s="183" t="s">
        <v>1942</v>
      </c>
      <c r="R122" s="372">
        <v>22</v>
      </c>
      <c r="S122" s="776"/>
      <c r="T122" s="424">
        <v>73</v>
      </c>
      <c r="U122" s="393">
        <v>0</v>
      </c>
      <c r="V122" s="129"/>
      <c r="W122" s="129"/>
      <c r="X122" s="440">
        <v>0</v>
      </c>
      <c r="Y122" s="409">
        <v>1</v>
      </c>
      <c r="Z122" s="431">
        <v>0</v>
      </c>
      <c r="AA122" s="407" t="s">
        <v>749</v>
      </c>
      <c r="AB122" s="431">
        <v>2</v>
      </c>
      <c r="AC122" s="413">
        <v>0</v>
      </c>
      <c r="AD122" s="132">
        <v>0</v>
      </c>
      <c r="AE122" s="431">
        <v>15</v>
      </c>
      <c r="AF122" s="441" t="s">
        <v>2196</v>
      </c>
    </row>
    <row r="123" spans="1:32" ht="27" customHeight="1">
      <c r="A123" s="342" t="s">
        <v>2228</v>
      </c>
      <c r="B123" s="182">
        <v>5</v>
      </c>
      <c r="C123" s="343" t="s">
        <v>215</v>
      </c>
      <c r="D123" s="182">
        <v>8</v>
      </c>
      <c r="E123" s="341" t="s">
        <v>2236</v>
      </c>
      <c r="F123" s="371">
        <v>44868</v>
      </c>
      <c r="G123" s="132" t="s">
        <v>2194</v>
      </c>
      <c r="H123" s="314" t="s">
        <v>1905</v>
      </c>
      <c r="I123" s="431">
        <v>15</v>
      </c>
      <c r="J123" s="407">
        <v>60</v>
      </c>
      <c r="K123" s="407">
        <v>40</v>
      </c>
      <c r="L123" s="588">
        <v>20</v>
      </c>
      <c r="M123" s="372">
        <v>0</v>
      </c>
      <c r="N123" s="372">
        <v>0</v>
      </c>
      <c r="O123" s="372">
        <v>0</v>
      </c>
      <c r="P123" s="372">
        <v>0</v>
      </c>
      <c r="Q123" s="183" t="s">
        <v>1708</v>
      </c>
      <c r="R123" s="372">
        <v>18.666666666666668</v>
      </c>
      <c r="S123" s="776"/>
      <c r="T123" s="424">
        <v>51</v>
      </c>
      <c r="U123" s="393">
        <v>0</v>
      </c>
      <c r="V123" s="129"/>
      <c r="W123" s="129"/>
      <c r="X123" s="433">
        <v>0</v>
      </c>
      <c r="Y123" s="410">
        <v>1</v>
      </c>
      <c r="Z123" s="431">
        <v>0</v>
      </c>
      <c r="AA123" s="407" t="s">
        <v>749</v>
      </c>
      <c r="AB123" s="431">
        <v>1</v>
      </c>
      <c r="AC123" s="413">
        <v>0</v>
      </c>
      <c r="AD123" s="132">
        <v>0</v>
      </c>
      <c r="AE123" s="431">
        <v>13</v>
      </c>
      <c r="AF123" s="441" t="s">
        <v>1804</v>
      </c>
    </row>
    <row r="124" spans="1:32" ht="27" customHeight="1">
      <c r="A124" s="342" t="s">
        <v>2228</v>
      </c>
      <c r="B124" s="182">
        <v>5</v>
      </c>
      <c r="C124" s="343" t="s">
        <v>215</v>
      </c>
      <c r="D124" s="182">
        <v>9</v>
      </c>
      <c r="E124" s="341" t="s">
        <v>2237</v>
      </c>
      <c r="F124" s="371">
        <v>44868</v>
      </c>
      <c r="G124" s="132" t="s">
        <v>2194</v>
      </c>
      <c r="H124" s="314" t="s">
        <v>1905</v>
      </c>
      <c r="I124" s="431">
        <v>15</v>
      </c>
      <c r="J124" s="407">
        <v>80</v>
      </c>
      <c r="K124" s="407">
        <v>50</v>
      </c>
      <c r="L124" s="588">
        <v>30</v>
      </c>
      <c r="M124" s="372">
        <v>0</v>
      </c>
      <c r="N124" s="372">
        <v>0</v>
      </c>
      <c r="O124" s="372">
        <v>0</v>
      </c>
      <c r="P124" s="372">
        <v>0</v>
      </c>
      <c r="Q124" s="183" t="s">
        <v>1942</v>
      </c>
      <c r="R124" s="372">
        <v>22</v>
      </c>
      <c r="S124" s="776"/>
      <c r="T124" s="424">
        <v>73</v>
      </c>
      <c r="U124" s="393">
        <v>0</v>
      </c>
      <c r="V124" s="129"/>
      <c r="W124" s="129"/>
      <c r="X124" s="440">
        <v>0</v>
      </c>
      <c r="Y124" s="410">
        <v>1</v>
      </c>
      <c r="Z124" s="431">
        <v>0</v>
      </c>
      <c r="AA124" s="407" t="s">
        <v>749</v>
      </c>
      <c r="AB124" s="431">
        <v>3</v>
      </c>
      <c r="AC124" s="413">
        <v>1</v>
      </c>
      <c r="AD124" s="132">
        <v>0</v>
      </c>
      <c r="AE124" s="431">
        <v>3</v>
      </c>
      <c r="AF124" s="441" t="s">
        <v>1804</v>
      </c>
    </row>
    <row r="125" spans="1:32" ht="27" customHeight="1">
      <c r="A125" s="342" t="s">
        <v>2228</v>
      </c>
      <c r="B125" s="182">
        <v>5</v>
      </c>
      <c r="C125" s="343" t="s">
        <v>215</v>
      </c>
      <c r="D125" s="182">
        <v>10</v>
      </c>
      <c r="E125" s="341" t="s">
        <v>2238</v>
      </c>
      <c r="F125" s="371">
        <v>44856</v>
      </c>
      <c r="G125" s="132" t="s">
        <v>2194</v>
      </c>
      <c r="H125" s="314" t="s">
        <v>1905</v>
      </c>
      <c r="I125" s="431">
        <v>15</v>
      </c>
      <c r="J125" s="407">
        <v>50</v>
      </c>
      <c r="K125" s="407">
        <v>60</v>
      </c>
      <c r="L125" s="588">
        <v>-10</v>
      </c>
      <c r="M125" s="372">
        <v>0</v>
      </c>
      <c r="N125" s="372">
        <v>0</v>
      </c>
      <c r="O125" s="372">
        <v>0</v>
      </c>
      <c r="P125" s="372">
        <v>0</v>
      </c>
      <c r="Q125" s="314" t="s">
        <v>2053</v>
      </c>
      <c r="R125" s="372">
        <v>12</v>
      </c>
      <c r="S125" s="776"/>
      <c r="T125" s="424">
        <v>83</v>
      </c>
      <c r="U125" s="393">
        <v>0</v>
      </c>
      <c r="V125" s="129"/>
      <c r="W125" s="129"/>
      <c r="X125" s="440">
        <v>0</v>
      </c>
      <c r="Y125" s="409">
        <v>1</v>
      </c>
      <c r="Z125" s="431">
        <v>0</v>
      </c>
      <c r="AA125" s="407" t="s">
        <v>749</v>
      </c>
      <c r="AB125" s="431">
        <v>4</v>
      </c>
      <c r="AC125" s="413">
        <v>0</v>
      </c>
      <c r="AD125" s="132">
        <v>0</v>
      </c>
      <c r="AE125" s="431">
        <v>2</v>
      </c>
      <c r="AF125" s="441" t="s">
        <v>1804</v>
      </c>
    </row>
    <row r="126" spans="1:32" s="285" customFormat="1" ht="27" customHeight="1">
      <c r="A126" s="342" t="s">
        <v>2228</v>
      </c>
      <c r="B126" s="182">
        <v>5</v>
      </c>
      <c r="C126" s="343" t="s">
        <v>215</v>
      </c>
      <c r="D126" s="182">
        <v>11</v>
      </c>
      <c r="E126" s="341" t="s">
        <v>2239</v>
      </c>
      <c r="F126" s="371"/>
      <c r="G126" s="132"/>
      <c r="H126" s="336"/>
      <c r="I126" s="431"/>
      <c r="J126" s="407"/>
      <c r="K126" s="407"/>
      <c r="L126" s="588"/>
      <c r="M126" s="372"/>
      <c r="N126" s="372"/>
      <c r="O126" s="372"/>
      <c r="P126" s="372"/>
      <c r="Q126" s="132"/>
      <c r="R126" s="132"/>
      <c r="S126" s="778"/>
      <c r="T126" s="431"/>
      <c r="U126" s="724"/>
      <c r="V126" s="129"/>
      <c r="W126" s="129"/>
      <c r="X126" s="440"/>
      <c r="Y126" s="413"/>
      <c r="Z126" s="431"/>
      <c r="AA126" s="407"/>
      <c r="AB126" s="431"/>
      <c r="AC126" s="413"/>
      <c r="AD126" s="132"/>
      <c r="AE126" s="431"/>
      <c r="AF126" s="586"/>
    </row>
    <row r="127" spans="1:32" ht="27" customHeight="1">
      <c r="A127" s="342" t="s">
        <v>2228</v>
      </c>
      <c r="B127" s="182">
        <v>5</v>
      </c>
      <c r="C127" s="343" t="s">
        <v>215</v>
      </c>
      <c r="D127" s="182">
        <v>12</v>
      </c>
      <c r="E127" s="341" t="s">
        <v>2240</v>
      </c>
      <c r="F127" s="371">
        <v>44856</v>
      </c>
      <c r="G127" s="132" t="s">
        <v>2194</v>
      </c>
      <c r="H127" s="314" t="s">
        <v>1905</v>
      </c>
      <c r="I127" s="431">
        <v>15</v>
      </c>
      <c r="J127" s="407">
        <v>40</v>
      </c>
      <c r="K127" s="407">
        <v>40</v>
      </c>
      <c r="L127" s="588">
        <v>0</v>
      </c>
      <c r="M127" s="372">
        <v>0</v>
      </c>
      <c r="N127" s="372">
        <v>0</v>
      </c>
      <c r="O127" s="372">
        <v>0</v>
      </c>
      <c r="P127" s="372">
        <v>0</v>
      </c>
      <c r="Q127" s="183" t="s">
        <v>1942</v>
      </c>
      <c r="R127" s="372">
        <v>9.3333333333333339</v>
      </c>
      <c r="S127" s="776"/>
      <c r="T127" s="424">
        <v>68</v>
      </c>
      <c r="U127" s="393">
        <v>0</v>
      </c>
      <c r="V127" s="129"/>
      <c r="W127" s="129"/>
      <c r="X127" s="433">
        <v>0</v>
      </c>
      <c r="Y127" s="409">
        <v>2</v>
      </c>
      <c r="Z127" s="431">
        <v>1</v>
      </c>
      <c r="AA127" s="407" t="s">
        <v>749</v>
      </c>
      <c r="AB127" s="431">
        <v>4</v>
      </c>
      <c r="AC127" s="413">
        <v>0</v>
      </c>
      <c r="AD127" s="132">
        <v>0</v>
      </c>
      <c r="AE127" s="431">
        <v>4</v>
      </c>
      <c r="AF127" s="441" t="s">
        <v>2196</v>
      </c>
    </row>
    <row r="128" spans="1:32" ht="27" customHeight="1">
      <c r="A128" s="342" t="s">
        <v>2228</v>
      </c>
      <c r="B128" s="182">
        <v>5</v>
      </c>
      <c r="C128" s="343" t="s">
        <v>215</v>
      </c>
      <c r="D128" s="182">
        <v>13</v>
      </c>
      <c r="E128" s="341" t="s">
        <v>2241</v>
      </c>
      <c r="F128" s="371">
        <v>44940</v>
      </c>
      <c r="G128" s="132" t="s">
        <v>2194</v>
      </c>
      <c r="H128" s="314" t="s">
        <v>1905</v>
      </c>
      <c r="I128" s="431">
        <v>20</v>
      </c>
      <c r="J128" s="407">
        <v>20</v>
      </c>
      <c r="K128" s="407">
        <v>20</v>
      </c>
      <c r="L128" s="588">
        <v>0</v>
      </c>
      <c r="M128" s="372">
        <v>0</v>
      </c>
      <c r="N128" s="372">
        <v>0</v>
      </c>
      <c r="O128" s="372">
        <v>0</v>
      </c>
      <c r="P128" s="372">
        <v>0</v>
      </c>
      <c r="Q128" s="183" t="s">
        <v>1708</v>
      </c>
      <c r="R128" s="372">
        <v>3.3333333333333335</v>
      </c>
      <c r="S128" s="776"/>
      <c r="T128" s="424">
        <v>36</v>
      </c>
      <c r="U128" s="393">
        <v>0</v>
      </c>
      <c r="V128" s="129"/>
      <c r="W128" s="129"/>
      <c r="X128" s="433">
        <v>0</v>
      </c>
      <c r="Y128" s="410">
        <v>1</v>
      </c>
      <c r="Z128" s="431">
        <v>0</v>
      </c>
      <c r="AA128" s="407" t="s">
        <v>749</v>
      </c>
      <c r="AB128" s="431">
        <v>3</v>
      </c>
      <c r="AC128" s="413">
        <v>0</v>
      </c>
      <c r="AD128" s="132">
        <v>0</v>
      </c>
      <c r="AE128" s="431">
        <v>0</v>
      </c>
      <c r="AF128" s="441" t="s">
        <v>2196</v>
      </c>
    </row>
    <row r="129" spans="1:32" ht="27" customHeight="1">
      <c r="A129" s="342" t="s">
        <v>2228</v>
      </c>
      <c r="B129" s="182">
        <v>5</v>
      </c>
      <c r="C129" s="343" t="s">
        <v>215</v>
      </c>
      <c r="D129" s="182">
        <v>14</v>
      </c>
      <c r="E129" s="341" t="s">
        <v>2242</v>
      </c>
      <c r="F129" s="371">
        <v>44856</v>
      </c>
      <c r="G129" s="132" t="s">
        <v>2194</v>
      </c>
      <c r="H129" s="109" t="s">
        <v>1713</v>
      </c>
      <c r="I129" s="431">
        <v>15</v>
      </c>
      <c r="J129" s="407">
        <v>40</v>
      </c>
      <c r="K129" s="407">
        <v>40</v>
      </c>
      <c r="L129" s="588">
        <v>0</v>
      </c>
      <c r="M129" s="372">
        <v>0</v>
      </c>
      <c r="N129" s="372">
        <v>0</v>
      </c>
      <c r="O129" s="372">
        <v>0</v>
      </c>
      <c r="P129" s="372">
        <v>0</v>
      </c>
      <c r="Q129" s="183" t="s">
        <v>1708</v>
      </c>
      <c r="R129" s="372">
        <v>15.333333333333334</v>
      </c>
      <c r="S129" s="776"/>
      <c r="T129" s="424">
        <v>49</v>
      </c>
      <c r="U129" s="393">
        <v>0</v>
      </c>
      <c r="V129" s="129"/>
      <c r="W129" s="129"/>
      <c r="X129" s="433">
        <v>0</v>
      </c>
      <c r="Y129" s="409">
        <v>1</v>
      </c>
      <c r="Z129" s="431">
        <v>0</v>
      </c>
      <c r="AA129" s="407" t="s">
        <v>749</v>
      </c>
      <c r="AB129" s="431">
        <v>2</v>
      </c>
      <c r="AC129" s="413">
        <v>1</v>
      </c>
      <c r="AD129" s="132">
        <v>0</v>
      </c>
      <c r="AE129" s="431">
        <v>26</v>
      </c>
      <c r="AF129" s="441" t="s">
        <v>1804</v>
      </c>
    </row>
    <row r="130" spans="1:32" ht="27" customHeight="1">
      <c r="A130" s="342" t="s">
        <v>2228</v>
      </c>
      <c r="B130" s="182">
        <v>5</v>
      </c>
      <c r="C130" s="343" t="s">
        <v>215</v>
      </c>
      <c r="D130" s="182">
        <v>15</v>
      </c>
      <c r="E130" s="341" t="s">
        <v>2243</v>
      </c>
      <c r="F130" s="371">
        <v>44940</v>
      </c>
      <c r="G130" s="132" t="s">
        <v>2194</v>
      </c>
      <c r="H130" s="314" t="s">
        <v>1905</v>
      </c>
      <c r="I130" s="431">
        <v>10</v>
      </c>
      <c r="J130" s="407">
        <v>10</v>
      </c>
      <c r="K130" s="407">
        <v>10</v>
      </c>
      <c r="L130" s="588">
        <v>0</v>
      </c>
      <c r="M130" s="372">
        <v>0</v>
      </c>
      <c r="N130" s="372">
        <v>0</v>
      </c>
      <c r="O130" s="372">
        <v>0</v>
      </c>
      <c r="P130" s="372">
        <v>0</v>
      </c>
      <c r="Q130" s="183" t="s">
        <v>1708</v>
      </c>
      <c r="R130" s="372">
        <v>3.3333333333333335</v>
      </c>
      <c r="S130" s="776"/>
      <c r="T130" s="431" t="s">
        <v>1712</v>
      </c>
      <c r="U130" s="393">
        <v>0</v>
      </c>
      <c r="V130" s="129"/>
      <c r="W130" s="129"/>
      <c r="X130" s="433">
        <v>0</v>
      </c>
      <c r="Y130" s="410">
        <v>1</v>
      </c>
      <c r="Z130" s="431">
        <v>0</v>
      </c>
      <c r="AA130" s="407" t="s">
        <v>749</v>
      </c>
      <c r="AB130" s="431">
        <v>3</v>
      </c>
      <c r="AC130" s="413">
        <v>0</v>
      </c>
      <c r="AD130" s="132">
        <v>0</v>
      </c>
      <c r="AE130" s="431">
        <v>1</v>
      </c>
      <c r="AF130" s="441" t="s">
        <v>1804</v>
      </c>
    </row>
    <row r="131" spans="1:32" ht="27" customHeight="1">
      <c r="A131" s="342" t="s">
        <v>2228</v>
      </c>
      <c r="B131" s="182">
        <v>5</v>
      </c>
      <c r="C131" s="343" t="s">
        <v>215</v>
      </c>
      <c r="D131" s="182">
        <v>16</v>
      </c>
      <c r="E131" s="341" t="s">
        <v>2244</v>
      </c>
      <c r="F131" s="371">
        <v>44888</v>
      </c>
      <c r="G131" s="132" t="s">
        <v>2194</v>
      </c>
      <c r="H131" s="314" t="s">
        <v>1905</v>
      </c>
      <c r="I131" s="431">
        <v>15</v>
      </c>
      <c r="J131" s="407">
        <v>60</v>
      </c>
      <c r="K131" s="407">
        <v>60</v>
      </c>
      <c r="L131" s="588">
        <v>0</v>
      </c>
      <c r="M131" s="372">
        <v>0</v>
      </c>
      <c r="N131" s="372">
        <v>0</v>
      </c>
      <c r="O131" s="372">
        <v>0</v>
      </c>
      <c r="P131" s="372">
        <v>0</v>
      </c>
      <c r="Q131" s="183" t="s">
        <v>1708</v>
      </c>
      <c r="R131" s="372">
        <v>16</v>
      </c>
      <c r="S131" s="776"/>
      <c r="T131" s="424">
        <v>65</v>
      </c>
      <c r="U131" s="393">
        <v>0</v>
      </c>
      <c r="V131" s="129"/>
      <c r="W131" s="129"/>
      <c r="X131" s="433">
        <v>0</v>
      </c>
      <c r="Y131" s="409">
        <v>1</v>
      </c>
      <c r="Z131" s="431">
        <v>0</v>
      </c>
      <c r="AA131" s="407" t="s">
        <v>749</v>
      </c>
      <c r="AB131" s="431">
        <v>2</v>
      </c>
      <c r="AC131" s="413">
        <v>1</v>
      </c>
      <c r="AD131" s="132">
        <v>0</v>
      </c>
      <c r="AE131" s="431">
        <v>5</v>
      </c>
      <c r="AF131" s="441" t="s">
        <v>2196</v>
      </c>
    </row>
    <row r="132" spans="1:32" ht="27" customHeight="1">
      <c r="A132" s="342" t="s">
        <v>2228</v>
      </c>
      <c r="B132" s="182">
        <v>5</v>
      </c>
      <c r="C132" s="343" t="s">
        <v>215</v>
      </c>
      <c r="D132" s="182">
        <v>17</v>
      </c>
      <c r="E132" s="341" t="s">
        <v>2245</v>
      </c>
      <c r="F132" s="371">
        <v>44916</v>
      </c>
      <c r="G132" s="132" t="s">
        <v>2194</v>
      </c>
      <c r="H132" s="314" t="s">
        <v>1905</v>
      </c>
      <c r="I132" s="431">
        <v>15</v>
      </c>
      <c r="J132" s="407">
        <v>50</v>
      </c>
      <c r="K132" s="407">
        <v>70</v>
      </c>
      <c r="L132" s="588">
        <v>-20</v>
      </c>
      <c r="M132" s="372">
        <v>0</v>
      </c>
      <c r="N132" s="372">
        <v>0</v>
      </c>
      <c r="O132" s="372">
        <v>0</v>
      </c>
      <c r="P132" s="372">
        <v>0</v>
      </c>
      <c r="Q132" s="183" t="s">
        <v>1708</v>
      </c>
      <c r="R132" s="372">
        <v>1.3333333333333333</v>
      </c>
      <c r="S132" s="776"/>
      <c r="T132" s="424" t="s">
        <v>1712</v>
      </c>
      <c r="U132" s="393">
        <v>0</v>
      </c>
      <c r="V132" s="129"/>
      <c r="W132" s="129"/>
      <c r="X132" s="433">
        <v>0</v>
      </c>
      <c r="Y132" s="409">
        <v>1</v>
      </c>
      <c r="Z132" s="431">
        <v>0</v>
      </c>
      <c r="AA132" s="407" t="s">
        <v>749</v>
      </c>
      <c r="AB132" s="431">
        <v>2</v>
      </c>
      <c r="AC132" s="413">
        <v>0</v>
      </c>
      <c r="AD132" s="132">
        <v>0</v>
      </c>
      <c r="AE132" s="431">
        <v>0</v>
      </c>
      <c r="AF132" s="441" t="s">
        <v>1804</v>
      </c>
    </row>
    <row r="133" spans="1:32" s="285" customFormat="1" ht="27" customHeight="1">
      <c r="A133" s="342" t="s">
        <v>2228</v>
      </c>
      <c r="B133" s="182">
        <v>5</v>
      </c>
      <c r="C133" s="343" t="s">
        <v>215</v>
      </c>
      <c r="D133" s="182">
        <v>18</v>
      </c>
      <c r="E133" s="341" t="s">
        <v>2246</v>
      </c>
      <c r="F133" s="371">
        <v>44916</v>
      </c>
      <c r="G133" s="132" t="s">
        <v>2194</v>
      </c>
      <c r="H133" s="314" t="s">
        <v>1905</v>
      </c>
      <c r="I133" s="431">
        <v>15</v>
      </c>
      <c r="J133" s="407">
        <v>70</v>
      </c>
      <c r="K133" s="407">
        <v>80</v>
      </c>
      <c r="L133" s="588">
        <v>-10</v>
      </c>
      <c r="M133" s="372">
        <v>1.5</v>
      </c>
      <c r="N133" s="372">
        <v>45</v>
      </c>
      <c r="O133" s="372">
        <v>1.5</v>
      </c>
      <c r="P133" s="372">
        <v>45</v>
      </c>
      <c r="Q133" s="183" t="s">
        <v>1708</v>
      </c>
      <c r="R133" s="372">
        <v>10</v>
      </c>
      <c r="S133" s="776"/>
      <c r="T133" s="424">
        <v>91</v>
      </c>
      <c r="U133" s="393">
        <v>0</v>
      </c>
      <c r="V133" s="129"/>
      <c r="W133" s="129"/>
      <c r="X133" s="440">
        <v>0</v>
      </c>
      <c r="Y133" s="409">
        <v>1</v>
      </c>
      <c r="Z133" s="431">
        <v>0</v>
      </c>
      <c r="AA133" s="407" t="s">
        <v>749</v>
      </c>
      <c r="AB133" s="431">
        <v>2</v>
      </c>
      <c r="AC133" s="413">
        <v>0</v>
      </c>
      <c r="AD133" s="132">
        <v>0</v>
      </c>
      <c r="AE133" s="431">
        <v>4</v>
      </c>
      <c r="AF133" s="441" t="s">
        <v>2196</v>
      </c>
    </row>
    <row r="134" spans="1:32" s="285" customFormat="1" ht="27" customHeight="1">
      <c r="A134" s="342" t="s">
        <v>2228</v>
      </c>
      <c r="B134" s="182">
        <v>5</v>
      </c>
      <c r="C134" s="343" t="s">
        <v>215</v>
      </c>
      <c r="D134" s="182">
        <v>19</v>
      </c>
      <c r="E134" s="341" t="s">
        <v>2247</v>
      </c>
      <c r="F134" s="371">
        <v>44916</v>
      </c>
      <c r="G134" s="132" t="s">
        <v>2194</v>
      </c>
      <c r="H134" s="314" t="s">
        <v>1905</v>
      </c>
      <c r="I134" s="431">
        <v>20</v>
      </c>
      <c r="J134" s="407">
        <v>70</v>
      </c>
      <c r="K134" s="407">
        <v>60</v>
      </c>
      <c r="L134" s="588">
        <v>10</v>
      </c>
      <c r="M134" s="372">
        <v>0</v>
      </c>
      <c r="N134" s="372">
        <v>0</v>
      </c>
      <c r="O134" s="372">
        <v>0</v>
      </c>
      <c r="P134" s="372">
        <v>0</v>
      </c>
      <c r="Q134" s="183" t="s">
        <v>1708</v>
      </c>
      <c r="R134" s="372">
        <v>4.666666666666667</v>
      </c>
      <c r="S134" s="776"/>
      <c r="T134" s="424">
        <v>42</v>
      </c>
      <c r="U134" s="393">
        <v>0.5</v>
      </c>
      <c r="V134" s="129" t="s">
        <v>1712</v>
      </c>
      <c r="W134" s="129" t="s">
        <v>1712</v>
      </c>
      <c r="X134" s="433">
        <v>0.5</v>
      </c>
      <c r="Y134" s="409">
        <v>2</v>
      </c>
      <c r="Z134" s="431">
        <v>1</v>
      </c>
      <c r="AA134" s="407" t="s">
        <v>749</v>
      </c>
      <c r="AB134" s="431" t="s">
        <v>749</v>
      </c>
      <c r="AC134" s="413">
        <v>0</v>
      </c>
      <c r="AD134" s="132">
        <v>0</v>
      </c>
      <c r="AE134" s="431">
        <v>0</v>
      </c>
      <c r="AF134" s="441" t="s">
        <v>1804</v>
      </c>
    </row>
    <row r="135" spans="1:32" s="285" customFormat="1" ht="27" customHeight="1">
      <c r="A135" s="342" t="s">
        <v>2228</v>
      </c>
      <c r="B135" s="182">
        <v>5</v>
      </c>
      <c r="C135" s="343" t="s">
        <v>215</v>
      </c>
      <c r="D135" s="182">
        <v>20</v>
      </c>
      <c r="E135" s="341" t="s">
        <v>2248</v>
      </c>
      <c r="F135" s="371">
        <v>44916</v>
      </c>
      <c r="G135" s="132" t="s">
        <v>2194</v>
      </c>
      <c r="H135" s="314" t="s">
        <v>1905</v>
      </c>
      <c r="I135" s="431">
        <v>15</v>
      </c>
      <c r="J135" s="407">
        <v>80</v>
      </c>
      <c r="K135" s="407">
        <v>70</v>
      </c>
      <c r="L135" s="588">
        <v>10</v>
      </c>
      <c r="M135" s="372">
        <v>0</v>
      </c>
      <c r="N135" s="372">
        <v>0</v>
      </c>
      <c r="O135" s="372">
        <v>0</v>
      </c>
      <c r="P135" s="372">
        <v>0</v>
      </c>
      <c r="Q135" s="183" t="s">
        <v>1942</v>
      </c>
      <c r="R135" s="372">
        <v>20</v>
      </c>
      <c r="S135" s="776"/>
      <c r="T135" s="424">
        <v>81</v>
      </c>
      <c r="U135" s="393">
        <v>0</v>
      </c>
      <c r="V135" s="129"/>
      <c r="W135" s="129"/>
      <c r="X135" s="440">
        <v>0.5</v>
      </c>
      <c r="Y135" s="409">
        <v>1</v>
      </c>
      <c r="Z135" s="431">
        <v>0</v>
      </c>
      <c r="AA135" s="407" t="s">
        <v>749</v>
      </c>
      <c r="AB135" s="431">
        <v>2</v>
      </c>
      <c r="AC135" s="413">
        <v>0</v>
      </c>
      <c r="AD135" s="132">
        <v>0</v>
      </c>
      <c r="AE135" s="431">
        <v>5</v>
      </c>
      <c r="AF135" s="441" t="s">
        <v>2196</v>
      </c>
    </row>
    <row r="136" spans="1:32" ht="27" customHeight="1">
      <c r="A136" s="342" t="s">
        <v>2228</v>
      </c>
      <c r="B136" s="182">
        <v>5</v>
      </c>
      <c r="C136" s="343" t="s">
        <v>215</v>
      </c>
      <c r="D136" s="182">
        <v>21</v>
      </c>
      <c r="E136" s="341" t="s">
        <v>2249</v>
      </c>
      <c r="F136" s="371">
        <v>44878</v>
      </c>
      <c r="G136" s="132" t="s">
        <v>2194</v>
      </c>
      <c r="H136" s="314" t="s">
        <v>1905</v>
      </c>
      <c r="I136" s="431">
        <v>15</v>
      </c>
      <c r="J136" s="407">
        <v>60</v>
      </c>
      <c r="K136" s="407">
        <v>50</v>
      </c>
      <c r="L136" s="588">
        <v>10</v>
      </c>
      <c r="M136" s="372">
        <v>0</v>
      </c>
      <c r="N136" s="372">
        <v>0</v>
      </c>
      <c r="O136" s="372">
        <v>0</v>
      </c>
      <c r="P136" s="372">
        <v>0</v>
      </c>
      <c r="Q136" s="183" t="s">
        <v>1708</v>
      </c>
      <c r="R136" s="372">
        <v>24</v>
      </c>
      <c r="S136" s="776"/>
      <c r="T136" s="424">
        <v>76</v>
      </c>
      <c r="U136" s="393">
        <v>0.5</v>
      </c>
      <c r="V136" s="129" t="s">
        <v>1712</v>
      </c>
      <c r="W136" s="129" t="s">
        <v>1712</v>
      </c>
      <c r="X136" s="433">
        <v>0.5</v>
      </c>
      <c r="Y136" s="409">
        <v>2</v>
      </c>
      <c r="Z136" s="431">
        <v>0.5</v>
      </c>
      <c r="AA136" s="407" t="s">
        <v>749</v>
      </c>
      <c r="AB136" s="431">
        <v>3</v>
      </c>
      <c r="AC136" s="413">
        <v>0</v>
      </c>
      <c r="AD136" s="132">
        <v>0</v>
      </c>
      <c r="AE136" s="431">
        <v>1</v>
      </c>
      <c r="AF136" s="441" t="s">
        <v>2196</v>
      </c>
    </row>
    <row r="137" spans="1:32" s="285" customFormat="1" ht="27" customHeight="1">
      <c r="A137" s="342" t="s">
        <v>2228</v>
      </c>
      <c r="B137" s="182">
        <v>5</v>
      </c>
      <c r="C137" s="343" t="s">
        <v>215</v>
      </c>
      <c r="D137" s="182">
        <v>22</v>
      </c>
      <c r="E137" s="341" t="s">
        <v>2250</v>
      </c>
      <c r="F137" s="371"/>
      <c r="G137" s="132"/>
      <c r="H137" s="336"/>
      <c r="I137" s="431"/>
      <c r="J137" s="407"/>
      <c r="K137" s="407"/>
      <c r="L137" s="588"/>
      <c r="M137" s="372"/>
      <c r="N137" s="372"/>
      <c r="O137" s="372"/>
      <c r="P137" s="372"/>
      <c r="Q137" s="132"/>
      <c r="R137" s="132"/>
      <c r="S137" s="778"/>
      <c r="T137" s="431"/>
      <c r="U137" s="724"/>
      <c r="V137" s="129"/>
      <c r="W137" s="129"/>
      <c r="X137" s="440"/>
      <c r="Y137" s="413"/>
      <c r="Z137" s="431"/>
      <c r="AA137" s="407"/>
      <c r="AB137" s="431"/>
      <c r="AC137" s="413"/>
      <c r="AD137" s="132"/>
      <c r="AE137" s="431"/>
      <c r="AF137" s="586"/>
    </row>
    <row r="138" spans="1:32" ht="27" customHeight="1">
      <c r="A138" s="342" t="s">
        <v>2228</v>
      </c>
      <c r="B138" s="182">
        <v>5</v>
      </c>
      <c r="C138" s="343" t="s">
        <v>215</v>
      </c>
      <c r="D138" s="182">
        <v>23</v>
      </c>
      <c r="E138" s="341" t="s">
        <v>2251</v>
      </c>
      <c r="F138" s="371">
        <v>44878</v>
      </c>
      <c r="G138" s="132" t="s">
        <v>2194</v>
      </c>
      <c r="H138" s="314" t="s">
        <v>1905</v>
      </c>
      <c r="I138" s="431">
        <v>15</v>
      </c>
      <c r="J138" s="407">
        <v>80</v>
      </c>
      <c r="K138" s="407">
        <v>70</v>
      </c>
      <c r="L138" s="588">
        <v>10</v>
      </c>
      <c r="M138" s="372">
        <v>0</v>
      </c>
      <c r="N138" s="372">
        <v>0</v>
      </c>
      <c r="O138" s="372">
        <v>0</v>
      </c>
      <c r="P138" s="372">
        <v>0</v>
      </c>
      <c r="Q138" s="183" t="s">
        <v>1942</v>
      </c>
      <c r="R138" s="372">
        <v>12.666666666666666</v>
      </c>
      <c r="S138" s="776"/>
      <c r="T138" s="424">
        <v>68</v>
      </c>
      <c r="U138" s="393">
        <v>0.5</v>
      </c>
      <c r="V138" s="129" t="s">
        <v>1719</v>
      </c>
      <c r="W138" s="129" t="s">
        <v>1719</v>
      </c>
      <c r="X138" s="433">
        <v>0.5</v>
      </c>
      <c r="Y138" s="410">
        <v>1</v>
      </c>
      <c r="Z138" s="431">
        <v>0</v>
      </c>
      <c r="AA138" s="407" t="s">
        <v>749</v>
      </c>
      <c r="AB138" s="431">
        <v>3</v>
      </c>
      <c r="AC138" s="413">
        <v>0</v>
      </c>
      <c r="AD138" s="132">
        <v>0</v>
      </c>
      <c r="AE138" s="431">
        <v>6</v>
      </c>
      <c r="AF138" s="441" t="s">
        <v>2196</v>
      </c>
    </row>
    <row r="139" spans="1:32" ht="27" customHeight="1">
      <c r="A139" s="342" t="s">
        <v>2228</v>
      </c>
      <c r="B139" s="182">
        <v>5</v>
      </c>
      <c r="C139" s="343" t="s">
        <v>215</v>
      </c>
      <c r="D139" s="182">
        <v>24</v>
      </c>
      <c r="E139" s="341" t="s">
        <v>2252</v>
      </c>
      <c r="F139" s="371">
        <v>44843</v>
      </c>
      <c r="G139" s="132" t="s">
        <v>2194</v>
      </c>
      <c r="H139" s="314" t="s">
        <v>1905</v>
      </c>
      <c r="I139" s="431">
        <v>15</v>
      </c>
      <c r="J139" s="407">
        <v>30</v>
      </c>
      <c r="K139" s="407">
        <v>30</v>
      </c>
      <c r="L139" s="588">
        <v>0</v>
      </c>
      <c r="M139" s="372">
        <v>2</v>
      </c>
      <c r="N139" s="372">
        <v>50</v>
      </c>
      <c r="O139" s="372">
        <v>0.5</v>
      </c>
      <c r="P139" s="372">
        <v>0.5</v>
      </c>
      <c r="Q139" s="183" t="s">
        <v>1708</v>
      </c>
      <c r="R139" s="372">
        <v>2.6666666666666665</v>
      </c>
      <c r="S139" s="776"/>
      <c r="T139" s="424" t="s">
        <v>1712</v>
      </c>
      <c r="U139" s="393">
        <v>0</v>
      </c>
      <c r="V139" s="129"/>
      <c r="W139" s="129"/>
      <c r="X139" s="433">
        <v>0</v>
      </c>
      <c r="Y139" s="409">
        <v>2</v>
      </c>
      <c r="Z139" s="431">
        <v>0.5</v>
      </c>
      <c r="AA139" s="407" t="s">
        <v>749</v>
      </c>
      <c r="AB139" s="431">
        <v>3</v>
      </c>
      <c r="AC139" s="413">
        <v>0</v>
      </c>
      <c r="AD139" s="132">
        <v>0</v>
      </c>
      <c r="AE139" s="431">
        <v>2</v>
      </c>
      <c r="AF139" s="441" t="s">
        <v>2196</v>
      </c>
    </row>
    <row r="140" spans="1:32" ht="27" customHeight="1">
      <c r="A140" s="342" t="s">
        <v>2228</v>
      </c>
      <c r="B140" s="182">
        <v>5</v>
      </c>
      <c r="C140" s="343" t="s">
        <v>215</v>
      </c>
      <c r="D140" s="182">
        <v>25</v>
      </c>
      <c r="E140" s="341" t="s">
        <v>2253</v>
      </c>
      <c r="F140" s="371">
        <v>44843</v>
      </c>
      <c r="G140" s="132" t="s">
        <v>2194</v>
      </c>
      <c r="H140" s="314" t="s">
        <v>1905</v>
      </c>
      <c r="I140" s="431">
        <v>15</v>
      </c>
      <c r="J140" s="407">
        <v>60</v>
      </c>
      <c r="K140" s="407">
        <v>60</v>
      </c>
      <c r="L140" s="588">
        <v>0</v>
      </c>
      <c r="M140" s="372">
        <v>4</v>
      </c>
      <c r="N140" s="372">
        <v>7.5</v>
      </c>
      <c r="O140" s="372">
        <v>1.5</v>
      </c>
      <c r="P140" s="372">
        <v>0</v>
      </c>
      <c r="Q140" s="183" t="s">
        <v>1708</v>
      </c>
      <c r="R140" s="372">
        <v>22</v>
      </c>
      <c r="S140" s="776"/>
      <c r="T140" s="424">
        <v>64</v>
      </c>
      <c r="U140" s="393">
        <v>0</v>
      </c>
      <c r="V140" s="129"/>
      <c r="W140" s="129"/>
      <c r="X140" s="433">
        <v>0</v>
      </c>
      <c r="Y140" s="409">
        <v>1</v>
      </c>
      <c r="Z140" s="431">
        <v>0</v>
      </c>
      <c r="AA140" s="407" t="s">
        <v>749</v>
      </c>
      <c r="AB140" s="431">
        <v>2</v>
      </c>
      <c r="AC140" s="413">
        <v>0</v>
      </c>
      <c r="AD140" s="132">
        <v>0</v>
      </c>
      <c r="AE140" s="431" t="s">
        <v>2254</v>
      </c>
      <c r="AF140" s="441" t="s">
        <v>1804</v>
      </c>
    </row>
    <row r="141" spans="1:32" s="285" customFormat="1" ht="27" customHeight="1">
      <c r="A141" s="342" t="s">
        <v>2228</v>
      </c>
      <c r="B141" s="182">
        <v>5</v>
      </c>
      <c r="C141" s="343" t="s">
        <v>215</v>
      </c>
      <c r="D141" s="182">
        <v>26</v>
      </c>
      <c r="E141" s="341" t="s">
        <v>2255</v>
      </c>
      <c r="F141" s="371">
        <v>44843</v>
      </c>
      <c r="G141" s="132" t="s">
        <v>2194</v>
      </c>
      <c r="H141" s="314" t="s">
        <v>1905</v>
      </c>
      <c r="I141" s="431">
        <v>15</v>
      </c>
      <c r="J141" s="407">
        <v>20</v>
      </c>
      <c r="K141" s="407">
        <v>50</v>
      </c>
      <c r="L141" s="588">
        <v>-30</v>
      </c>
      <c r="M141" s="372">
        <v>3</v>
      </c>
      <c r="N141" s="372">
        <v>45</v>
      </c>
      <c r="O141" s="372">
        <v>0</v>
      </c>
      <c r="P141" s="372">
        <v>5</v>
      </c>
      <c r="Q141" s="183" t="s">
        <v>1708</v>
      </c>
      <c r="R141" s="372">
        <v>0.66666666666666663</v>
      </c>
      <c r="S141" s="776"/>
      <c r="T141" s="424">
        <v>25.714285714285715</v>
      </c>
      <c r="U141" s="393">
        <v>0</v>
      </c>
      <c r="V141" s="129"/>
      <c r="W141" s="129"/>
      <c r="X141" s="433">
        <v>0</v>
      </c>
      <c r="Y141" s="409">
        <v>2</v>
      </c>
      <c r="Z141" s="431">
        <v>0.5</v>
      </c>
      <c r="AA141" s="407" t="s">
        <v>749</v>
      </c>
      <c r="AB141" s="431">
        <v>2</v>
      </c>
      <c r="AC141" s="413">
        <v>1</v>
      </c>
      <c r="AD141" s="132">
        <v>0</v>
      </c>
      <c r="AE141" s="431">
        <v>0</v>
      </c>
      <c r="AF141" s="441" t="s">
        <v>2196</v>
      </c>
    </row>
    <row r="142" spans="1:32" ht="27" customHeight="1">
      <c r="A142" s="342" t="s">
        <v>2228</v>
      </c>
      <c r="B142" s="182">
        <v>5</v>
      </c>
      <c r="C142" s="343" t="s">
        <v>215</v>
      </c>
      <c r="D142" s="182">
        <v>27</v>
      </c>
      <c r="E142" s="341" t="s">
        <v>2256</v>
      </c>
      <c r="F142" s="371">
        <v>44843</v>
      </c>
      <c r="G142" s="132" t="s">
        <v>2194</v>
      </c>
      <c r="H142" s="314" t="s">
        <v>1905</v>
      </c>
      <c r="I142" s="431">
        <v>15</v>
      </c>
      <c r="J142" s="407">
        <v>80</v>
      </c>
      <c r="K142" s="407">
        <v>70</v>
      </c>
      <c r="L142" s="588">
        <v>10</v>
      </c>
      <c r="M142" s="372">
        <v>5</v>
      </c>
      <c r="N142" s="372">
        <v>30</v>
      </c>
      <c r="O142" s="372">
        <v>7.5</v>
      </c>
      <c r="P142" s="372">
        <v>10</v>
      </c>
      <c r="Q142" s="183" t="s">
        <v>1708</v>
      </c>
      <c r="R142" s="372">
        <v>14.666666666666666</v>
      </c>
      <c r="S142" s="776"/>
      <c r="T142" s="424">
        <v>88</v>
      </c>
      <c r="U142" s="393">
        <v>0</v>
      </c>
      <c r="V142" s="129"/>
      <c r="W142" s="129"/>
      <c r="X142" s="433">
        <v>0</v>
      </c>
      <c r="Y142" s="409">
        <v>1</v>
      </c>
      <c r="Z142" s="431">
        <v>0</v>
      </c>
      <c r="AA142" s="407" t="s">
        <v>749</v>
      </c>
      <c r="AB142" s="431">
        <v>2</v>
      </c>
      <c r="AC142" s="413">
        <v>0</v>
      </c>
      <c r="AD142" s="132">
        <v>0</v>
      </c>
      <c r="AE142" s="431">
        <v>5</v>
      </c>
      <c r="AF142" s="441" t="s">
        <v>1804</v>
      </c>
    </row>
    <row r="143" spans="1:32" s="285" customFormat="1" ht="27" customHeight="1">
      <c r="A143" s="342" t="s">
        <v>2228</v>
      </c>
      <c r="B143" s="182">
        <v>5</v>
      </c>
      <c r="C143" s="343" t="s">
        <v>215</v>
      </c>
      <c r="D143" s="182">
        <v>28</v>
      </c>
      <c r="E143" s="341" t="s">
        <v>2257</v>
      </c>
      <c r="F143" s="371">
        <v>44843</v>
      </c>
      <c r="G143" s="132" t="s">
        <v>2194</v>
      </c>
      <c r="H143" s="314" t="s">
        <v>1905</v>
      </c>
      <c r="I143" s="431">
        <v>15</v>
      </c>
      <c r="J143" s="407">
        <v>40</v>
      </c>
      <c r="K143" s="407">
        <v>50</v>
      </c>
      <c r="L143" s="588">
        <v>-10</v>
      </c>
      <c r="M143" s="372">
        <v>25</v>
      </c>
      <c r="N143" s="372">
        <v>85</v>
      </c>
      <c r="O143" s="372">
        <v>15</v>
      </c>
      <c r="P143" s="372">
        <v>50</v>
      </c>
      <c r="Q143" s="183" t="s">
        <v>1708</v>
      </c>
      <c r="R143" s="372">
        <v>2</v>
      </c>
      <c r="S143" s="776"/>
      <c r="T143" s="424">
        <v>27</v>
      </c>
      <c r="U143" s="393">
        <v>0</v>
      </c>
      <c r="V143" s="129"/>
      <c r="W143" s="129"/>
      <c r="X143" s="433">
        <v>0</v>
      </c>
      <c r="Y143" s="409">
        <v>1</v>
      </c>
      <c r="Z143" s="431">
        <v>0</v>
      </c>
      <c r="AA143" s="407" t="s">
        <v>749</v>
      </c>
      <c r="AB143" s="431">
        <v>2</v>
      </c>
      <c r="AC143" s="413">
        <v>0</v>
      </c>
      <c r="AD143" s="132">
        <v>0</v>
      </c>
      <c r="AE143" s="431">
        <v>0</v>
      </c>
      <c r="AF143" s="441" t="s">
        <v>1804</v>
      </c>
    </row>
    <row r="144" spans="1:32" ht="27" customHeight="1">
      <c r="A144" s="342" t="s">
        <v>2228</v>
      </c>
      <c r="B144" s="182">
        <v>5</v>
      </c>
      <c r="C144" s="343" t="s">
        <v>215</v>
      </c>
      <c r="D144" s="182">
        <v>29</v>
      </c>
      <c r="E144" s="341" t="s">
        <v>2258</v>
      </c>
      <c r="F144" s="371">
        <v>44843</v>
      </c>
      <c r="G144" s="132" t="s">
        <v>2194</v>
      </c>
      <c r="H144" s="109" t="s">
        <v>1713</v>
      </c>
      <c r="I144" s="431">
        <v>15</v>
      </c>
      <c r="J144" s="407">
        <v>80</v>
      </c>
      <c r="K144" s="407">
        <v>80</v>
      </c>
      <c r="L144" s="588">
        <v>0</v>
      </c>
      <c r="M144" s="372">
        <v>3</v>
      </c>
      <c r="N144" s="372">
        <v>50</v>
      </c>
      <c r="O144" s="372">
        <v>0</v>
      </c>
      <c r="P144" s="372">
        <v>0</v>
      </c>
      <c r="Q144" s="314" t="s">
        <v>1708</v>
      </c>
      <c r="R144" s="372">
        <v>26.666666666666668</v>
      </c>
      <c r="S144" s="776"/>
      <c r="T144" s="424">
        <v>90</v>
      </c>
      <c r="U144" s="393">
        <v>0</v>
      </c>
      <c r="V144" s="129"/>
      <c r="W144" s="129"/>
      <c r="X144" s="433">
        <v>0</v>
      </c>
      <c r="Y144" s="409">
        <v>1</v>
      </c>
      <c r="Z144" s="431">
        <v>0</v>
      </c>
      <c r="AA144" s="407" t="s">
        <v>749</v>
      </c>
      <c r="AB144" s="431">
        <v>3</v>
      </c>
      <c r="AC144" s="413">
        <v>0</v>
      </c>
      <c r="AD144" s="132">
        <v>0</v>
      </c>
      <c r="AE144" s="431">
        <v>2</v>
      </c>
      <c r="AF144" s="441" t="s">
        <v>1804</v>
      </c>
    </row>
    <row r="145" spans="1:32" s="285" customFormat="1" ht="27" customHeight="1">
      <c r="A145" s="342" t="s">
        <v>2228</v>
      </c>
      <c r="B145" s="182">
        <v>5</v>
      </c>
      <c r="C145" s="343" t="s">
        <v>215</v>
      </c>
      <c r="D145" s="182">
        <v>30</v>
      </c>
      <c r="E145" s="341" t="s">
        <v>249</v>
      </c>
      <c r="F145" s="371">
        <v>44922</v>
      </c>
      <c r="G145" s="132" t="s">
        <v>2194</v>
      </c>
      <c r="H145" s="132" t="s">
        <v>1905</v>
      </c>
      <c r="I145" s="431">
        <v>15</v>
      </c>
      <c r="J145" s="407">
        <v>70</v>
      </c>
      <c r="K145" s="407"/>
      <c r="L145" s="588"/>
      <c r="M145" s="372">
        <v>0</v>
      </c>
      <c r="N145" s="372">
        <v>0</v>
      </c>
      <c r="O145" s="372">
        <v>0</v>
      </c>
      <c r="P145" s="372">
        <v>0</v>
      </c>
      <c r="Q145" s="132" t="s">
        <v>1708</v>
      </c>
      <c r="R145" s="132">
        <v>11.333333333333334</v>
      </c>
      <c r="S145" s="778"/>
      <c r="T145" s="431">
        <v>95</v>
      </c>
      <c r="U145" s="724">
        <v>0</v>
      </c>
      <c r="V145" s="129"/>
      <c r="W145" s="129"/>
      <c r="X145" s="440">
        <v>0</v>
      </c>
      <c r="Y145" s="413">
        <v>1</v>
      </c>
      <c r="Z145" s="431">
        <v>0</v>
      </c>
      <c r="AA145" s="407" t="s">
        <v>749</v>
      </c>
      <c r="AB145" s="431">
        <v>1</v>
      </c>
      <c r="AC145" s="413">
        <v>0</v>
      </c>
      <c r="AD145" s="132">
        <v>0</v>
      </c>
      <c r="AE145" s="431">
        <v>4</v>
      </c>
      <c r="AF145" s="586" t="s">
        <v>1804</v>
      </c>
    </row>
    <row r="146" spans="1:32" ht="27" customHeight="1">
      <c r="A146" s="342" t="s">
        <v>2228</v>
      </c>
      <c r="B146" s="182">
        <v>5</v>
      </c>
      <c r="C146" s="343" t="s">
        <v>215</v>
      </c>
      <c r="D146" s="182">
        <v>31</v>
      </c>
      <c r="E146" s="341" t="s">
        <v>250</v>
      </c>
      <c r="F146" s="371">
        <v>44868</v>
      </c>
      <c r="G146" s="132" t="s">
        <v>2194</v>
      </c>
      <c r="H146" s="314" t="s">
        <v>1905</v>
      </c>
      <c r="I146" s="431">
        <v>15</v>
      </c>
      <c r="J146" s="407">
        <v>50</v>
      </c>
      <c r="K146" s="407">
        <v>40</v>
      </c>
      <c r="L146" s="588">
        <v>10</v>
      </c>
      <c r="M146" s="372">
        <v>2.5</v>
      </c>
      <c r="N146" s="372">
        <v>2.5</v>
      </c>
      <c r="O146" s="372">
        <v>4</v>
      </c>
      <c r="P146" s="372">
        <v>50</v>
      </c>
      <c r="Q146" s="183" t="s">
        <v>1708</v>
      </c>
      <c r="R146" s="372">
        <v>23.333333333333332</v>
      </c>
      <c r="S146" s="776"/>
      <c r="T146" s="424">
        <v>64</v>
      </c>
      <c r="U146" s="393">
        <v>0</v>
      </c>
      <c r="V146" s="129"/>
      <c r="W146" s="129"/>
      <c r="X146" s="433">
        <v>0</v>
      </c>
      <c r="Y146" s="410">
        <v>1</v>
      </c>
      <c r="Z146" s="431">
        <v>0</v>
      </c>
      <c r="AA146" s="407" t="s">
        <v>749</v>
      </c>
      <c r="AB146" s="431">
        <v>4</v>
      </c>
      <c r="AC146" s="413">
        <v>0</v>
      </c>
      <c r="AD146" s="132">
        <v>0</v>
      </c>
      <c r="AE146" s="431">
        <v>3</v>
      </c>
      <c r="AF146" s="441" t="s">
        <v>1804</v>
      </c>
    </row>
    <row r="147" spans="1:32" s="285" customFormat="1" ht="27" customHeight="1">
      <c r="A147" s="342" t="s">
        <v>2228</v>
      </c>
      <c r="B147" s="182">
        <v>5</v>
      </c>
      <c r="C147" s="343" t="s">
        <v>215</v>
      </c>
      <c r="D147" s="182">
        <v>32</v>
      </c>
      <c r="E147" s="341" t="s">
        <v>252</v>
      </c>
      <c r="F147" s="371">
        <v>44923</v>
      </c>
      <c r="G147" s="132" t="s">
        <v>2194</v>
      </c>
      <c r="H147" s="314" t="s">
        <v>1905</v>
      </c>
      <c r="I147" s="431">
        <v>15</v>
      </c>
      <c r="J147" s="407">
        <v>30</v>
      </c>
      <c r="K147" s="407">
        <v>30</v>
      </c>
      <c r="L147" s="588">
        <v>0</v>
      </c>
      <c r="M147" s="372">
        <v>2.5</v>
      </c>
      <c r="N147" s="372">
        <v>25</v>
      </c>
      <c r="O147" s="372">
        <v>0.5</v>
      </c>
      <c r="P147" s="372">
        <v>0.5</v>
      </c>
      <c r="Q147" s="183" t="s">
        <v>1707</v>
      </c>
      <c r="R147" s="372">
        <v>2.6666666666666665</v>
      </c>
      <c r="S147" s="776"/>
      <c r="T147" s="424">
        <v>59</v>
      </c>
      <c r="U147" s="393">
        <v>0</v>
      </c>
      <c r="V147" s="129"/>
      <c r="W147" s="129"/>
      <c r="X147" s="433">
        <v>0.5</v>
      </c>
      <c r="Y147" s="409">
        <v>1</v>
      </c>
      <c r="Z147" s="431">
        <v>0</v>
      </c>
      <c r="AA147" s="407" t="s">
        <v>749</v>
      </c>
      <c r="AB147" s="431">
        <v>3</v>
      </c>
      <c r="AC147" s="413">
        <v>0</v>
      </c>
      <c r="AD147" s="132">
        <v>0</v>
      </c>
      <c r="AE147" s="431">
        <v>0</v>
      </c>
      <c r="AF147" s="441" t="s">
        <v>1804</v>
      </c>
    </row>
    <row r="148" spans="1:32" ht="27" customHeight="1">
      <c r="A148" s="342" t="s">
        <v>2228</v>
      </c>
      <c r="B148" s="182">
        <v>5</v>
      </c>
      <c r="C148" s="343" t="s">
        <v>215</v>
      </c>
      <c r="D148" s="182">
        <v>33</v>
      </c>
      <c r="E148" s="341" t="s">
        <v>253</v>
      </c>
      <c r="F148" s="371">
        <v>44923</v>
      </c>
      <c r="G148" s="132" t="s">
        <v>2194</v>
      </c>
      <c r="H148" s="314" t="s">
        <v>1905</v>
      </c>
      <c r="I148" s="431">
        <v>15</v>
      </c>
      <c r="J148" s="407">
        <v>30</v>
      </c>
      <c r="K148" s="407">
        <v>30</v>
      </c>
      <c r="L148" s="588">
        <v>0</v>
      </c>
      <c r="M148" s="372">
        <v>2.5</v>
      </c>
      <c r="N148" s="372">
        <v>25</v>
      </c>
      <c r="O148" s="372">
        <v>2.5</v>
      </c>
      <c r="P148" s="372">
        <v>2.5</v>
      </c>
      <c r="Q148" s="183" t="s">
        <v>1707</v>
      </c>
      <c r="R148" s="372">
        <v>11.333333333333334</v>
      </c>
      <c r="S148" s="776"/>
      <c r="T148" s="424">
        <v>39</v>
      </c>
      <c r="U148" s="393">
        <v>0</v>
      </c>
      <c r="V148" s="129"/>
      <c r="W148" s="129"/>
      <c r="X148" s="433">
        <v>0.5</v>
      </c>
      <c r="Y148" s="409">
        <v>1</v>
      </c>
      <c r="Z148" s="431">
        <v>0</v>
      </c>
      <c r="AA148" s="407" t="s">
        <v>749</v>
      </c>
      <c r="AB148" s="431">
        <v>5</v>
      </c>
      <c r="AC148" s="413">
        <v>0</v>
      </c>
      <c r="AD148" s="132">
        <v>0</v>
      </c>
      <c r="AE148" s="431">
        <v>2</v>
      </c>
      <c r="AF148" s="441" t="s">
        <v>1804</v>
      </c>
    </row>
    <row r="149" spans="1:32" s="285" customFormat="1" ht="27" customHeight="1">
      <c r="A149" s="342" t="s">
        <v>2228</v>
      </c>
      <c r="B149" s="182">
        <v>5</v>
      </c>
      <c r="C149" s="343" t="s">
        <v>215</v>
      </c>
      <c r="D149" s="182">
        <v>34</v>
      </c>
      <c r="E149" s="341" t="s">
        <v>254</v>
      </c>
      <c r="F149" s="371"/>
      <c r="G149" s="132"/>
      <c r="H149" s="336"/>
      <c r="I149" s="431"/>
      <c r="J149" s="407"/>
      <c r="K149" s="407"/>
      <c r="L149" s="588"/>
      <c r="M149" s="372"/>
      <c r="N149" s="372"/>
      <c r="O149" s="372"/>
      <c r="P149" s="372"/>
      <c r="Q149" s="132"/>
      <c r="R149" s="132"/>
      <c r="S149" s="778"/>
      <c r="T149" s="431"/>
      <c r="U149" s="724"/>
      <c r="V149" s="129"/>
      <c r="W149" s="129"/>
      <c r="X149" s="440"/>
      <c r="Y149" s="413"/>
      <c r="Z149" s="431"/>
      <c r="AA149" s="407"/>
      <c r="AB149" s="431"/>
      <c r="AC149" s="413"/>
      <c r="AD149" s="132"/>
      <c r="AE149" s="431"/>
      <c r="AF149" s="586"/>
    </row>
    <row r="150" spans="1:32" s="285" customFormat="1" ht="27" customHeight="1">
      <c r="A150" s="342" t="s">
        <v>2228</v>
      </c>
      <c r="B150" s="182">
        <v>5</v>
      </c>
      <c r="C150" s="343" t="s">
        <v>215</v>
      </c>
      <c r="D150" s="182">
        <v>35</v>
      </c>
      <c r="E150" s="341" t="s">
        <v>255</v>
      </c>
      <c r="F150" s="371"/>
      <c r="G150" s="132"/>
      <c r="H150" s="336"/>
      <c r="I150" s="431"/>
      <c r="J150" s="407"/>
      <c r="K150" s="407"/>
      <c r="L150" s="588"/>
      <c r="M150" s="372"/>
      <c r="N150" s="372"/>
      <c r="O150" s="372"/>
      <c r="P150" s="372"/>
      <c r="Q150" s="132"/>
      <c r="R150" s="132"/>
      <c r="S150" s="778"/>
      <c r="T150" s="431"/>
      <c r="U150" s="724"/>
      <c r="V150" s="129"/>
      <c r="W150" s="129"/>
      <c r="X150" s="440"/>
      <c r="Y150" s="413"/>
      <c r="Z150" s="431"/>
      <c r="AA150" s="407"/>
      <c r="AB150" s="431"/>
      <c r="AC150" s="413"/>
      <c r="AD150" s="132"/>
      <c r="AE150" s="431"/>
      <c r="AF150" s="586"/>
    </row>
    <row r="151" spans="1:32" s="285" customFormat="1" ht="27" customHeight="1">
      <c r="A151" s="342" t="s">
        <v>2228</v>
      </c>
      <c r="B151" s="182">
        <v>5</v>
      </c>
      <c r="C151" s="343" t="s">
        <v>215</v>
      </c>
      <c r="D151" s="182">
        <v>36</v>
      </c>
      <c r="E151" s="341" t="s">
        <v>2259</v>
      </c>
      <c r="F151" s="371"/>
      <c r="G151" s="132"/>
      <c r="H151" s="336"/>
      <c r="I151" s="431"/>
      <c r="J151" s="407"/>
      <c r="K151" s="407"/>
      <c r="L151" s="588"/>
      <c r="M151" s="372"/>
      <c r="N151" s="372"/>
      <c r="O151" s="372"/>
      <c r="P151" s="372"/>
      <c r="Q151" s="132"/>
      <c r="R151" s="132"/>
      <c r="S151" s="778"/>
      <c r="T151" s="431"/>
      <c r="U151" s="724"/>
      <c r="V151" s="129"/>
      <c r="W151" s="129"/>
      <c r="X151" s="440"/>
      <c r="Y151" s="413"/>
      <c r="Z151" s="431"/>
      <c r="AA151" s="407"/>
      <c r="AB151" s="431"/>
      <c r="AC151" s="413"/>
      <c r="AD151" s="132"/>
      <c r="AE151" s="431"/>
      <c r="AF151" s="586"/>
    </row>
    <row r="152" spans="1:32" s="285" customFormat="1" ht="27" customHeight="1">
      <c r="A152" s="342" t="s">
        <v>2228</v>
      </c>
      <c r="B152" s="182">
        <v>5</v>
      </c>
      <c r="C152" s="343" t="s">
        <v>215</v>
      </c>
      <c r="D152" s="182">
        <v>37</v>
      </c>
      <c r="E152" s="341" t="s">
        <v>2260</v>
      </c>
      <c r="F152" s="371"/>
      <c r="G152" s="132"/>
      <c r="H152" s="336"/>
      <c r="I152" s="431"/>
      <c r="J152" s="407"/>
      <c r="K152" s="407"/>
      <c r="L152" s="588"/>
      <c r="M152" s="372"/>
      <c r="N152" s="372"/>
      <c r="O152" s="372"/>
      <c r="P152" s="372"/>
      <c r="Q152" s="132"/>
      <c r="R152" s="132"/>
      <c r="S152" s="778"/>
      <c r="T152" s="431"/>
      <c r="U152" s="724"/>
      <c r="V152" s="129"/>
      <c r="W152" s="129"/>
      <c r="X152" s="440"/>
      <c r="Y152" s="413"/>
      <c r="Z152" s="431"/>
      <c r="AA152" s="407"/>
      <c r="AB152" s="431"/>
      <c r="AC152" s="413"/>
      <c r="AD152" s="132"/>
      <c r="AE152" s="431"/>
      <c r="AF152" s="586"/>
    </row>
    <row r="153" spans="1:32" s="285" customFormat="1" ht="27" customHeight="1">
      <c r="A153" s="342" t="s">
        <v>2228</v>
      </c>
      <c r="B153" s="182">
        <v>5</v>
      </c>
      <c r="C153" s="343" t="s">
        <v>215</v>
      </c>
      <c r="D153" s="182">
        <v>38</v>
      </c>
      <c r="E153" s="341" t="s">
        <v>259</v>
      </c>
      <c r="F153" s="371"/>
      <c r="G153" s="132"/>
      <c r="H153" s="336"/>
      <c r="I153" s="431"/>
      <c r="J153" s="407"/>
      <c r="K153" s="407"/>
      <c r="L153" s="588"/>
      <c r="M153" s="372"/>
      <c r="N153" s="372"/>
      <c r="O153" s="372"/>
      <c r="P153" s="372"/>
      <c r="Q153" s="132"/>
      <c r="R153" s="132"/>
      <c r="S153" s="778"/>
      <c r="T153" s="431"/>
      <c r="U153" s="724"/>
      <c r="V153" s="129"/>
      <c r="W153" s="129"/>
      <c r="X153" s="440"/>
      <c r="Y153" s="413"/>
      <c r="Z153" s="431"/>
      <c r="AA153" s="407"/>
      <c r="AB153" s="431"/>
      <c r="AC153" s="413"/>
      <c r="AD153" s="132"/>
      <c r="AE153" s="431"/>
      <c r="AF153" s="586"/>
    </row>
    <row r="154" spans="1:32" s="285" customFormat="1" ht="27" customHeight="1">
      <c r="A154" s="342" t="s">
        <v>2228</v>
      </c>
      <c r="B154" s="182">
        <v>5</v>
      </c>
      <c r="C154" s="343" t="s">
        <v>215</v>
      </c>
      <c r="D154" s="182">
        <v>39</v>
      </c>
      <c r="E154" s="341" t="s">
        <v>260</v>
      </c>
      <c r="F154" s="371"/>
      <c r="G154" s="132"/>
      <c r="H154" s="336"/>
      <c r="I154" s="431"/>
      <c r="J154" s="407"/>
      <c r="K154" s="407"/>
      <c r="L154" s="588"/>
      <c r="M154" s="372"/>
      <c r="N154" s="372"/>
      <c r="O154" s="372"/>
      <c r="P154" s="372"/>
      <c r="Q154" s="132"/>
      <c r="R154" s="132"/>
      <c r="S154" s="778"/>
      <c r="T154" s="431"/>
      <c r="U154" s="724"/>
      <c r="V154" s="129"/>
      <c r="W154" s="129"/>
      <c r="X154" s="440"/>
      <c r="Y154" s="413"/>
      <c r="Z154" s="431"/>
      <c r="AA154" s="407"/>
      <c r="AB154" s="431"/>
      <c r="AC154" s="413"/>
      <c r="AD154" s="132"/>
      <c r="AE154" s="431"/>
      <c r="AF154" s="586"/>
    </row>
    <row r="155" spans="1:32" ht="27" customHeight="1">
      <c r="A155" s="342" t="s">
        <v>2228</v>
      </c>
      <c r="B155" s="182">
        <v>5</v>
      </c>
      <c r="C155" s="343" t="s">
        <v>215</v>
      </c>
      <c r="D155" s="182">
        <v>40</v>
      </c>
      <c r="E155" s="341" t="s">
        <v>1720</v>
      </c>
      <c r="F155" s="371">
        <v>44856</v>
      </c>
      <c r="G155" s="132" t="s">
        <v>2194</v>
      </c>
      <c r="H155" s="314" t="s">
        <v>1905</v>
      </c>
      <c r="I155" s="431">
        <v>15</v>
      </c>
      <c r="J155" s="407">
        <v>50</v>
      </c>
      <c r="K155" s="407">
        <v>50</v>
      </c>
      <c r="L155" s="588">
        <v>0</v>
      </c>
      <c r="M155" s="372">
        <v>1.5</v>
      </c>
      <c r="N155" s="372">
        <v>0</v>
      </c>
      <c r="O155" s="372">
        <v>0</v>
      </c>
      <c r="P155" s="372">
        <v>0</v>
      </c>
      <c r="Q155" s="183" t="s">
        <v>1942</v>
      </c>
      <c r="R155" s="372">
        <v>18</v>
      </c>
      <c r="S155" s="776"/>
      <c r="T155" s="424">
        <v>73</v>
      </c>
      <c r="U155" s="393">
        <v>0</v>
      </c>
      <c r="V155" s="129"/>
      <c r="W155" s="129"/>
      <c r="X155" s="440">
        <v>0</v>
      </c>
      <c r="Y155" s="409">
        <v>1</v>
      </c>
      <c r="Z155" s="431">
        <v>0</v>
      </c>
      <c r="AA155" s="407" t="s">
        <v>749</v>
      </c>
      <c r="AB155" s="431">
        <v>3</v>
      </c>
      <c r="AC155" s="413">
        <v>0</v>
      </c>
      <c r="AD155" s="132">
        <v>0</v>
      </c>
      <c r="AE155" s="431">
        <v>3</v>
      </c>
      <c r="AF155" s="441" t="s">
        <v>1804</v>
      </c>
    </row>
    <row r="156" spans="1:32" s="285" customFormat="1" ht="27" customHeight="1">
      <c r="A156" s="342" t="s">
        <v>2228</v>
      </c>
      <c r="B156" s="182">
        <v>5</v>
      </c>
      <c r="C156" s="343" t="s">
        <v>215</v>
      </c>
      <c r="D156" s="182">
        <v>41</v>
      </c>
      <c r="E156" s="341" t="s">
        <v>261</v>
      </c>
      <c r="F156" s="371"/>
      <c r="G156" s="132"/>
      <c r="H156" s="336"/>
      <c r="I156" s="431"/>
      <c r="J156" s="407"/>
      <c r="K156" s="407"/>
      <c r="L156" s="588"/>
      <c r="M156" s="372"/>
      <c r="N156" s="372"/>
      <c r="O156" s="372"/>
      <c r="P156" s="372"/>
      <c r="Q156" s="132"/>
      <c r="R156" s="132"/>
      <c r="S156" s="778"/>
      <c r="T156" s="431"/>
      <c r="U156" s="724"/>
      <c r="V156" s="129"/>
      <c r="W156" s="129"/>
      <c r="X156" s="440"/>
      <c r="Y156" s="413"/>
      <c r="Z156" s="431"/>
      <c r="AA156" s="407"/>
      <c r="AB156" s="431"/>
      <c r="AC156" s="413"/>
      <c r="AD156" s="132"/>
      <c r="AE156" s="431"/>
      <c r="AF156" s="586"/>
    </row>
    <row r="157" spans="1:32" s="285" customFormat="1" ht="27" customHeight="1">
      <c r="A157" s="342" t="s">
        <v>2228</v>
      </c>
      <c r="B157" s="182">
        <v>5</v>
      </c>
      <c r="C157" s="343" t="s">
        <v>215</v>
      </c>
      <c r="D157" s="182">
        <v>42</v>
      </c>
      <c r="E157" s="341" t="s">
        <v>264</v>
      </c>
      <c r="F157" s="371"/>
      <c r="G157" s="132"/>
      <c r="H157" s="336"/>
      <c r="I157" s="431"/>
      <c r="J157" s="407"/>
      <c r="K157" s="407"/>
      <c r="L157" s="588"/>
      <c r="M157" s="372"/>
      <c r="N157" s="372"/>
      <c r="O157" s="372"/>
      <c r="P157" s="372"/>
      <c r="Q157" s="132"/>
      <c r="R157" s="132"/>
      <c r="S157" s="778"/>
      <c r="T157" s="431"/>
      <c r="U157" s="724"/>
      <c r="V157" s="129"/>
      <c r="W157" s="129"/>
      <c r="X157" s="440"/>
      <c r="Y157" s="413"/>
      <c r="Z157" s="431"/>
      <c r="AA157" s="407"/>
      <c r="AB157" s="431"/>
      <c r="AC157" s="413"/>
      <c r="AD157" s="132"/>
      <c r="AE157" s="431"/>
      <c r="AF157" s="586"/>
    </row>
    <row r="158" spans="1:32" ht="27" customHeight="1">
      <c r="A158" s="342" t="s">
        <v>2228</v>
      </c>
      <c r="B158" s="182">
        <v>5</v>
      </c>
      <c r="C158" s="343" t="s">
        <v>215</v>
      </c>
      <c r="D158" s="182">
        <v>43</v>
      </c>
      <c r="E158" s="341" t="s">
        <v>1721</v>
      </c>
      <c r="F158" s="371">
        <v>44940</v>
      </c>
      <c r="G158" s="132" t="s">
        <v>2194</v>
      </c>
      <c r="H158" s="314" t="s">
        <v>1905</v>
      </c>
      <c r="I158" s="431">
        <v>15</v>
      </c>
      <c r="J158" s="407">
        <v>20</v>
      </c>
      <c r="K158" s="407">
        <v>20</v>
      </c>
      <c r="L158" s="588">
        <v>0</v>
      </c>
      <c r="M158" s="372">
        <v>3</v>
      </c>
      <c r="N158" s="372">
        <v>3</v>
      </c>
      <c r="O158" s="372">
        <v>26.5</v>
      </c>
      <c r="P158" s="372">
        <v>3</v>
      </c>
      <c r="Q158" s="183" t="s">
        <v>1708</v>
      </c>
      <c r="R158" s="372">
        <v>3.3333333333333335</v>
      </c>
      <c r="S158" s="776"/>
      <c r="T158" s="424" t="s">
        <v>1712</v>
      </c>
      <c r="U158" s="393">
        <v>0</v>
      </c>
      <c r="V158" s="129"/>
      <c r="W158" s="129"/>
      <c r="X158" s="433">
        <v>0</v>
      </c>
      <c r="Y158" s="409">
        <v>2</v>
      </c>
      <c r="Z158" s="431">
        <v>1</v>
      </c>
      <c r="AA158" s="407" t="s">
        <v>749</v>
      </c>
      <c r="AB158" s="431">
        <v>2</v>
      </c>
      <c r="AC158" s="413">
        <v>0</v>
      </c>
      <c r="AD158" s="132">
        <v>0</v>
      </c>
      <c r="AE158" s="431">
        <v>14</v>
      </c>
      <c r="AF158" s="441" t="s">
        <v>1804</v>
      </c>
    </row>
    <row r="159" spans="1:32" s="285" customFormat="1" ht="27" customHeight="1">
      <c r="A159" s="342" t="s">
        <v>2228</v>
      </c>
      <c r="B159" s="182">
        <v>5</v>
      </c>
      <c r="C159" s="343" t="s">
        <v>215</v>
      </c>
      <c r="D159" s="182">
        <v>44</v>
      </c>
      <c r="E159" s="340" t="s">
        <v>2261</v>
      </c>
      <c r="F159" s="371">
        <v>44856</v>
      </c>
      <c r="G159" s="132" t="s">
        <v>2194</v>
      </c>
      <c r="H159" s="314" t="s">
        <v>1905</v>
      </c>
      <c r="I159" s="431">
        <v>15</v>
      </c>
      <c r="J159" s="407">
        <v>50</v>
      </c>
      <c r="K159" s="407">
        <v>40</v>
      </c>
      <c r="L159" s="588">
        <v>10</v>
      </c>
      <c r="M159" s="372">
        <v>1.5</v>
      </c>
      <c r="N159" s="372">
        <v>0</v>
      </c>
      <c r="O159" s="372">
        <v>0</v>
      </c>
      <c r="P159" s="372">
        <v>0</v>
      </c>
      <c r="Q159" s="183" t="s">
        <v>1942</v>
      </c>
      <c r="R159" s="372">
        <v>13.333333333333334</v>
      </c>
      <c r="S159" s="776"/>
      <c r="T159" s="424">
        <v>53.333333333333336</v>
      </c>
      <c r="U159" s="393">
        <v>0</v>
      </c>
      <c r="V159" s="129"/>
      <c r="W159" s="129"/>
      <c r="X159" s="433">
        <v>0</v>
      </c>
      <c r="Y159" s="409">
        <v>2</v>
      </c>
      <c r="Z159" s="431">
        <v>0.5</v>
      </c>
      <c r="AA159" s="407" t="s">
        <v>749</v>
      </c>
      <c r="AB159" s="431">
        <v>4</v>
      </c>
      <c r="AC159" s="413">
        <v>0</v>
      </c>
      <c r="AD159" s="132">
        <v>0</v>
      </c>
      <c r="AE159" s="431">
        <v>10</v>
      </c>
      <c r="AF159" s="441" t="s">
        <v>2196</v>
      </c>
    </row>
    <row r="160" spans="1:32" ht="27" customHeight="1">
      <c r="A160" s="342" t="s">
        <v>2228</v>
      </c>
      <c r="B160" s="182">
        <v>5</v>
      </c>
      <c r="C160" s="343" t="s">
        <v>215</v>
      </c>
      <c r="D160" s="182">
        <v>45</v>
      </c>
      <c r="E160" s="340" t="s">
        <v>2262</v>
      </c>
      <c r="F160" s="371">
        <v>44868</v>
      </c>
      <c r="G160" s="132" t="s">
        <v>2194</v>
      </c>
      <c r="H160" s="314" t="s">
        <v>1905</v>
      </c>
      <c r="I160" s="431">
        <v>15</v>
      </c>
      <c r="J160" s="407">
        <v>70</v>
      </c>
      <c r="K160" s="407">
        <v>60</v>
      </c>
      <c r="L160" s="588">
        <v>10</v>
      </c>
      <c r="M160" s="372">
        <v>0</v>
      </c>
      <c r="N160" s="372">
        <v>0</v>
      </c>
      <c r="O160" s="372">
        <v>0</v>
      </c>
      <c r="P160" s="372">
        <v>0</v>
      </c>
      <c r="Q160" s="183" t="s">
        <v>1708</v>
      </c>
      <c r="R160" s="372">
        <v>31.333333333333332</v>
      </c>
      <c r="S160" s="776"/>
      <c r="T160" s="424">
        <v>93</v>
      </c>
      <c r="U160" s="393">
        <v>0</v>
      </c>
      <c r="V160" s="129"/>
      <c r="W160" s="129"/>
      <c r="X160" s="433">
        <v>0</v>
      </c>
      <c r="Y160" s="410">
        <v>1</v>
      </c>
      <c r="Z160" s="431">
        <v>0</v>
      </c>
      <c r="AA160" s="407" t="s">
        <v>749</v>
      </c>
      <c r="AB160" s="431">
        <v>1</v>
      </c>
      <c r="AC160" s="413">
        <v>0</v>
      </c>
      <c r="AD160" s="132">
        <v>0</v>
      </c>
      <c r="AE160" s="431">
        <v>11</v>
      </c>
      <c r="AF160" s="441" t="s">
        <v>2196</v>
      </c>
    </row>
    <row r="161" spans="1:32" ht="27" customHeight="1">
      <c r="A161" s="342" t="s">
        <v>2228</v>
      </c>
      <c r="B161" s="182">
        <v>5</v>
      </c>
      <c r="C161" s="343" t="s">
        <v>215</v>
      </c>
      <c r="D161" s="182">
        <v>46</v>
      </c>
      <c r="E161" s="340" t="s">
        <v>2263</v>
      </c>
      <c r="F161" s="350">
        <v>44947</v>
      </c>
      <c r="G161" s="132" t="s">
        <v>2194</v>
      </c>
      <c r="H161" s="109" t="s">
        <v>1905</v>
      </c>
      <c r="I161" s="110">
        <v>15</v>
      </c>
      <c r="J161" s="391">
        <v>50</v>
      </c>
      <c r="K161" s="391"/>
      <c r="L161" s="588"/>
      <c r="M161" s="338">
        <v>0</v>
      </c>
      <c r="N161" s="338">
        <v>0</v>
      </c>
      <c r="O161" s="338">
        <v>0</v>
      </c>
      <c r="P161" s="338">
        <v>0</v>
      </c>
      <c r="Q161" s="109" t="s">
        <v>1707</v>
      </c>
      <c r="R161" s="109">
        <v>11.333333333333334</v>
      </c>
      <c r="S161" s="777"/>
      <c r="T161" s="110">
        <v>74</v>
      </c>
      <c r="U161" s="722">
        <v>0</v>
      </c>
      <c r="V161" s="364"/>
      <c r="W161" s="364"/>
      <c r="X161" s="723">
        <v>0.5</v>
      </c>
      <c r="Y161" s="403">
        <v>2</v>
      </c>
      <c r="Z161" s="110">
        <v>0.5</v>
      </c>
      <c r="AA161" s="391" t="s">
        <v>749</v>
      </c>
      <c r="AB161" s="110">
        <v>4</v>
      </c>
      <c r="AC161" s="410">
        <v>0</v>
      </c>
      <c r="AD161" s="29">
        <v>0</v>
      </c>
      <c r="AE161" s="396">
        <v>7</v>
      </c>
      <c r="AF161" s="307" t="s">
        <v>1804</v>
      </c>
    </row>
    <row r="162" spans="1:32" ht="27" customHeight="1">
      <c r="A162" s="342" t="s">
        <v>2228</v>
      </c>
      <c r="B162" s="182">
        <v>5</v>
      </c>
      <c r="C162" s="343" t="s">
        <v>215</v>
      </c>
      <c r="D162" s="182">
        <v>47</v>
      </c>
      <c r="E162" s="340" t="s">
        <v>1722</v>
      </c>
      <c r="F162" s="109"/>
      <c r="G162" s="109"/>
      <c r="H162" s="109"/>
      <c r="I162" s="110"/>
      <c r="J162" s="391"/>
      <c r="K162" s="391"/>
      <c r="L162" s="588"/>
      <c r="M162" s="338"/>
      <c r="N162" s="338"/>
      <c r="O162" s="338"/>
      <c r="P162" s="338"/>
      <c r="Q162" s="109"/>
      <c r="R162" s="109"/>
      <c r="S162" s="777"/>
      <c r="T162" s="110"/>
      <c r="U162" s="722"/>
      <c r="V162" s="364"/>
      <c r="W162" s="364"/>
      <c r="X162" s="723"/>
      <c r="Y162" s="403"/>
      <c r="Z162" s="110"/>
      <c r="AA162" s="391"/>
      <c r="AB162" s="110"/>
      <c r="AC162" s="403"/>
      <c r="AD162" s="109"/>
      <c r="AE162" s="110"/>
      <c r="AF162" s="307"/>
    </row>
    <row r="163" spans="1:32" ht="27" customHeight="1">
      <c r="A163" s="342" t="s">
        <v>2228</v>
      </c>
      <c r="B163" s="182">
        <v>5</v>
      </c>
      <c r="C163" s="343" t="s">
        <v>215</v>
      </c>
      <c r="D163" s="182">
        <v>48</v>
      </c>
      <c r="E163" s="340" t="s">
        <v>1669</v>
      </c>
      <c r="F163" s="371">
        <v>44922</v>
      </c>
      <c r="G163" s="132" t="s">
        <v>2194</v>
      </c>
      <c r="H163" s="314" t="s">
        <v>1905</v>
      </c>
      <c r="I163" s="431">
        <v>15</v>
      </c>
      <c r="J163" s="407">
        <v>70</v>
      </c>
      <c r="K163" s="407">
        <v>70</v>
      </c>
      <c r="L163" s="588">
        <v>0</v>
      </c>
      <c r="M163" s="372">
        <v>35</v>
      </c>
      <c r="N163" s="372">
        <v>90</v>
      </c>
      <c r="O163" s="372">
        <v>85</v>
      </c>
      <c r="P163" s="372">
        <v>80</v>
      </c>
      <c r="Q163" s="183" t="s">
        <v>2053</v>
      </c>
      <c r="R163" s="372">
        <v>6</v>
      </c>
      <c r="S163" s="776"/>
      <c r="T163" s="424">
        <v>147</v>
      </c>
      <c r="U163" s="393">
        <v>0</v>
      </c>
      <c r="V163" s="129"/>
      <c r="W163" s="129"/>
      <c r="X163" s="433">
        <v>0</v>
      </c>
      <c r="Y163" s="409">
        <v>1</v>
      </c>
      <c r="Z163" s="431">
        <v>0</v>
      </c>
      <c r="AA163" s="407" t="s">
        <v>749</v>
      </c>
      <c r="AB163" s="431">
        <v>3</v>
      </c>
      <c r="AC163" s="413">
        <v>0</v>
      </c>
      <c r="AD163" s="132">
        <v>0</v>
      </c>
      <c r="AE163" s="431">
        <v>0</v>
      </c>
      <c r="AF163" s="441" t="s">
        <v>1804</v>
      </c>
    </row>
    <row r="164" spans="1:32" ht="27" customHeight="1">
      <c r="A164" s="342" t="s">
        <v>2228</v>
      </c>
      <c r="B164" s="182">
        <v>5</v>
      </c>
      <c r="C164" s="343" t="s">
        <v>215</v>
      </c>
      <c r="D164" s="182">
        <v>49</v>
      </c>
      <c r="E164" s="340" t="s">
        <v>1670</v>
      </c>
      <c r="F164" s="109"/>
      <c r="G164" s="109"/>
      <c r="H164" s="109"/>
      <c r="I164" s="110"/>
      <c r="J164" s="391"/>
      <c r="K164" s="391"/>
      <c r="L164" s="588"/>
      <c r="M164" s="338"/>
      <c r="N164" s="338"/>
      <c r="O164" s="338"/>
      <c r="P164" s="338"/>
      <c r="Q164" s="109"/>
      <c r="R164" s="109"/>
      <c r="S164" s="777"/>
      <c r="T164" s="110"/>
      <c r="U164" s="722"/>
      <c r="V164" s="364"/>
      <c r="W164" s="364"/>
      <c r="X164" s="723"/>
      <c r="Y164" s="403"/>
      <c r="Z164" s="110"/>
      <c r="AA164" s="391"/>
      <c r="AB164" s="110"/>
      <c r="AC164" s="403"/>
      <c r="AD164" s="109"/>
      <c r="AE164" s="110"/>
      <c r="AF164" s="307"/>
    </row>
    <row r="165" spans="1:32" ht="27" customHeight="1">
      <c r="A165" s="342" t="s">
        <v>2228</v>
      </c>
      <c r="B165" s="182">
        <v>5</v>
      </c>
      <c r="C165" s="343" t="s">
        <v>215</v>
      </c>
      <c r="D165" s="182">
        <v>50</v>
      </c>
      <c r="E165" s="341" t="s">
        <v>2264</v>
      </c>
      <c r="F165" s="109"/>
      <c r="G165" s="109"/>
      <c r="H165" s="109"/>
      <c r="I165" s="110"/>
      <c r="J165" s="391"/>
      <c r="K165" s="391"/>
      <c r="L165" s="588"/>
      <c r="M165" s="338"/>
      <c r="N165" s="338"/>
      <c r="O165" s="338"/>
      <c r="P165" s="338"/>
      <c r="Q165" s="109"/>
      <c r="R165" s="109"/>
      <c r="S165" s="777"/>
      <c r="T165" s="110"/>
      <c r="U165" s="722"/>
      <c r="V165" s="364"/>
      <c r="W165" s="364"/>
      <c r="X165" s="723"/>
      <c r="Y165" s="403"/>
      <c r="Z165" s="110"/>
      <c r="AA165" s="391"/>
      <c r="AB165" s="110"/>
      <c r="AC165" s="403"/>
      <c r="AD165" s="109"/>
      <c r="AE165" s="110"/>
      <c r="AF165" s="307"/>
    </row>
    <row r="166" spans="1:32" ht="27" customHeight="1">
      <c r="A166" s="342" t="s">
        <v>2228</v>
      </c>
      <c r="B166" s="182">
        <v>5</v>
      </c>
      <c r="C166" s="343" t="s">
        <v>215</v>
      </c>
      <c r="D166" s="182">
        <v>51</v>
      </c>
      <c r="E166" s="341" t="s">
        <v>1856</v>
      </c>
      <c r="F166" s="371"/>
      <c r="G166" s="132"/>
      <c r="H166" s="314"/>
      <c r="I166" s="431"/>
      <c r="J166" s="407"/>
      <c r="K166" s="407">
        <v>70</v>
      </c>
      <c r="L166" s="588"/>
      <c r="M166" s="372"/>
      <c r="N166" s="372"/>
      <c r="O166" s="372"/>
      <c r="P166" s="372"/>
      <c r="Q166" s="183"/>
      <c r="R166" s="372"/>
      <c r="S166" s="776"/>
      <c r="T166" s="424"/>
      <c r="U166" s="393"/>
      <c r="V166" s="129"/>
      <c r="W166" s="129"/>
      <c r="X166" s="433"/>
      <c r="Y166" s="409"/>
      <c r="Z166" s="431"/>
      <c r="AA166" s="407"/>
      <c r="AB166" s="431"/>
      <c r="AC166" s="413"/>
      <c r="AD166" s="132"/>
      <c r="AE166" s="431"/>
      <c r="AF166" s="441"/>
    </row>
    <row r="167" spans="1:32" ht="27" customHeight="1">
      <c r="A167" s="716" t="s">
        <v>2228</v>
      </c>
      <c r="B167" s="185">
        <v>5</v>
      </c>
      <c r="C167" s="717" t="s">
        <v>215</v>
      </c>
      <c r="D167" s="185">
        <v>52</v>
      </c>
      <c r="E167" s="715" t="s">
        <v>1857</v>
      </c>
      <c r="F167" s="704"/>
      <c r="G167" s="705"/>
      <c r="H167" s="706"/>
      <c r="I167" s="707"/>
      <c r="J167" s="708"/>
      <c r="K167" s="708">
        <v>70</v>
      </c>
      <c r="L167" s="588"/>
      <c r="M167" s="709"/>
      <c r="N167" s="709"/>
      <c r="O167" s="709"/>
      <c r="P167" s="709"/>
      <c r="Q167" s="186"/>
      <c r="R167" s="709"/>
      <c r="S167" s="779"/>
      <c r="T167" s="710"/>
      <c r="U167" s="725"/>
      <c r="V167" s="711"/>
      <c r="W167" s="711"/>
      <c r="X167" s="726"/>
      <c r="Y167" s="712"/>
      <c r="Z167" s="707"/>
      <c r="AA167" s="708"/>
      <c r="AB167" s="707"/>
      <c r="AC167" s="713"/>
      <c r="AD167" s="705"/>
      <c r="AE167" s="707"/>
      <c r="AF167" s="714"/>
    </row>
    <row r="168" spans="1:32" ht="27" customHeight="1">
      <c r="A168" s="342" t="s">
        <v>2228</v>
      </c>
      <c r="B168" s="182">
        <v>5</v>
      </c>
      <c r="C168" s="343" t="s">
        <v>215</v>
      </c>
      <c r="D168" s="349">
        <v>53</v>
      </c>
      <c r="E168" s="703" t="s">
        <v>2044</v>
      </c>
      <c r="F168" s="704">
        <v>44868</v>
      </c>
      <c r="G168" s="132" t="s">
        <v>2194</v>
      </c>
      <c r="H168" s="706" t="s">
        <v>1905</v>
      </c>
      <c r="I168" s="707">
        <v>15</v>
      </c>
      <c r="J168" s="708">
        <v>70</v>
      </c>
      <c r="K168" s="708"/>
      <c r="L168" s="588"/>
      <c r="M168" s="709">
        <v>0</v>
      </c>
      <c r="N168" s="709">
        <v>0</v>
      </c>
      <c r="O168" s="709">
        <v>0</v>
      </c>
      <c r="P168" s="709">
        <v>0</v>
      </c>
      <c r="Q168" s="186" t="s">
        <v>1708</v>
      </c>
      <c r="R168" s="709">
        <v>12.666666666666666</v>
      </c>
      <c r="S168" s="779"/>
      <c r="T168" s="710">
        <v>76</v>
      </c>
      <c r="U168" s="725">
        <v>0</v>
      </c>
      <c r="V168" s="711"/>
      <c r="W168" s="711"/>
      <c r="X168" s="726">
        <v>0</v>
      </c>
      <c r="Y168" s="712">
        <v>2</v>
      </c>
      <c r="Z168" s="707">
        <v>0.5</v>
      </c>
      <c r="AA168" s="708" t="s">
        <v>749</v>
      </c>
      <c r="AB168" s="707" t="s">
        <v>749</v>
      </c>
      <c r="AC168" s="713">
        <v>0</v>
      </c>
      <c r="AD168" s="705">
        <v>0</v>
      </c>
      <c r="AE168" s="707">
        <v>9</v>
      </c>
      <c r="AF168" s="714" t="s">
        <v>2196</v>
      </c>
    </row>
    <row r="169" spans="1:32" ht="27" customHeight="1">
      <c r="A169" s="716" t="s">
        <v>2228</v>
      </c>
      <c r="B169" s="185">
        <v>5</v>
      </c>
      <c r="C169" s="717" t="s">
        <v>215</v>
      </c>
      <c r="D169" s="719">
        <v>54</v>
      </c>
      <c r="E169" s="703" t="s">
        <v>2045</v>
      </c>
      <c r="F169" s="704">
        <v>44868</v>
      </c>
      <c r="G169" s="132" t="s">
        <v>2194</v>
      </c>
      <c r="H169" s="706" t="s">
        <v>1905</v>
      </c>
      <c r="I169" s="707">
        <v>15</v>
      </c>
      <c r="J169" s="708">
        <v>40</v>
      </c>
      <c r="K169" s="708"/>
      <c r="L169" s="588"/>
      <c r="M169" s="709">
        <v>0</v>
      </c>
      <c r="N169" s="709">
        <v>0</v>
      </c>
      <c r="O169" s="709">
        <v>0</v>
      </c>
      <c r="P169" s="709">
        <v>0</v>
      </c>
      <c r="Q169" s="186" t="s">
        <v>1708</v>
      </c>
      <c r="R169" s="709">
        <v>4.666666666666667</v>
      </c>
      <c r="S169" s="779"/>
      <c r="T169" s="710">
        <v>50</v>
      </c>
      <c r="U169" s="725">
        <v>0</v>
      </c>
      <c r="V169" s="711"/>
      <c r="W169" s="711"/>
      <c r="X169" s="726">
        <v>0</v>
      </c>
      <c r="Y169" s="712">
        <v>1</v>
      </c>
      <c r="Z169" s="707">
        <v>0</v>
      </c>
      <c r="AA169" s="708" t="s">
        <v>749</v>
      </c>
      <c r="AB169" s="707" t="s">
        <v>749</v>
      </c>
      <c r="AC169" s="713">
        <v>0</v>
      </c>
      <c r="AD169" s="705">
        <v>0</v>
      </c>
      <c r="AE169" s="707">
        <v>2</v>
      </c>
      <c r="AF169" s="714" t="s">
        <v>1804</v>
      </c>
    </row>
    <row r="170" spans="1:32" ht="27" customHeight="1">
      <c r="A170" s="342" t="s">
        <v>2228</v>
      </c>
      <c r="B170" s="182">
        <v>5</v>
      </c>
      <c r="C170" s="343" t="s">
        <v>215</v>
      </c>
      <c r="D170" s="349">
        <v>55</v>
      </c>
      <c r="E170" s="703" t="s">
        <v>2046</v>
      </c>
      <c r="F170" s="704">
        <v>44856</v>
      </c>
      <c r="G170" s="132" t="s">
        <v>2194</v>
      </c>
      <c r="H170" s="706" t="s">
        <v>1905</v>
      </c>
      <c r="I170" s="707">
        <v>15</v>
      </c>
      <c r="J170" s="708">
        <v>50</v>
      </c>
      <c r="K170" s="708"/>
      <c r="L170" s="588"/>
      <c r="M170" s="709">
        <v>1.5</v>
      </c>
      <c r="N170" s="709">
        <v>0</v>
      </c>
      <c r="O170" s="709">
        <v>0</v>
      </c>
      <c r="P170" s="709">
        <v>0</v>
      </c>
      <c r="Q170" s="186" t="s">
        <v>1708</v>
      </c>
      <c r="R170" s="709">
        <v>12</v>
      </c>
      <c r="S170" s="779"/>
      <c r="T170" s="710">
        <v>73</v>
      </c>
      <c r="U170" s="725">
        <v>0</v>
      </c>
      <c r="V170" s="711"/>
      <c r="W170" s="711"/>
      <c r="X170" s="726">
        <v>0</v>
      </c>
      <c r="Y170" s="712">
        <v>1</v>
      </c>
      <c r="Z170" s="707">
        <v>0</v>
      </c>
      <c r="AA170" s="708" t="s">
        <v>749</v>
      </c>
      <c r="AB170" s="707">
        <v>2</v>
      </c>
      <c r="AC170" s="713">
        <v>0</v>
      </c>
      <c r="AD170" s="705">
        <v>0</v>
      </c>
      <c r="AE170" s="707">
        <v>10</v>
      </c>
      <c r="AF170" s="714" t="s">
        <v>1804</v>
      </c>
    </row>
    <row r="171" spans="1:32" ht="27" customHeight="1">
      <c r="A171" s="716" t="s">
        <v>2228</v>
      </c>
      <c r="B171" s="185">
        <v>5</v>
      </c>
      <c r="C171" s="717" t="s">
        <v>215</v>
      </c>
      <c r="D171" s="719">
        <v>56</v>
      </c>
      <c r="E171" s="703" t="s">
        <v>2047</v>
      </c>
      <c r="F171" s="704">
        <v>44916</v>
      </c>
      <c r="G171" s="132" t="s">
        <v>2194</v>
      </c>
      <c r="H171" s="706" t="s">
        <v>1905</v>
      </c>
      <c r="I171" s="707">
        <v>15</v>
      </c>
      <c r="J171" s="708">
        <v>70</v>
      </c>
      <c r="K171" s="708"/>
      <c r="L171" s="588"/>
      <c r="M171" s="709">
        <v>0</v>
      </c>
      <c r="N171" s="709">
        <v>0</v>
      </c>
      <c r="O171" s="709">
        <v>0</v>
      </c>
      <c r="P171" s="709">
        <v>0</v>
      </c>
      <c r="Q171" s="186" t="s">
        <v>1942</v>
      </c>
      <c r="R171" s="709">
        <v>6</v>
      </c>
      <c r="S171" s="779"/>
      <c r="T171" s="710">
        <v>63</v>
      </c>
      <c r="U171" s="725">
        <v>0</v>
      </c>
      <c r="V171" s="711"/>
      <c r="W171" s="711"/>
      <c r="X171" s="726">
        <v>2.5</v>
      </c>
      <c r="Y171" s="712">
        <v>2</v>
      </c>
      <c r="Z171" s="707">
        <v>0.5</v>
      </c>
      <c r="AA171" s="708" t="s">
        <v>749</v>
      </c>
      <c r="AB171" s="707">
        <v>2</v>
      </c>
      <c r="AC171" s="713">
        <v>0</v>
      </c>
      <c r="AD171" s="705">
        <v>0</v>
      </c>
      <c r="AE171" s="707">
        <v>5</v>
      </c>
      <c r="AF171" s="714" t="s">
        <v>2196</v>
      </c>
    </row>
    <row r="172" spans="1:32" ht="27" customHeight="1">
      <c r="A172" s="342" t="s">
        <v>2228</v>
      </c>
      <c r="B172" s="182">
        <v>5</v>
      </c>
      <c r="C172" s="343" t="s">
        <v>215</v>
      </c>
      <c r="D172" s="349">
        <v>57</v>
      </c>
      <c r="E172" s="703" t="s">
        <v>2048</v>
      </c>
      <c r="F172" s="704">
        <v>44850</v>
      </c>
      <c r="G172" s="132" t="s">
        <v>2194</v>
      </c>
      <c r="H172" s="706" t="s">
        <v>1905</v>
      </c>
      <c r="I172" s="707">
        <v>15</v>
      </c>
      <c r="J172" s="708">
        <v>70</v>
      </c>
      <c r="K172" s="708"/>
      <c r="L172" s="588"/>
      <c r="M172" s="709">
        <v>3</v>
      </c>
      <c r="N172" s="709">
        <v>0</v>
      </c>
      <c r="O172" s="709">
        <v>0</v>
      </c>
      <c r="P172" s="709">
        <v>0</v>
      </c>
      <c r="Q172" s="186" t="s">
        <v>1708</v>
      </c>
      <c r="R172" s="709">
        <v>14.666666666666666</v>
      </c>
      <c r="S172" s="779"/>
      <c r="T172" s="710">
        <v>64</v>
      </c>
      <c r="U172" s="725">
        <v>0</v>
      </c>
      <c r="V172" s="711"/>
      <c r="W172" s="711"/>
      <c r="X172" s="726">
        <v>1</v>
      </c>
      <c r="Y172" s="712">
        <v>1</v>
      </c>
      <c r="Z172" s="707">
        <v>0</v>
      </c>
      <c r="AA172" s="708" t="s">
        <v>749</v>
      </c>
      <c r="AB172" s="707">
        <v>1</v>
      </c>
      <c r="AC172" s="713">
        <v>0</v>
      </c>
      <c r="AD172" s="705">
        <v>0</v>
      </c>
      <c r="AE172" s="707">
        <v>4</v>
      </c>
      <c r="AF172" s="714" t="s">
        <v>1804</v>
      </c>
    </row>
    <row r="173" spans="1:32" ht="27" customHeight="1">
      <c r="A173" s="716" t="s">
        <v>2228</v>
      </c>
      <c r="B173" s="185">
        <v>5</v>
      </c>
      <c r="C173" s="717" t="s">
        <v>215</v>
      </c>
      <c r="D173" s="719">
        <v>58</v>
      </c>
      <c r="E173" s="703" t="s">
        <v>2049</v>
      </c>
      <c r="F173" s="704">
        <v>44850</v>
      </c>
      <c r="G173" s="132" t="s">
        <v>2194</v>
      </c>
      <c r="H173" s="706" t="s">
        <v>1905</v>
      </c>
      <c r="I173" s="707">
        <v>15</v>
      </c>
      <c r="J173" s="708">
        <v>80</v>
      </c>
      <c r="K173" s="708"/>
      <c r="L173" s="588"/>
      <c r="M173" s="709">
        <v>3</v>
      </c>
      <c r="N173" s="709">
        <v>3</v>
      </c>
      <c r="O173" s="709">
        <v>0</v>
      </c>
      <c r="P173" s="709">
        <v>0</v>
      </c>
      <c r="Q173" s="186" t="s">
        <v>1942</v>
      </c>
      <c r="R173" s="709">
        <v>18.666666666666668</v>
      </c>
      <c r="S173" s="779"/>
      <c r="T173" s="710">
        <v>62</v>
      </c>
      <c r="U173" s="725">
        <v>0</v>
      </c>
      <c r="V173" s="711"/>
      <c r="W173" s="711"/>
      <c r="X173" s="726">
        <v>0</v>
      </c>
      <c r="Y173" s="712">
        <v>1</v>
      </c>
      <c r="Z173" s="707">
        <v>0</v>
      </c>
      <c r="AA173" s="708" t="s">
        <v>749</v>
      </c>
      <c r="AB173" s="707">
        <v>2</v>
      </c>
      <c r="AC173" s="713">
        <v>0</v>
      </c>
      <c r="AD173" s="705">
        <v>0</v>
      </c>
      <c r="AE173" s="707">
        <v>4</v>
      </c>
      <c r="AF173" s="714" t="s">
        <v>1804</v>
      </c>
    </row>
    <row r="174" spans="1:32" ht="27" customHeight="1">
      <c r="A174" s="342" t="s">
        <v>2228</v>
      </c>
      <c r="B174" s="182">
        <v>5</v>
      </c>
      <c r="C174" s="343" t="s">
        <v>215</v>
      </c>
      <c r="D174" s="349">
        <v>59</v>
      </c>
      <c r="E174" s="703" t="s">
        <v>2050</v>
      </c>
      <c r="F174" s="704">
        <v>44843</v>
      </c>
      <c r="G174" s="132" t="s">
        <v>2194</v>
      </c>
      <c r="H174" s="706" t="s">
        <v>1905</v>
      </c>
      <c r="I174" s="707">
        <v>15</v>
      </c>
      <c r="J174" s="708">
        <v>10</v>
      </c>
      <c r="K174" s="708"/>
      <c r="L174" s="588"/>
      <c r="M174" s="709">
        <v>40</v>
      </c>
      <c r="N174" s="709">
        <v>85</v>
      </c>
      <c r="O174" s="709">
        <v>50</v>
      </c>
      <c r="P174" s="709">
        <v>50</v>
      </c>
      <c r="Q174" s="186"/>
      <c r="R174" s="709">
        <v>1.3333333333333333</v>
      </c>
      <c r="S174" s="779"/>
      <c r="T174" s="710">
        <v>77</v>
      </c>
      <c r="U174" s="725">
        <v>0</v>
      </c>
      <c r="V174" s="711"/>
      <c r="W174" s="711"/>
      <c r="X174" s="726">
        <v>0</v>
      </c>
      <c r="Y174" s="712">
        <v>1</v>
      </c>
      <c r="Z174" s="707">
        <v>0</v>
      </c>
      <c r="AA174" s="708" t="s">
        <v>749</v>
      </c>
      <c r="AB174" s="707">
        <v>5</v>
      </c>
      <c r="AC174" s="713">
        <v>0</v>
      </c>
      <c r="AD174" s="705">
        <v>0</v>
      </c>
      <c r="AE174" s="707">
        <v>0</v>
      </c>
      <c r="AF174" s="714" t="s">
        <v>1804</v>
      </c>
    </row>
    <row r="175" spans="1:32" ht="27" customHeight="1" thickBot="1">
      <c r="A175" s="569" t="s">
        <v>2228</v>
      </c>
      <c r="B175" s="192">
        <v>5</v>
      </c>
      <c r="C175" s="570" t="s">
        <v>215</v>
      </c>
      <c r="D175" s="571">
        <v>60</v>
      </c>
      <c r="E175" s="572" t="s">
        <v>2051</v>
      </c>
      <c r="F175" s="496">
        <v>44878</v>
      </c>
      <c r="G175" s="583" t="s">
        <v>2194</v>
      </c>
      <c r="H175" s="530" t="s">
        <v>1905</v>
      </c>
      <c r="I175" s="503">
        <v>15</v>
      </c>
      <c r="J175" s="501">
        <v>80</v>
      </c>
      <c r="K175" s="501"/>
      <c r="L175" s="588"/>
      <c r="M175" s="499">
        <v>0</v>
      </c>
      <c r="N175" s="499">
        <v>0</v>
      </c>
      <c r="O175" s="499">
        <v>0</v>
      </c>
      <c r="P175" s="499">
        <v>0</v>
      </c>
      <c r="Q175" s="193" t="s">
        <v>1942</v>
      </c>
      <c r="R175" s="499">
        <v>18.666666666666668</v>
      </c>
      <c r="S175" s="780"/>
      <c r="T175" s="500">
        <v>68</v>
      </c>
      <c r="U175" s="727">
        <v>0</v>
      </c>
      <c r="V175" s="594"/>
      <c r="W175" s="594"/>
      <c r="X175" s="728">
        <v>0</v>
      </c>
      <c r="Y175" s="535">
        <v>1</v>
      </c>
      <c r="Z175" s="503">
        <v>0</v>
      </c>
      <c r="AA175" s="501" t="s">
        <v>749</v>
      </c>
      <c r="AB175" s="503">
        <v>3</v>
      </c>
      <c r="AC175" s="519">
        <v>0</v>
      </c>
      <c r="AD175" s="583">
        <v>0</v>
      </c>
      <c r="AE175" s="503">
        <v>4</v>
      </c>
      <c r="AF175" s="504" t="s">
        <v>2196</v>
      </c>
    </row>
    <row r="176" spans="1:32" ht="27" customHeight="1" thickTop="1">
      <c r="A176" s="573" t="s">
        <v>2265</v>
      </c>
      <c r="B176" s="179">
        <v>6</v>
      </c>
      <c r="C176" s="574" t="s">
        <v>270</v>
      </c>
      <c r="D176" s="179">
        <v>1</v>
      </c>
      <c r="E176" s="470" t="s">
        <v>2266</v>
      </c>
      <c r="F176" s="508">
        <v>44878</v>
      </c>
      <c r="G176" s="141" t="s">
        <v>1870</v>
      </c>
      <c r="H176" s="311" t="s">
        <v>1905</v>
      </c>
      <c r="I176" s="464">
        <v>15</v>
      </c>
      <c r="J176" s="588">
        <v>80</v>
      </c>
      <c r="K176" s="588">
        <v>80</v>
      </c>
      <c r="L176" s="588">
        <v>0</v>
      </c>
      <c r="M176" s="509">
        <v>0</v>
      </c>
      <c r="N176" s="509">
        <v>0</v>
      </c>
      <c r="O176" s="509">
        <v>0</v>
      </c>
      <c r="P176" s="509">
        <v>0</v>
      </c>
      <c r="Q176" s="180" t="s">
        <v>1708</v>
      </c>
      <c r="R176" s="509">
        <v>15.333333333333334</v>
      </c>
      <c r="S176" s="775"/>
      <c r="T176" s="510">
        <v>117</v>
      </c>
      <c r="U176" s="720">
        <v>0</v>
      </c>
      <c r="V176" s="138"/>
      <c r="W176" s="138"/>
      <c r="X176" s="721">
        <v>0</v>
      </c>
      <c r="Y176" s="408">
        <v>1</v>
      </c>
      <c r="Z176" s="464">
        <v>0</v>
      </c>
      <c r="AA176" s="588" t="s">
        <v>749</v>
      </c>
      <c r="AB176" s="464">
        <v>2</v>
      </c>
      <c r="AC176" s="524">
        <v>0</v>
      </c>
      <c r="AD176" s="141">
        <v>0</v>
      </c>
      <c r="AE176" s="464">
        <v>2</v>
      </c>
      <c r="AF176" s="513" t="s">
        <v>1804</v>
      </c>
    </row>
    <row r="177" spans="1:32" s="285" customFormat="1" ht="27" customHeight="1">
      <c r="A177" s="342" t="s">
        <v>2265</v>
      </c>
      <c r="B177" s="182">
        <v>6</v>
      </c>
      <c r="C177" s="343" t="s">
        <v>270</v>
      </c>
      <c r="D177" s="182">
        <v>2</v>
      </c>
      <c r="E177" s="341" t="s">
        <v>2267</v>
      </c>
      <c r="F177" s="371">
        <v>44878</v>
      </c>
      <c r="G177" s="132" t="s">
        <v>1870</v>
      </c>
      <c r="H177" s="314" t="s">
        <v>1905</v>
      </c>
      <c r="I177" s="431">
        <v>15</v>
      </c>
      <c r="J177" s="407">
        <v>70</v>
      </c>
      <c r="K177" s="407">
        <v>70</v>
      </c>
      <c r="L177" s="588">
        <v>0</v>
      </c>
      <c r="M177" s="372">
        <v>0.5</v>
      </c>
      <c r="N177" s="372">
        <v>40</v>
      </c>
      <c r="O177" s="372">
        <v>0</v>
      </c>
      <c r="P177" s="372">
        <v>0</v>
      </c>
      <c r="Q177" s="183" t="s">
        <v>1708</v>
      </c>
      <c r="R177" s="372">
        <v>18.666666666666668</v>
      </c>
      <c r="S177" s="776"/>
      <c r="T177" s="424">
        <v>107</v>
      </c>
      <c r="U177" s="393">
        <v>0</v>
      </c>
      <c r="V177" s="129"/>
      <c r="W177" s="129"/>
      <c r="X177" s="433">
        <v>0</v>
      </c>
      <c r="Y177" s="409">
        <v>1</v>
      </c>
      <c r="Z177" s="431">
        <v>0</v>
      </c>
      <c r="AA177" s="407" t="s">
        <v>749</v>
      </c>
      <c r="AB177" s="431">
        <v>2</v>
      </c>
      <c r="AC177" s="413">
        <v>2</v>
      </c>
      <c r="AD177" s="132">
        <v>0</v>
      </c>
      <c r="AE177" s="431">
        <v>11</v>
      </c>
      <c r="AF177" s="441" t="s">
        <v>2196</v>
      </c>
    </row>
    <row r="178" spans="1:32" ht="27" customHeight="1">
      <c r="A178" s="342" t="s">
        <v>2265</v>
      </c>
      <c r="B178" s="182">
        <v>6</v>
      </c>
      <c r="C178" s="343" t="s">
        <v>270</v>
      </c>
      <c r="D178" s="182">
        <v>3</v>
      </c>
      <c r="E178" s="341" t="s">
        <v>2268</v>
      </c>
      <c r="F178" s="371"/>
      <c r="G178" s="132"/>
      <c r="H178" s="314"/>
      <c r="I178" s="431"/>
      <c r="J178" s="407"/>
      <c r="K178" s="407">
        <v>50</v>
      </c>
      <c r="L178" s="588"/>
      <c r="M178" s="372"/>
      <c r="N178" s="372"/>
      <c r="O178" s="372"/>
      <c r="P178" s="372"/>
      <c r="Q178" s="183"/>
      <c r="R178" s="372"/>
      <c r="S178" s="776"/>
      <c r="T178" s="424"/>
      <c r="U178" s="393"/>
      <c r="V178" s="129"/>
      <c r="W178" s="129"/>
      <c r="X178" s="433"/>
      <c r="Y178" s="409"/>
      <c r="Z178" s="431"/>
      <c r="AA178" s="407"/>
      <c r="AB178" s="431"/>
      <c r="AC178" s="413"/>
      <c r="AD178" s="132"/>
      <c r="AE178" s="431"/>
      <c r="AF178" s="441"/>
    </row>
    <row r="179" spans="1:32" ht="27" customHeight="1">
      <c r="A179" s="342" t="s">
        <v>2265</v>
      </c>
      <c r="B179" s="182">
        <v>6</v>
      </c>
      <c r="C179" s="343" t="s">
        <v>270</v>
      </c>
      <c r="D179" s="182">
        <v>4</v>
      </c>
      <c r="E179" s="341" t="s">
        <v>2269</v>
      </c>
      <c r="F179" s="371">
        <v>44878</v>
      </c>
      <c r="G179" s="132" t="s">
        <v>1870</v>
      </c>
      <c r="H179" s="314" t="s">
        <v>1905</v>
      </c>
      <c r="I179" s="431">
        <v>15</v>
      </c>
      <c r="J179" s="407">
        <v>70</v>
      </c>
      <c r="K179" s="407">
        <v>60</v>
      </c>
      <c r="L179" s="588">
        <v>10</v>
      </c>
      <c r="M179" s="372">
        <v>0</v>
      </c>
      <c r="N179" s="372">
        <v>0</v>
      </c>
      <c r="O179" s="372">
        <v>0</v>
      </c>
      <c r="P179" s="372">
        <v>0</v>
      </c>
      <c r="Q179" s="183" t="s">
        <v>1708</v>
      </c>
      <c r="R179" s="372">
        <v>23.333333333333332</v>
      </c>
      <c r="S179" s="776"/>
      <c r="T179" s="424">
        <v>60</v>
      </c>
      <c r="U179" s="393">
        <v>0</v>
      </c>
      <c r="V179" s="129"/>
      <c r="W179" s="129"/>
      <c r="X179" s="433">
        <v>0</v>
      </c>
      <c r="Y179" s="410">
        <v>1</v>
      </c>
      <c r="Z179" s="431">
        <v>0</v>
      </c>
      <c r="AA179" s="407" t="s">
        <v>749</v>
      </c>
      <c r="AB179" s="431">
        <v>2</v>
      </c>
      <c r="AC179" s="413">
        <v>0</v>
      </c>
      <c r="AD179" s="132">
        <v>0</v>
      </c>
      <c r="AE179" s="431">
        <v>2</v>
      </c>
      <c r="AF179" s="441" t="s">
        <v>2196</v>
      </c>
    </row>
    <row r="180" spans="1:32" ht="27" customHeight="1">
      <c r="A180" s="342" t="s">
        <v>2265</v>
      </c>
      <c r="B180" s="182">
        <v>6</v>
      </c>
      <c r="C180" s="343" t="s">
        <v>270</v>
      </c>
      <c r="D180" s="182">
        <v>5</v>
      </c>
      <c r="E180" s="341" t="s">
        <v>2270</v>
      </c>
      <c r="F180" s="371">
        <v>44878</v>
      </c>
      <c r="G180" s="132" t="s">
        <v>1870</v>
      </c>
      <c r="H180" s="109" t="s">
        <v>1713</v>
      </c>
      <c r="I180" s="431">
        <v>20</v>
      </c>
      <c r="J180" s="407">
        <v>70</v>
      </c>
      <c r="K180" s="407">
        <v>60</v>
      </c>
      <c r="L180" s="588">
        <v>10</v>
      </c>
      <c r="M180" s="372">
        <v>0</v>
      </c>
      <c r="N180" s="372">
        <v>0</v>
      </c>
      <c r="O180" s="372">
        <v>0</v>
      </c>
      <c r="P180" s="372">
        <v>0</v>
      </c>
      <c r="Q180" s="183" t="s">
        <v>1707</v>
      </c>
      <c r="R180" s="372">
        <v>17.333333333333332</v>
      </c>
      <c r="S180" s="776"/>
      <c r="T180" s="424">
        <v>61</v>
      </c>
      <c r="U180" s="393">
        <v>1</v>
      </c>
      <c r="V180" s="129" t="s">
        <v>1712</v>
      </c>
      <c r="W180" s="129" t="s">
        <v>1712</v>
      </c>
      <c r="X180" s="433">
        <v>0.5</v>
      </c>
      <c r="Y180" s="410">
        <v>2</v>
      </c>
      <c r="Z180" s="431">
        <v>0.5</v>
      </c>
      <c r="AA180" s="407" t="s">
        <v>749</v>
      </c>
      <c r="AB180" s="431">
        <v>2</v>
      </c>
      <c r="AC180" s="413">
        <v>2</v>
      </c>
      <c r="AD180" s="132">
        <v>0</v>
      </c>
      <c r="AE180" s="431">
        <v>0</v>
      </c>
      <c r="AF180" s="441" t="s">
        <v>2196</v>
      </c>
    </row>
    <row r="181" spans="1:32" s="285" customFormat="1" ht="27" customHeight="1">
      <c r="A181" s="342" t="s">
        <v>2265</v>
      </c>
      <c r="B181" s="182">
        <v>6</v>
      </c>
      <c r="C181" s="343" t="s">
        <v>270</v>
      </c>
      <c r="D181" s="182">
        <v>6</v>
      </c>
      <c r="E181" s="341" t="s">
        <v>277</v>
      </c>
      <c r="F181" s="109"/>
      <c r="G181" s="109"/>
      <c r="H181" s="109"/>
      <c r="I181" s="110"/>
      <c r="J181" s="391"/>
      <c r="K181" s="391"/>
      <c r="L181" s="588"/>
      <c r="M181" s="338"/>
      <c r="N181" s="338"/>
      <c r="O181" s="338"/>
      <c r="P181" s="338"/>
      <c r="Q181" s="109"/>
      <c r="R181" s="109"/>
      <c r="S181" s="777"/>
      <c r="T181" s="110"/>
      <c r="U181" s="722"/>
      <c r="V181" s="364"/>
      <c r="W181" s="364"/>
      <c r="X181" s="723"/>
      <c r="Y181" s="403"/>
      <c r="Z181" s="110"/>
      <c r="AA181" s="391"/>
      <c r="AB181" s="110"/>
      <c r="AC181" s="403"/>
      <c r="AD181" s="109"/>
      <c r="AE181" s="110"/>
      <c r="AF181" s="307"/>
    </row>
    <row r="182" spans="1:32" s="285" customFormat="1" ht="27" customHeight="1">
      <c r="A182" s="342" t="s">
        <v>2265</v>
      </c>
      <c r="B182" s="182">
        <v>6</v>
      </c>
      <c r="C182" s="343" t="s">
        <v>270</v>
      </c>
      <c r="D182" s="182">
        <v>7</v>
      </c>
      <c r="E182" s="341" t="s">
        <v>278</v>
      </c>
      <c r="F182" s="371"/>
      <c r="G182" s="132"/>
      <c r="H182" s="314"/>
      <c r="I182" s="431"/>
      <c r="J182" s="407"/>
      <c r="K182" s="407">
        <v>40</v>
      </c>
      <c r="L182" s="588"/>
      <c r="M182" s="372"/>
      <c r="N182" s="372"/>
      <c r="O182" s="372"/>
      <c r="P182" s="372"/>
      <c r="Q182" s="183"/>
      <c r="R182" s="372"/>
      <c r="S182" s="776"/>
      <c r="T182" s="424"/>
      <c r="U182" s="393"/>
      <c r="V182" s="129"/>
      <c r="W182" s="129"/>
      <c r="X182" s="433"/>
      <c r="Y182" s="410"/>
      <c r="Z182" s="431"/>
      <c r="AA182" s="407"/>
      <c r="AB182" s="431"/>
      <c r="AC182" s="413"/>
      <c r="AD182" s="132"/>
      <c r="AE182" s="431"/>
      <c r="AF182" s="441"/>
    </row>
    <row r="183" spans="1:32" s="285" customFormat="1" ht="27" customHeight="1">
      <c r="A183" s="342" t="s">
        <v>2265</v>
      </c>
      <c r="B183" s="182">
        <v>6</v>
      </c>
      <c r="C183" s="343" t="s">
        <v>270</v>
      </c>
      <c r="D183" s="182">
        <v>8</v>
      </c>
      <c r="E183" s="341" t="s">
        <v>280</v>
      </c>
      <c r="F183" s="371"/>
      <c r="G183" s="132"/>
      <c r="H183" s="314"/>
      <c r="I183" s="431"/>
      <c r="J183" s="407"/>
      <c r="K183" s="407">
        <v>60</v>
      </c>
      <c r="L183" s="588"/>
      <c r="M183" s="372"/>
      <c r="N183" s="372"/>
      <c r="O183" s="372"/>
      <c r="P183" s="372"/>
      <c r="Q183" s="314"/>
      <c r="R183" s="372"/>
      <c r="S183" s="776"/>
      <c r="T183" s="424"/>
      <c r="U183" s="393"/>
      <c r="V183" s="129"/>
      <c r="W183" s="129"/>
      <c r="X183" s="433"/>
      <c r="Y183" s="410"/>
      <c r="Z183" s="431"/>
      <c r="AA183" s="407"/>
      <c r="AB183" s="431"/>
      <c r="AC183" s="413"/>
      <c r="AD183" s="132"/>
      <c r="AE183" s="431"/>
      <c r="AF183" s="441"/>
    </row>
    <row r="184" spans="1:32" s="285" customFormat="1" ht="27" customHeight="1">
      <c r="A184" s="342" t="s">
        <v>2265</v>
      </c>
      <c r="B184" s="182">
        <v>6</v>
      </c>
      <c r="C184" s="343" t="s">
        <v>270</v>
      </c>
      <c r="D184" s="182">
        <v>9</v>
      </c>
      <c r="E184" s="341" t="s">
        <v>1800</v>
      </c>
      <c r="F184" s="109"/>
      <c r="G184" s="109"/>
      <c r="H184" s="109"/>
      <c r="I184" s="110"/>
      <c r="J184" s="391"/>
      <c r="K184" s="391"/>
      <c r="L184" s="588"/>
      <c r="M184" s="338"/>
      <c r="N184" s="338"/>
      <c r="O184" s="338"/>
      <c r="P184" s="338"/>
      <c r="Q184" s="109"/>
      <c r="R184" s="109"/>
      <c r="S184" s="777"/>
      <c r="T184" s="110"/>
      <c r="U184" s="722"/>
      <c r="V184" s="364"/>
      <c r="W184" s="364"/>
      <c r="X184" s="723"/>
      <c r="Y184" s="403"/>
      <c r="Z184" s="110"/>
      <c r="AA184" s="391"/>
      <c r="AB184" s="110"/>
      <c r="AC184" s="403"/>
      <c r="AD184" s="109"/>
      <c r="AE184" s="110"/>
      <c r="AF184" s="307"/>
    </row>
    <row r="185" spans="1:32" s="285" customFormat="1" ht="27" customHeight="1">
      <c r="A185" s="342" t="s">
        <v>2265</v>
      </c>
      <c r="B185" s="182">
        <v>6</v>
      </c>
      <c r="C185" s="343" t="s">
        <v>270</v>
      </c>
      <c r="D185" s="182">
        <v>10</v>
      </c>
      <c r="E185" s="341" t="s">
        <v>1858</v>
      </c>
      <c r="F185" s="371">
        <v>44878</v>
      </c>
      <c r="G185" s="132" t="s">
        <v>1870</v>
      </c>
      <c r="H185" s="109" t="s">
        <v>1713</v>
      </c>
      <c r="I185" s="431">
        <v>15</v>
      </c>
      <c r="J185" s="407">
        <v>80</v>
      </c>
      <c r="K185" s="407">
        <v>80</v>
      </c>
      <c r="L185" s="588">
        <v>0</v>
      </c>
      <c r="M185" s="372">
        <v>1.5</v>
      </c>
      <c r="N185" s="372">
        <v>45</v>
      </c>
      <c r="O185" s="372">
        <v>2.5</v>
      </c>
      <c r="P185" s="372">
        <v>50</v>
      </c>
      <c r="Q185" s="314" t="s">
        <v>1942</v>
      </c>
      <c r="R185" s="372">
        <v>34</v>
      </c>
      <c r="S185" s="776"/>
      <c r="T185" s="424">
        <v>116</v>
      </c>
      <c r="U185" s="393">
        <v>0</v>
      </c>
      <c r="V185" s="129"/>
      <c r="W185" s="129"/>
      <c r="X185" s="433">
        <v>0</v>
      </c>
      <c r="Y185" s="409">
        <v>1</v>
      </c>
      <c r="Z185" s="431">
        <v>0</v>
      </c>
      <c r="AA185" s="407" t="s">
        <v>749</v>
      </c>
      <c r="AB185" s="431">
        <v>3</v>
      </c>
      <c r="AC185" s="413">
        <v>0</v>
      </c>
      <c r="AD185" s="132">
        <v>0</v>
      </c>
      <c r="AE185" s="431">
        <v>2</v>
      </c>
      <c r="AF185" s="441" t="s">
        <v>2196</v>
      </c>
    </row>
    <row r="186" spans="1:32" s="285" customFormat="1" ht="27" customHeight="1">
      <c r="A186" s="716" t="s">
        <v>2265</v>
      </c>
      <c r="B186" s="185">
        <v>6</v>
      </c>
      <c r="C186" s="717" t="s">
        <v>270</v>
      </c>
      <c r="D186" s="185">
        <v>11</v>
      </c>
      <c r="E186" s="715" t="s">
        <v>1859</v>
      </c>
      <c r="F186" s="704"/>
      <c r="G186" s="705"/>
      <c r="H186" s="706"/>
      <c r="I186" s="707"/>
      <c r="J186" s="708"/>
      <c r="K186" s="708">
        <v>70</v>
      </c>
      <c r="L186" s="588"/>
      <c r="M186" s="709"/>
      <c r="N186" s="709"/>
      <c r="O186" s="709"/>
      <c r="P186" s="709"/>
      <c r="Q186" s="706"/>
      <c r="R186" s="709"/>
      <c r="S186" s="779"/>
      <c r="T186" s="710"/>
      <c r="U186" s="725"/>
      <c r="V186" s="711"/>
      <c r="W186" s="711"/>
      <c r="X186" s="726"/>
      <c r="Y186" s="718"/>
      <c r="Z186" s="707"/>
      <c r="AA186" s="708"/>
      <c r="AB186" s="707"/>
      <c r="AC186" s="713"/>
      <c r="AD186" s="705"/>
      <c r="AE186" s="707"/>
      <c r="AF186" s="714"/>
    </row>
    <row r="187" spans="1:32" s="285" customFormat="1" ht="27" customHeight="1" thickBot="1">
      <c r="A187" s="569" t="s">
        <v>2265</v>
      </c>
      <c r="B187" s="192">
        <v>6</v>
      </c>
      <c r="C187" s="570" t="s">
        <v>270</v>
      </c>
      <c r="D187" s="571">
        <v>12</v>
      </c>
      <c r="E187" s="572" t="s">
        <v>2052</v>
      </c>
      <c r="F187" s="496">
        <v>44878</v>
      </c>
      <c r="G187" s="583"/>
      <c r="H187" s="530" t="s">
        <v>1905</v>
      </c>
      <c r="I187" s="503">
        <v>15</v>
      </c>
      <c r="J187" s="501">
        <v>70</v>
      </c>
      <c r="K187" s="501"/>
      <c r="L187" s="588"/>
      <c r="M187" s="499">
        <v>0</v>
      </c>
      <c r="N187" s="499">
        <v>0</v>
      </c>
      <c r="O187" s="499">
        <v>0</v>
      </c>
      <c r="P187" s="499">
        <v>0</v>
      </c>
      <c r="Q187" s="530" t="s">
        <v>1708</v>
      </c>
      <c r="R187" s="499">
        <v>26.666666666666668</v>
      </c>
      <c r="S187" s="780"/>
      <c r="T187" s="500">
        <v>86</v>
      </c>
      <c r="U187" s="727">
        <v>0</v>
      </c>
      <c r="V187" s="594"/>
      <c r="W187" s="594"/>
      <c r="X187" s="728">
        <v>0</v>
      </c>
      <c r="Y187" s="486">
        <v>1</v>
      </c>
      <c r="Z187" s="503">
        <v>0</v>
      </c>
      <c r="AA187" s="501" t="s">
        <v>749</v>
      </c>
      <c r="AB187" s="503">
        <v>1</v>
      </c>
      <c r="AC187" s="519">
        <v>0</v>
      </c>
      <c r="AD187" s="583">
        <v>0</v>
      </c>
      <c r="AE187" s="503">
        <v>7</v>
      </c>
      <c r="AF187" s="504" t="s">
        <v>1804</v>
      </c>
    </row>
    <row r="188" spans="1:32" ht="35.1" customHeight="1" thickTop="1">
      <c r="A188" s="382" t="s">
        <v>2271</v>
      </c>
      <c r="B188" s="383">
        <v>7</v>
      </c>
      <c r="C188" s="382" t="s">
        <v>2272</v>
      </c>
      <c r="D188" s="456">
        <v>1</v>
      </c>
      <c r="E188" s="470" t="s">
        <v>1723</v>
      </c>
      <c r="F188" s="458">
        <v>44878</v>
      </c>
      <c r="G188" s="308" t="s">
        <v>1724</v>
      </c>
      <c r="H188" s="311" t="s">
        <v>1905</v>
      </c>
      <c r="I188" s="464">
        <v>15</v>
      </c>
      <c r="J188" s="389">
        <v>30</v>
      </c>
      <c r="K188" s="389">
        <v>30</v>
      </c>
      <c r="L188" s="389">
        <v>0</v>
      </c>
      <c r="M188" s="461">
        <v>0</v>
      </c>
      <c r="N188" s="461">
        <v>0</v>
      </c>
      <c r="O188" s="461">
        <v>0</v>
      </c>
      <c r="P188" s="461">
        <v>0</v>
      </c>
      <c r="Q188" s="180" t="s">
        <v>1707</v>
      </c>
      <c r="R188" s="568" t="s">
        <v>1926</v>
      </c>
      <c r="S188" s="781"/>
      <c r="T188" s="492">
        <v>111.2</v>
      </c>
      <c r="U188" s="462">
        <v>0</v>
      </c>
      <c r="V188" s="138" t="s">
        <v>749</v>
      </c>
      <c r="W188" s="141" t="s">
        <v>749</v>
      </c>
      <c r="X188" s="472">
        <v>0</v>
      </c>
      <c r="Y188" s="494">
        <v>2</v>
      </c>
      <c r="Z188" s="464" t="s">
        <v>1711</v>
      </c>
      <c r="AA188" s="462"/>
      <c r="AB188" s="309"/>
      <c r="AC188" s="524">
        <v>1</v>
      </c>
      <c r="AD188" s="141">
        <v>0</v>
      </c>
      <c r="AE188" s="460">
        <v>5</v>
      </c>
      <c r="AF188" s="465"/>
    </row>
    <row r="189" spans="1:32" s="285" customFormat="1" ht="35.1" customHeight="1">
      <c r="A189" s="331" t="s">
        <v>2271</v>
      </c>
      <c r="B189" s="332">
        <v>7</v>
      </c>
      <c r="C189" s="331" t="s">
        <v>2272</v>
      </c>
      <c r="D189" s="340">
        <v>2</v>
      </c>
      <c r="E189" s="341" t="s">
        <v>1725</v>
      </c>
      <c r="F189" s="350">
        <v>44876</v>
      </c>
      <c r="G189" s="109" t="s">
        <v>1724</v>
      </c>
      <c r="H189" s="314" t="s">
        <v>1905</v>
      </c>
      <c r="I189" s="431">
        <v>15</v>
      </c>
      <c r="J189" s="390">
        <v>10</v>
      </c>
      <c r="K189" s="390">
        <v>10</v>
      </c>
      <c r="L189" s="389">
        <v>0</v>
      </c>
      <c r="M189" s="338">
        <v>0</v>
      </c>
      <c r="N189" s="338">
        <v>0</v>
      </c>
      <c r="O189" s="338">
        <v>0</v>
      </c>
      <c r="P189" s="338">
        <v>0</v>
      </c>
      <c r="Q189" s="183" t="s">
        <v>1871</v>
      </c>
      <c r="R189" s="351" t="s">
        <v>1872</v>
      </c>
      <c r="S189" s="782"/>
      <c r="T189" s="418" t="s">
        <v>749</v>
      </c>
      <c r="U189" s="391">
        <v>0</v>
      </c>
      <c r="V189" s="129" t="s">
        <v>749</v>
      </c>
      <c r="W189" s="132" t="s">
        <v>749</v>
      </c>
      <c r="X189" s="427">
        <v>0</v>
      </c>
      <c r="Y189" s="403">
        <v>2</v>
      </c>
      <c r="Z189" s="431" t="s">
        <v>1711</v>
      </c>
      <c r="AA189" s="391"/>
      <c r="AB189" s="110"/>
      <c r="AC189" s="413">
        <v>0</v>
      </c>
      <c r="AD189" s="132">
        <v>0</v>
      </c>
      <c r="AE189" s="431">
        <v>0</v>
      </c>
      <c r="AF189" s="307"/>
    </row>
    <row r="190" spans="1:32" s="285" customFormat="1" ht="35.1" customHeight="1">
      <c r="A190" s="331" t="s">
        <v>2271</v>
      </c>
      <c r="B190" s="332">
        <v>7</v>
      </c>
      <c r="C190" s="331" t="s">
        <v>2272</v>
      </c>
      <c r="D190" s="340">
        <v>3</v>
      </c>
      <c r="E190" s="341" t="s">
        <v>1726</v>
      </c>
      <c r="F190" s="350">
        <v>44877</v>
      </c>
      <c r="G190" s="109" t="s">
        <v>1724</v>
      </c>
      <c r="H190" s="314" t="s">
        <v>1905</v>
      </c>
      <c r="I190" s="431">
        <v>15</v>
      </c>
      <c r="J190" s="390">
        <v>40</v>
      </c>
      <c r="K190" s="390">
        <v>40</v>
      </c>
      <c r="L190" s="389">
        <v>0</v>
      </c>
      <c r="M190" s="338" t="s">
        <v>1711</v>
      </c>
      <c r="N190" s="338">
        <v>0</v>
      </c>
      <c r="O190" s="338">
        <v>0</v>
      </c>
      <c r="P190" s="338">
        <v>0</v>
      </c>
      <c r="Q190" s="183" t="s">
        <v>1707</v>
      </c>
      <c r="R190" s="351" t="s">
        <v>1927</v>
      </c>
      <c r="S190" s="782"/>
      <c r="T190" s="397">
        <v>113.3</v>
      </c>
      <c r="U190" s="391">
        <v>0</v>
      </c>
      <c r="V190" s="129" t="s">
        <v>749</v>
      </c>
      <c r="W190" s="132" t="s">
        <v>749</v>
      </c>
      <c r="X190" s="427">
        <v>0</v>
      </c>
      <c r="Y190" s="403">
        <v>2</v>
      </c>
      <c r="Z190" s="431" t="s">
        <v>1711</v>
      </c>
      <c r="AA190" s="391"/>
      <c r="AB190" s="110"/>
      <c r="AC190" s="413">
        <v>1</v>
      </c>
      <c r="AD190" s="132">
        <v>0</v>
      </c>
      <c r="AE190" s="396">
        <v>4</v>
      </c>
      <c r="AF190" s="307"/>
    </row>
    <row r="191" spans="1:32" ht="35.1" customHeight="1">
      <c r="A191" s="331" t="s">
        <v>2271</v>
      </c>
      <c r="B191" s="332">
        <v>7</v>
      </c>
      <c r="C191" s="331" t="s">
        <v>2272</v>
      </c>
      <c r="D191" s="340">
        <v>4</v>
      </c>
      <c r="E191" s="341" t="s">
        <v>1727</v>
      </c>
      <c r="F191" s="350">
        <v>44878</v>
      </c>
      <c r="G191" s="109" t="s">
        <v>1724</v>
      </c>
      <c r="H191" s="314" t="s">
        <v>1905</v>
      </c>
      <c r="I191" s="431">
        <v>15</v>
      </c>
      <c r="J191" s="390">
        <v>40</v>
      </c>
      <c r="K191" s="390">
        <v>40</v>
      </c>
      <c r="L191" s="389">
        <v>0</v>
      </c>
      <c r="M191" s="338">
        <v>0</v>
      </c>
      <c r="N191" s="338">
        <v>0</v>
      </c>
      <c r="O191" s="338">
        <v>0</v>
      </c>
      <c r="P191" s="338">
        <v>0</v>
      </c>
      <c r="Q191" s="183" t="s">
        <v>1707</v>
      </c>
      <c r="R191" s="351" t="s">
        <v>1928</v>
      </c>
      <c r="S191" s="782"/>
      <c r="T191" s="397">
        <v>64.400000000000006</v>
      </c>
      <c r="U191" s="391">
        <v>0</v>
      </c>
      <c r="V191" s="129" t="s">
        <v>749</v>
      </c>
      <c r="W191" s="132" t="s">
        <v>749</v>
      </c>
      <c r="X191" s="427">
        <v>0</v>
      </c>
      <c r="Y191" s="403">
        <v>2</v>
      </c>
      <c r="Z191" s="431" t="s">
        <v>1711</v>
      </c>
      <c r="AA191" s="391"/>
      <c r="AB191" s="110"/>
      <c r="AC191" s="413">
        <v>1</v>
      </c>
      <c r="AD191" s="132">
        <v>0</v>
      </c>
      <c r="AE191" s="396">
        <v>3</v>
      </c>
      <c r="AF191" s="307"/>
    </row>
    <row r="192" spans="1:32" s="285" customFormat="1" ht="35.1" customHeight="1">
      <c r="A192" s="331" t="s">
        <v>2271</v>
      </c>
      <c r="B192" s="332">
        <v>7</v>
      </c>
      <c r="C192" s="331" t="s">
        <v>2272</v>
      </c>
      <c r="D192" s="340">
        <v>5</v>
      </c>
      <c r="E192" s="341" t="s">
        <v>1728</v>
      </c>
      <c r="F192" s="350">
        <v>44878</v>
      </c>
      <c r="G192" s="109" t="s">
        <v>1724</v>
      </c>
      <c r="H192" s="314" t="s">
        <v>1905</v>
      </c>
      <c r="I192" s="431">
        <v>15</v>
      </c>
      <c r="J192" s="390">
        <v>20</v>
      </c>
      <c r="K192" s="390">
        <v>30</v>
      </c>
      <c r="L192" s="389">
        <v>-10</v>
      </c>
      <c r="M192" s="338">
        <v>0</v>
      </c>
      <c r="N192" s="338">
        <v>0</v>
      </c>
      <c r="O192" s="338">
        <v>0</v>
      </c>
      <c r="P192" s="338">
        <v>0</v>
      </c>
      <c r="Q192" s="183" t="s">
        <v>1707</v>
      </c>
      <c r="R192" s="351" t="s">
        <v>1731</v>
      </c>
      <c r="S192" s="782"/>
      <c r="T192" s="397">
        <v>100</v>
      </c>
      <c r="U192" s="391">
        <v>0</v>
      </c>
      <c r="V192" s="129" t="s">
        <v>749</v>
      </c>
      <c r="W192" s="132" t="s">
        <v>749</v>
      </c>
      <c r="X192" s="427">
        <v>0</v>
      </c>
      <c r="Y192" s="403">
        <v>2</v>
      </c>
      <c r="Z192" s="431" t="s">
        <v>1711</v>
      </c>
      <c r="AA192" s="391"/>
      <c r="AB192" s="110"/>
      <c r="AC192" s="413">
        <v>3</v>
      </c>
      <c r="AD192" s="132">
        <v>0</v>
      </c>
      <c r="AE192" s="396">
        <v>4</v>
      </c>
      <c r="AF192" s="307"/>
    </row>
    <row r="193" spans="1:32" ht="35.1" customHeight="1">
      <c r="A193" s="331" t="s">
        <v>2271</v>
      </c>
      <c r="B193" s="332">
        <v>7</v>
      </c>
      <c r="C193" s="331" t="s">
        <v>2272</v>
      </c>
      <c r="D193" s="340">
        <v>6</v>
      </c>
      <c r="E193" s="341" t="s">
        <v>1729</v>
      </c>
      <c r="F193" s="350">
        <v>44877</v>
      </c>
      <c r="G193" s="109" t="s">
        <v>1724</v>
      </c>
      <c r="H193" s="314" t="s">
        <v>1905</v>
      </c>
      <c r="I193" s="431">
        <v>15</v>
      </c>
      <c r="J193" s="390">
        <v>50</v>
      </c>
      <c r="K193" s="390">
        <v>60</v>
      </c>
      <c r="L193" s="389">
        <v>-10</v>
      </c>
      <c r="M193" s="338">
        <v>0</v>
      </c>
      <c r="N193" s="338">
        <v>0</v>
      </c>
      <c r="O193" s="338">
        <v>0</v>
      </c>
      <c r="P193" s="338">
        <v>0</v>
      </c>
      <c r="Q193" s="183" t="s">
        <v>1707</v>
      </c>
      <c r="R193" s="351" t="s">
        <v>1929</v>
      </c>
      <c r="S193" s="782"/>
      <c r="T193" s="418">
        <v>111.1</v>
      </c>
      <c r="U193" s="391">
        <v>0</v>
      </c>
      <c r="V193" s="129" t="s">
        <v>749</v>
      </c>
      <c r="W193" s="132" t="s">
        <v>749</v>
      </c>
      <c r="X193" s="427">
        <v>0</v>
      </c>
      <c r="Y193" s="403">
        <v>1</v>
      </c>
      <c r="Z193" s="431" t="s">
        <v>1711</v>
      </c>
      <c r="AA193" s="391"/>
      <c r="AB193" s="110"/>
      <c r="AC193" s="413">
        <v>3</v>
      </c>
      <c r="AD193" s="132">
        <v>9</v>
      </c>
      <c r="AE193" s="396">
        <v>0</v>
      </c>
      <c r="AF193" s="307"/>
    </row>
    <row r="194" spans="1:32" s="285" customFormat="1" ht="35.1" customHeight="1">
      <c r="A194" s="331" t="s">
        <v>2271</v>
      </c>
      <c r="B194" s="332">
        <v>7</v>
      </c>
      <c r="C194" s="331" t="s">
        <v>2272</v>
      </c>
      <c r="D194" s="340">
        <v>7</v>
      </c>
      <c r="E194" s="341" t="s">
        <v>1730</v>
      </c>
      <c r="F194" s="350">
        <v>44869</v>
      </c>
      <c r="G194" s="109" t="s">
        <v>1724</v>
      </c>
      <c r="H194" s="314" t="s">
        <v>1905</v>
      </c>
      <c r="I194" s="431">
        <v>15</v>
      </c>
      <c r="J194" s="390">
        <v>30</v>
      </c>
      <c r="K194" s="390">
        <v>40</v>
      </c>
      <c r="L194" s="389">
        <v>-10</v>
      </c>
      <c r="M194" s="338" t="s">
        <v>1711</v>
      </c>
      <c r="N194" s="338">
        <v>0</v>
      </c>
      <c r="O194" s="338">
        <v>0</v>
      </c>
      <c r="P194" s="338">
        <v>0</v>
      </c>
      <c r="Q194" s="183" t="s">
        <v>1707</v>
      </c>
      <c r="R194" s="351" t="s">
        <v>1930</v>
      </c>
      <c r="S194" s="782"/>
      <c r="T194" s="397">
        <v>108</v>
      </c>
      <c r="U194" s="391">
        <v>0</v>
      </c>
      <c r="V194" s="129" t="s">
        <v>749</v>
      </c>
      <c r="W194" s="132" t="s">
        <v>749</v>
      </c>
      <c r="X194" s="427">
        <v>0</v>
      </c>
      <c r="Y194" s="403">
        <v>1</v>
      </c>
      <c r="Z194" s="431" t="s">
        <v>1711</v>
      </c>
      <c r="AA194" s="391"/>
      <c r="AB194" s="110"/>
      <c r="AC194" s="413">
        <v>0</v>
      </c>
      <c r="AD194" s="132">
        <v>0</v>
      </c>
      <c r="AE194" s="396">
        <v>3</v>
      </c>
      <c r="AF194" s="307"/>
    </row>
    <row r="195" spans="1:32" s="285" customFormat="1" ht="35.1" customHeight="1">
      <c r="A195" s="331" t="s">
        <v>2271</v>
      </c>
      <c r="B195" s="332">
        <v>7</v>
      </c>
      <c r="C195" s="331" t="s">
        <v>2272</v>
      </c>
      <c r="D195" s="340">
        <v>8</v>
      </c>
      <c r="E195" s="341" t="s">
        <v>1732</v>
      </c>
      <c r="F195" s="350">
        <v>44869</v>
      </c>
      <c r="G195" s="109" t="s">
        <v>1724</v>
      </c>
      <c r="H195" s="314" t="s">
        <v>1905</v>
      </c>
      <c r="I195" s="431">
        <v>15</v>
      </c>
      <c r="J195" s="390">
        <v>20</v>
      </c>
      <c r="K195" s="390">
        <v>20</v>
      </c>
      <c r="L195" s="389">
        <v>0</v>
      </c>
      <c r="M195" s="338">
        <v>0</v>
      </c>
      <c r="N195" s="338">
        <v>0</v>
      </c>
      <c r="O195" s="338">
        <v>0</v>
      </c>
      <c r="P195" s="338">
        <v>0</v>
      </c>
      <c r="Q195" s="183" t="s">
        <v>1707</v>
      </c>
      <c r="R195" s="351" t="s">
        <v>1926</v>
      </c>
      <c r="S195" s="782"/>
      <c r="T195" s="397">
        <v>111.1</v>
      </c>
      <c r="U195" s="391">
        <v>0</v>
      </c>
      <c r="V195" s="129" t="s">
        <v>749</v>
      </c>
      <c r="W195" s="132" t="s">
        <v>749</v>
      </c>
      <c r="X195" s="427">
        <v>0</v>
      </c>
      <c r="Y195" s="403">
        <v>2</v>
      </c>
      <c r="Z195" s="431" t="s">
        <v>1711</v>
      </c>
      <c r="AA195" s="391"/>
      <c r="AB195" s="110"/>
      <c r="AC195" s="413">
        <v>1</v>
      </c>
      <c r="AD195" s="132">
        <v>0</v>
      </c>
      <c r="AE195" s="396">
        <v>2</v>
      </c>
      <c r="AF195" s="441"/>
    </row>
    <row r="196" spans="1:32" s="285" customFormat="1" ht="35.1" customHeight="1">
      <c r="A196" s="331" t="s">
        <v>2271</v>
      </c>
      <c r="B196" s="332">
        <v>7</v>
      </c>
      <c r="C196" s="331" t="s">
        <v>2272</v>
      </c>
      <c r="D196" s="340">
        <v>9</v>
      </c>
      <c r="E196" s="341" t="s">
        <v>1733</v>
      </c>
      <c r="F196" s="350">
        <v>44877</v>
      </c>
      <c r="G196" s="109" t="s">
        <v>1724</v>
      </c>
      <c r="H196" s="314" t="s">
        <v>1905</v>
      </c>
      <c r="I196" s="431">
        <v>15</v>
      </c>
      <c r="J196" s="390">
        <v>20</v>
      </c>
      <c r="K196" s="390">
        <v>30</v>
      </c>
      <c r="L196" s="389">
        <v>-10</v>
      </c>
      <c r="M196" s="338">
        <v>0</v>
      </c>
      <c r="N196" s="338">
        <v>0</v>
      </c>
      <c r="O196" s="338">
        <v>0</v>
      </c>
      <c r="P196" s="338">
        <v>0</v>
      </c>
      <c r="Q196" s="183" t="s">
        <v>1707</v>
      </c>
      <c r="R196" s="351" t="s">
        <v>1931</v>
      </c>
      <c r="S196" s="782"/>
      <c r="T196" s="418">
        <v>41.3</v>
      </c>
      <c r="U196" s="391">
        <v>0</v>
      </c>
      <c r="V196" s="129" t="s">
        <v>749</v>
      </c>
      <c r="W196" s="132" t="s">
        <v>749</v>
      </c>
      <c r="X196" s="427">
        <v>0</v>
      </c>
      <c r="Y196" s="403">
        <v>1</v>
      </c>
      <c r="Z196" s="431" t="s">
        <v>1711</v>
      </c>
      <c r="AA196" s="391"/>
      <c r="AB196" s="110"/>
      <c r="AC196" s="413">
        <v>0</v>
      </c>
      <c r="AD196" s="132">
        <v>0</v>
      </c>
      <c r="AE196" s="396">
        <v>3</v>
      </c>
      <c r="AF196" s="307"/>
    </row>
    <row r="197" spans="1:32" s="285" customFormat="1" ht="35.1" customHeight="1">
      <c r="A197" s="331" t="s">
        <v>2271</v>
      </c>
      <c r="B197" s="332">
        <v>7</v>
      </c>
      <c r="C197" s="331" t="s">
        <v>2272</v>
      </c>
      <c r="D197" s="340">
        <v>10</v>
      </c>
      <c r="E197" s="341" t="s">
        <v>2273</v>
      </c>
      <c r="F197" s="350">
        <v>44877</v>
      </c>
      <c r="G197" s="109" t="s">
        <v>1724</v>
      </c>
      <c r="H197" s="314" t="s">
        <v>1905</v>
      </c>
      <c r="I197" s="431">
        <v>15</v>
      </c>
      <c r="J197" s="390">
        <v>30</v>
      </c>
      <c r="K197" s="390">
        <v>30</v>
      </c>
      <c r="L197" s="389">
        <v>0</v>
      </c>
      <c r="M197" s="338">
        <v>0</v>
      </c>
      <c r="N197" s="338">
        <v>0</v>
      </c>
      <c r="O197" s="338">
        <v>0</v>
      </c>
      <c r="P197" s="338">
        <v>0</v>
      </c>
      <c r="Q197" s="183" t="s">
        <v>1707</v>
      </c>
      <c r="R197" s="351" t="s">
        <v>1873</v>
      </c>
      <c r="S197" s="782"/>
      <c r="T197" s="418">
        <v>30</v>
      </c>
      <c r="U197" s="391">
        <v>0</v>
      </c>
      <c r="V197" s="129" t="s">
        <v>749</v>
      </c>
      <c r="W197" s="132" t="s">
        <v>749</v>
      </c>
      <c r="X197" s="427">
        <v>0</v>
      </c>
      <c r="Y197" s="403">
        <v>1</v>
      </c>
      <c r="Z197" s="110">
        <v>0</v>
      </c>
      <c r="AA197" s="391"/>
      <c r="AB197" s="110"/>
      <c r="AC197" s="413">
        <v>0</v>
      </c>
      <c r="AD197" s="132">
        <v>1</v>
      </c>
      <c r="AE197" s="396">
        <v>3</v>
      </c>
      <c r="AF197" s="307"/>
    </row>
    <row r="198" spans="1:32" s="285" customFormat="1" ht="35.1" customHeight="1">
      <c r="A198" s="331" t="s">
        <v>2271</v>
      </c>
      <c r="B198" s="332">
        <v>7</v>
      </c>
      <c r="C198" s="331" t="s">
        <v>2272</v>
      </c>
      <c r="D198" s="340">
        <v>11</v>
      </c>
      <c r="E198" s="341" t="s">
        <v>2274</v>
      </c>
      <c r="F198" s="350">
        <v>44876</v>
      </c>
      <c r="G198" s="109" t="s">
        <v>1724</v>
      </c>
      <c r="H198" s="314" t="s">
        <v>1905</v>
      </c>
      <c r="I198" s="431">
        <v>15</v>
      </c>
      <c r="J198" s="390">
        <v>30</v>
      </c>
      <c r="K198" s="390">
        <v>50</v>
      </c>
      <c r="L198" s="389">
        <v>-20</v>
      </c>
      <c r="M198" s="338">
        <v>0</v>
      </c>
      <c r="N198" s="338">
        <v>0</v>
      </c>
      <c r="O198" s="338">
        <v>0</v>
      </c>
      <c r="P198" s="338">
        <v>0</v>
      </c>
      <c r="Q198" s="183" t="s">
        <v>1707</v>
      </c>
      <c r="R198" s="351" t="s">
        <v>1930</v>
      </c>
      <c r="S198" s="782"/>
      <c r="T198" s="418">
        <v>108</v>
      </c>
      <c r="U198" s="391">
        <v>0</v>
      </c>
      <c r="V198" s="129" t="s">
        <v>749</v>
      </c>
      <c r="W198" s="132" t="s">
        <v>749</v>
      </c>
      <c r="X198" s="427">
        <v>0</v>
      </c>
      <c r="Y198" s="403">
        <v>2</v>
      </c>
      <c r="Z198" s="431" t="s">
        <v>1711</v>
      </c>
      <c r="AA198" s="391"/>
      <c r="AB198" s="110"/>
      <c r="AC198" s="413">
        <v>0</v>
      </c>
      <c r="AD198" s="132">
        <v>0</v>
      </c>
      <c r="AE198" s="396">
        <v>3</v>
      </c>
      <c r="AF198" s="307"/>
    </row>
    <row r="199" spans="1:32" s="285" customFormat="1" ht="35.1" customHeight="1" thickBot="1">
      <c r="A199" s="474" t="s">
        <v>2271</v>
      </c>
      <c r="B199" s="475">
        <v>7</v>
      </c>
      <c r="C199" s="474" t="s">
        <v>2272</v>
      </c>
      <c r="D199" s="467">
        <v>12</v>
      </c>
      <c r="E199" s="525" t="s">
        <v>2275</v>
      </c>
      <c r="F199" s="478">
        <v>44876</v>
      </c>
      <c r="G199" s="479" t="s">
        <v>1724</v>
      </c>
      <c r="H199" s="530" t="s">
        <v>1905</v>
      </c>
      <c r="I199" s="503">
        <v>15</v>
      </c>
      <c r="J199" s="497">
        <v>30</v>
      </c>
      <c r="K199" s="497">
        <v>50</v>
      </c>
      <c r="L199" s="389">
        <v>-20</v>
      </c>
      <c r="M199" s="482">
        <v>0</v>
      </c>
      <c r="N199" s="482">
        <v>0</v>
      </c>
      <c r="O199" s="482">
        <v>0</v>
      </c>
      <c r="P199" s="482">
        <v>0</v>
      </c>
      <c r="Q199" s="193" t="s">
        <v>1707</v>
      </c>
      <c r="R199" s="527" t="s">
        <v>1932</v>
      </c>
      <c r="S199" s="783"/>
      <c r="T199" s="480">
        <v>53.8</v>
      </c>
      <c r="U199" s="484">
        <v>0</v>
      </c>
      <c r="V199" s="594" t="s">
        <v>749</v>
      </c>
      <c r="W199" s="583" t="s">
        <v>749</v>
      </c>
      <c r="X199" s="485">
        <v>0</v>
      </c>
      <c r="Y199" s="488">
        <v>2</v>
      </c>
      <c r="Z199" s="503" t="s">
        <v>1711</v>
      </c>
      <c r="AA199" s="484"/>
      <c r="AB199" s="489"/>
      <c r="AC199" s="519">
        <v>0</v>
      </c>
      <c r="AD199" s="583">
        <v>0</v>
      </c>
      <c r="AE199" s="503">
        <v>4</v>
      </c>
      <c r="AF199" s="504"/>
    </row>
    <row r="200" spans="1:32" ht="27" customHeight="1" thickTop="1" thickBot="1">
      <c r="A200" s="672" t="s">
        <v>2276</v>
      </c>
      <c r="B200" s="673">
        <v>8</v>
      </c>
      <c r="C200" s="672" t="s">
        <v>2276</v>
      </c>
      <c r="D200" s="674">
        <v>1</v>
      </c>
      <c r="E200" s="675" t="s">
        <v>313</v>
      </c>
      <c r="F200" s="676">
        <v>44729</v>
      </c>
      <c r="G200" s="628" t="s">
        <v>2132</v>
      </c>
      <c r="H200" s="628" t="s">
        <v>1905</v>
      </c>
      <c r="I200" s="677">
        <v>15</v>
      </c>
      <c r="J200" s="678">
        <v>10</v>
      </c>
      <c r="K200" s="678">
        <v>30</v>
      </c>
      <c r="L200" s="678">
        <v>-20</v>
      </c>
      <c r="M200" s="679">
        <v>0</v>
      </c>
      <c r="N200" s="679">
        <v>0</v>
      </c>
      <c r="O200" s="679">
        <v>0</v>
      </c>
      <c r="P200" s="679">
        <v>0</v>
      </c>
      <c r="Q200" s="681" t="s">
        <v>2133</v>
      </c>
      <c r="R200" s="628" t="s">
        <v>1933</v>
      </c>
      <c r="S200" s="784"/>
      <c r="T200" s="677" t="s">
        <v>749</v>
      </c>
      <c r="U200" s="680">
        <v>0</v>
      </c>
      <c r="V200" s="681" t="s">
        <v>749</v>
      </c>
      <c r="W200" s="628" t="s">
        <v>749</v>
      </c>
      <c r="X200" s="677">
        <v>0</v>
      </c>
      <c r="Y200" s="680">
        <v>1</v>
      </c>
      <c r="Z200" s="677">
        <v>0</v>
      </c>
      <c r="AA200" s="678"/>
      <c r="AB200" s="677"/>
      <c r="AC200" s="680">
        <v>0</v>
      </c>
      <c r="AD200" s="628">
        <v>0</v>
      </c>
      <c r="AE200" s="677">
        <v>4</v>
      </c>
      <c r="AF200" s="682" t="s">
        <v>2277</v>
      </c>
    </row>
    <row r="201" spans="1:32" ht="27" customHeight="1" thickTop="1" thickBot="1">
      <c r="A201" s="382" t="s">
        <v>2276</v>
      </c>
      <c r="B201" s="383">
        <v>8</v>
      </c>
      <c r="C201" s="382" t="s">
        <v>2276</v>
      </c>
      <c r="D201" s="561">
        <v>2</v>
      </c>
      <c r="E201" s="470" t="s">
        <v>314</v>
      </c>
      <c r="F201" s="562">
        <v>44729</v>
      </c>
      <c r="G201" s="308" t="s">
        <v>2132</v>
      </c>
      <c r="H201" s="308" t="s">
        <v>1713</v>
      </c>
      <c r="I201" s="309">
        <v>15</v>
      </c>
      <c r="J201" s="462">
        <v>10</v>
      </c>
      <c r="K201" s="462">
        <v>10</v>
      </c>
      <c r="L201" s="678">
        <v>0</v>
      </c>
      <c r="M201" s="461">
        <v>0</v>
      </c>
      <c r="N201" s="461">
        <v>0</v>
      </c>
      <c r="O201" s="461">
        <v>0</v>
      </c>
      <c r="P201" s="461">
        <v>0</v>
      </c>
      <c r="Q201" s="459" t="s">
        <v>2133</v>
      </c>
      <c r="R201" s="308" t="s">
        <v>1913</v>
      </c>
      <c r="S201" s="785"/>
      <c r="T201" s="309" t="s">
        <v>749</v>
      </c>
      <c r="U201" s="494">
        <v>0</v>
      </c>
      <c r="V201" s="459" t="s">
        <v>749</v>
      </c>
      <c r="W201" s="308" t="s">
        <v>749</v>
      </c>
      <c r="X201" s="309">
        <v>0</v>
      </c>
      <c r="Y201" s="494">
        <v>2</v>
      </c>
      <c r="Z201" s="309">
        <v>0</v>
      </c>
      <c r="AA201" s="462"/>
      <c r="AB201" s="309"/>
      <c r="AC201" s="494">
        <v>0</v>
      </c>
      <c r="AD201" s="308">
        <v>0</v>
      </c>
      <c r="AE201" s="309">
        <v>2</v>
      </c>
      <c r="AF201" s="465" t="s">
        <v>2278</v>
      </c>
    </row>
    <row r="202" spans="1:32" ht="27" customHeight="1" thickTop="1" thickBot="1">
      <c r="A202" s="382" t="s">
        <v>2276</v>
      </c>
      <c r="B202" s="383">
        <v>8</v>
      </c>
      <c r="C202" s="382" t="s">
        <v>2276</v>
      </c>
      <c r="D202" s="561">
        <v>3</v>
      </c>
      <c r="E202" s="470" t="s">
        <v>315</v>
      </c>
      <c r="F202" s="562">
        <v>44730</v>
      </c>
      <c r="G202" s="308" t="s">
        <v>2132</v>
      </c>
      <c r="H202" s="308" t="s">
        <v>1905</v>
      </c>
      <c r="I202" s="309">
        <v>15</v>
      </c>
      <c r="J202" s="462">
        <v>20</v>
      </c>
      <c r="K202" s="462">
        <v>20</v>
      </c>
      <c r="L202" s="678">
        <v>0</v>
      </c>
      <c r="M202" s="461">
        <v>0</v>
      </c>
      <c r="N202" s="461">
        <v>0</v>
      </c>
      <c r="O202" s="461">
        <v>0</v>
      </c>
      <c r="P202" s="461">
        <v>0</v>
      </c>
      <c r="Q202" s="459" t="s">
        <v>2133</v>
      </c>
      <c r="R202" s="308" t="s">
        <v>1934</v>
      </c>
      <c r="S202" s="785"/>
      <c r="T202" s="309">
        <v>20</v>
      </c>
      <c r="U202" s="494">
        <v>0</v>
      </c>
      <c r="V202" s="459" t="s">
        <v>749</v>
      </c>
      <c r="W202" s="308" t="s">
        <v>749</v>
      </c>
      <c r="X202" s="309">
        <v>0</v>
      </c>
      <c r="Y202" s="494">
        <v>1</v>
      </c>
      <c r="Z202" s="309">
        <v>0</v>
      </c>
      <c r="AA202" s="462"/>
      <c r="AB202" s="309"/>
      <c r="AC202" s="494">
        <v>0</v>
      </c>
      <c r="AD202" s="308">
        <v>0</v>
      </c>
      <c r="AE202" s="309">
        <v>6</v>
      </c>
      <c r="AF202" s="465" t="s">
        <v>2277</v>
      </c>
    </row>
    <row r="203" spans="1:32" ht="27" customHeight="1" thickTop="1" thickBot="1">
      <c r="A203" s="382" t="s">
        <v>2276</v>
      </c>
      <c r="B203" s="383">
        <v>8</v>
      </c>
      <c r="C203" s="382" t="s">
        <v>2276</v>
      </c>
      <c r="D203" s="561">
        <v>4</v>
      </c>
      <c r="E203" s="470" t="s">
        <v>316</v>
      </c>
      <c r="F203" s="562">
        <v>44732</v>
      </c>
      <c r="G203" s="308" t="s">
        <v>2132</v>
      </c>
      <c r="H203" s="308" t="s">
        <v>1905</v>
      </c>
      <c r="I203" s="309">
        <v>15</v>
      </c>
      <c r="J203" s="462" t="s">
        <v>2042</v>
      </c>
      <c r="K203" s="462">
        <v>30</v>
      </c>
      <c r="L203" s="678" t="e">
        <v>#VALUE!</v>
      </c>
      <c r="M203" s="461">
        <v>0</v>
      </c>
      <c r="N203" s="461">
        <v>0</v>
      </c>
      <c r="O203" s="461">
        <v>0</v>
      </c>
      <c r="P203" s="461">
        <v>0</v>
      </c>
      <c r="Q203" s="459" t="s">
        <v>1935</v>
      </c>
      <c r="R203" s="308" t="s">
        <v>1936</v>
      </c>
      <c r="S203" s="785"/>
      <c r="T203" s="309" t="s">
        <v>749</v>
      </c>
      <c r="U203" s="494">
        <v>0</v>
      </c>
      <c r="V203" s="459" t="s">
        <v>749</v>
      </c>
      <c r="W203" s="308" t="s">
        <v>749</v>
      </c>
      <c r="X203" s="309">
        <v>0</v>
      </c>
      <c r="Y203" s="494">
        <v>1</v>
      </c>
      <c r="Z203" s="309">
        <v>0</v>
      </c>
      <c r="AA203" s="462"/>
      <c r="AB203" s="309"/>
      <c r="AC203" s="494">
        <v>0</v>
      </c>
      <c r="AD203" s="308">
        <v>0</v>
      </c>
      <c r="AE203" s="309">
        <v>3</v>
      </c>
      <c r="AF203" s="465" t="s">
        <v>2277</v>
      </c>
    </row>
    <row r="204" spans="1:32" ht="27" customHeight="1" thickTop="1" thickBot="1">
      <c r="A204" s="382" t="s">
        <v>2276</v>
      </c>
      <c r="B204" s="383">
        <v>8</v>
      </c>
      <c r="C204" s="382" t="s">
        <v>2276</v>
      </c>
      <c r="D204" s="561">
        <v>5</v>
      </c>
      <c r="E204" s="470" t="s">
        <v>317</v>
      </c>
      <c r="F204" s="562">
        <v>44730</v>
      </c>
      <c r="G204" s="308" t="s">
        <v>2151</v>
      </c>
      <c r="H204" s="308" t="s">
        <v>1905</v>
      </c>
      <c r="I204" s="309">
        <v>15</v>
      </c>
      <c r="J204" s="462" t="s">
        <v>1711</v>
      </c>
      <c r="K204" s="462">
        <v>10</v>
      </c>
      <c r="L204" s="678" t="e">
        <v>#VALUE!</v>
      </c>
      <c r="M204" s="461">
        <v>0</v>
      </c>
      <c r="N204" s="461">
        <v>0</v>
      </c>
      <c r="O204" s="461">
        <v>0</v>
      </c>
      <c r="P204" s="461">
        <v>0</v>
      </c>
      <c r="Q204" s="459" t="s">
        <v>1935</v>
      </c>
      <c r="R204" s="308" t="s">
        <v>1919</v>
      </c>
      <c r="S204" s="785"/>
      <c r="T204" s="309" t="s">
        <v>749</v>
      </c>
      <c r="U204" s="494">
        <v>0</v>
      </c>
      <c r="V204" s="459" t="s">
        <v>749</v>
      </c>
      <c r="W204" s="308" t="s">
        <v>749</v>
      </c>
      <c r="X204" s="309">
        <v>0</v>
      </c>
      <c r="Y204" s="494">
        <v>1</v>
      </c>
      <c r="Z204" s="309">
        <v>0</v>
      </c>
      <c r="AA204" s="462"/>
      <c r="AB204" s="309"/>
      <c r="AC204" s="494">
        <v>0</v>
      </c>
      <c r="AD204" s="308">
        <v>0</v>
      </c>
      <c r="AE204" s="309">
        <v>6</v>
      </c>
      <c r="AF204" s="465" t="s">
        <v>2278</v>
      </c>
    </row>
    <row r="205" spans="1:32" ht="27" customHeight="1" thickTop="1" thickBot="1">
      <c r="A205" s="382" t="s">
        <v>2276</v>
      </c>
      <c r="B205" s="383">
        <v>8</v>
      </c>
      <c r="C205" s="382" t="s">
        <v>2276</v>
      </c>
      <c r="D205" s="561">
        <v>6</v>
      </c>
      <c r="E205" s="470" t="s">
        <v>318</v>
      </c>
      <c r="F205" s="562">
        <v>44730</v>
      </c>
      <c r="G205" s="308" t="s">
        <v>2151</v>
      </c>
      <c r="H205" s="308" t="s">
        <v>1905</v>
      </c>
      <c r="I205" s="309">
        <v>15</v>
      </c>
      <c r="J205" s="462" t="s">
        <v>1711</v>
      </c>
      <c r="K205" s="462">
        <v>10</v>
      </c>
      <c r="L205" s="678" t="e">
        <v>#VALUE!</v>
      </c>
      <c r="M205" s="461">
        <v>0</v>
      </c>
      <c r="N205" s="461">
        <v>0</v>
      </c>
      <c r="O205" s="461">
        <v>0</v>
      </c>
      <c r="P205" s="461">
        <v>0</v>
      </c>
      <c r="Q205" s="459" t="s">
        <v>1935</v>
      </c>
      <c r="R205" s="308" t="s">
        <v>1913</v>
      </c>
      <c r="S205" s="785"/>
      <c r="T205" s="309" t="s">
        <v>749</v>
      </c>
      <c r="U205" s="494">
        <v>0</v>
      </c>
      <c r="V205" s="459" t="s">
        <v>749</v>
      </c>
      <c r="W205" s="308" t="s">
        <v>749</v>
      </c>
      <c r="X205" s="309">
        <v>0</v>
      </c>
      <c r="Y205" s="494">
        <v>1</v>
      </c>
      <c r="Z205" s="309">
        <v>0</v>
      </c>
      <c r="AA205" s="462"/>
      <c r="AB205" s="309"/>
      <c r="AC205" s="494">
        <v>0</v>
      </c>
      <c r="AD205" s="308">
        <v>0</v>
      </c>
      <c r="AE205" s="309">
        <v>6</v>
      </c>
      <c r="AF205" s="465" t="s">
        <v>2278</v>
      </c>
    </row>
    <row r="206" spans="1:32" ht="27" customHeight="1" thickTop="1" thickBot="1">
      <c r="A206" s="382" t="s">
        <v>2276</v>
      </c>
      <c r="B206" s="383">
        <v>8</v>
      </c>
      <c r="C206" s="382" t="s">
        <v>2276</v>
      </c>
      <c r="D206" s="561">
        <v>7</v>
      </c>
      <c r="E206" s="470" t="s">
        <v>319</v>
      </c>
      <c r="F206" s="562">
        <v>44732</v>
      </c>
      <c r="G206" s="308" t="s">
        <v>2132</v>
      </c>
      <c r="H206" s="308" t="s">
        <v>1713</v>
      </c>
      <c r="I206" s="309">
        <v>15</v>
      </c>
      <c r="J206" s="462">
        <v>10</v>
      </c>
      <c r="K206" s="462">
        <v>20</v>
      </c>
      <c r="L206" s="678">
        <v>-10</v>
      </c>
      <c r="M206" s="461">
        <v>0</v>
      </c>
      <c r="N206" s="461">
        <v>0</v>
      </c>
      <c r="O206" s="461">
        <v>0</v>
      </c>
      <c r="P206" s="461">
        <v>0</v>
      </c>
      <c r="Q206" s="459" t="s">
        <v>2133</v>
      </c>
      <c r="R206" s="308" t="s">
        <v>1916</v>
      </c>
      <c r="S206" s="785"/>
      <c r="T206" s="309" t="s">
        <v>749</v>
      </c>
      <c r="U206" s="494">
        <v>0</v>
      </c>
      <c r="V206" s="459" t="s">
        <v>749</v>
      </c>
      <c r="W206" s="308" t="s">
        <v>749</v>
      </c>
      <c r="X206" s="309">
        <v>0</v>
      </c>
      <c r="Y206" s="494">
        <v>1</v>
      </c>
      <c r="Z206" s="309">
        <v>0</v>
      </c>
      <c r="AA206" s="462"/>
      <c r="AB206" s="309"/>
      <c r="AC206" s="494">
        <v>0</v>
      </c>
      <c r="AD206" s="308">
        <v>0</v>
      </c>
      <c r="AE206" s="309">
        <v>5</v>
      </c>
      <c r="AF206" s="465" t="s">
        <v>2277</v>
      </c>
    </row>
    <row r="207" spans="1:32" ht="27" customHeight="1" thickTop="1" thickBot="1">
      <c r="A207" s="382" t="s">
        <v>2276</v>
      </c>
      <c r="B207" s="383">
        <v>8</v>
      </c>
      <c r="C207" s="382" t="s">
        <v>2276</v>
      </c>
      <c r="D207" s="561">
        <v>8</v>
      </c>
      <c r="E207" s="470" t="s">
        <v>320</v>
      </c>
      <c r="F207" s="562">
        <v>44730</v>
      </c>
      <c r="G207" s="308" t="s">
        <v>2132</v>
      </c>
      <c r="H207" s="308" t="s">
        <v>1905</v>
      </c>
      <c r="I207" s="309">
        <v>15</v>
      </c>
      <c r="J207" s="462" t="s">
        <v>2042</v>
      </c>
      <c r="K207" s="462"/>
      <c r="L207" s="678"/>
      <c r="M207" s="461">
        <v>0</v>
      </c>
      <c r="N207" s="461">
        <v>0</v>
      </c>
      <c r="O207" s="461">
        <v>0</v>
      </c>
      <c r="P207" s="461">
        <v>0</v>
      </c>
      <c r="Q207" s="459" t="s">
        <v>1937</v>
      </c>
      <c r="R207" s="308" t="s">
        <v>1920</v>
      </c>
      <c r="S207" s="785"/>
      <c r="T207" s="309" t="s">
        <v>749</v>
      </c>
      <c r="U207" s="494">
        <v>0</v>
      </c>
      <c r="V207" s="459" t="s">
        <v>749</v>
      </c>
      <c r="W207" s="308" t="s">
        <v>749</v>
      </c>
      <c r="X207" s="309">
        <v>0</v>
      </c>
      <c r="Y207" s="494">
        <v>1</v>
      </c>
      <c r="Z207" s="309">
        <v>0</v>
      </c>
      <c r="AA207" s="462"/>
      <c r="AB207" s="309"/>
      <c r="AC207" s="494">
        <v>0</v>
      </c>
      <c r="AD207" s="308">
        <v>0</v>
      </c>
      <c r="AE207" s="309">
        <v>0</v>
      </c>
      <c r="AF207" s="465" t="s">
        <v>2278</v>
      </c>
    </row>
    <row r="208" spans="1:32" ht="27" customHeight="1" thickTop="1" thickBot="1">
      <c r="A208" s="382" t="s">
        <v>2276</v>
      </c>
      <c r="B208" s="383">
        <v>8</v>
      </c>
      <c r="C208" s="382" t="s">
        <v>2276</v>
      </c>
      <c r="D208" s="561">
        <v>9</v>
      </c>
      <c r="E208" s="470" t="s">
        <v>321</v>
      </c>
      <c r="F208" s="562"/>
      <c r="G208" s="308"/>
      <c r="H208" s="308"/>
      <c r="I208" s="309"/>
      <c r="J208" s="462" t="s">
        <v>720</v>
      </c>
      <c r="K208" s="462">
        <v>30</v>
      </c>
      <c r="L208" s="678"/>
      <c r="M208" s="461"/>
      <c r="N208" s="461"/>
      <c r="O208" s="461"/>
      <c r="P208" s="461"/>
      <c r="Q208" s="459"/>
      <c r="R208" s="308"/>
      <c r="S208" s="785"/>
      <c r="T208" s="309"/>
      <c r="U208" s="494"/>
      <c r="V208" s="459"/>
      <c r="W208" s="308"/>
      <c r="X208" s="309"/>
      <c r="Y208" s="494"/>
      <c r="Z208" s="309"/>
      <c r="AA208" s="462"/>
      <c r="AB208" s="309"/>
      <c r="AC208" s="494"/>
      <c r="AD208" s="308"/>
      <c r="AE208" s="309"/>
      <c r="AF208" s="465"/>
    </row>
    <row r="209" spans="1:32" ht="27" customHeight="1" thickTop="1" thickBot="1">
      <c r="A209" s="382" t="s">
        <v>2276</v>
      </c>
      <c r="B209" s="383">
        <v>8</v>
      </c>
      <c r="C209" s="382" t="s">
        <v>2276</v>
      </c>
      <c r="D209" s="561">
        <v>10</v>
      </c>
      <c r="E209" s="470" t="s">
        <v>322</v>
      </c>
      <c r="F209" s="562">
        <v>44729</v>
      </c>
      <c r="G209" s="308" t="s">
        <v>2132</v>
      </c>
      <c r="H209" s="308" t="s">
        <v>1713</v>
      </c>
      <c r="I209" s="309">
        <v>15</v>
      </c>
      <c r="J209" s="462">
        <v>20</v>
      </c>
      <c r="K209" s="462"/>
      <c r="L209" s="678"/>
      <c r="M209" s="461">
        <v>10</v>
      </c>
      <c r="N209" s="461">
        <v>0</v>
      </c>
      <c r="O209" s="461">
        <v>0</v>
      </c>
      <c r="P209" s="461">
        <v>0</v>
      </c>
      <c r="Q209" s="459" t="s">
        <v>2133</v>
      </c>
      <c r="R209" s="308" t="s">
        <v>1913</v>
      </c>
      <c r="S209" s="785"/>
      <c r="T209" s="309" t="s">
        <v>749</v>
      </c>
      <c r="U209" s="494">
        <v>0</v>
      </c>
      <c r="V209" s="459" t="s">
        <v>749</v>
      </c>
      <c r="W209" s="308" t="s">
        <v>749</v>
      </c>
      <c r="X209" s="309">
        <v>0</v>
      </c>
      <c r="Y209" s="494">
        <v>1</v>
      </c>
      <c r="Z209" s="309">
        <v>0</v>
      </c>
      <c r="AA209" s="462"/>
      <c r="AB209" s="309"/>
      <c r="AC209" s="494">
        <v>0</v>
      </c>
      <c r="AD209" s="308">
        <v>0</v>
      </c>
      <c r="AE209" s="309">
        <v>3</v>
      </c>
      <c r="AF209" s="465" t="s">
        <v>2278</v>
      </c>
    </row>
    <row r="210" spans="1:32" ht="27" customHeight="1" thickTop="1" thickBot="1">
      <c r="A210" s="382" t="s">
        <v>2276</v>
      </c>
      <c r="B210" s="383">
        <v>8</v>
      </c>
      <c r="C210" s="382" t="s">
        <v>2276</v>
      </c>
      <c r="D210" s="561">
        <v>11</v>
      </c>
      <c r="E210" s="470" t="s">
        <v>323</v>
      </c>
      <c r="F210" s="562">
        <v>44731</v>
      </c>
      <c r="G210" s="308" t="s">
        <v>2132</v>
      </c>
      <c r="H210" s="308" t="s">
        <v>1905</v>
      </c>
      <c r="I210" s="309">
        <v>15</v>
      </c>
      <c r="J210" s="462" t="s">
        <v>1711</v>
      </c>
      <c r="K210" s="462">
        <v>10</v>
      </c>
      <c r="L210" s="678" t="e">
        <v>#VALUE!</v>
      </c>
      <c r="M210" s="461">
        <v>0</v>
      </c>
      <c r="N210" s="461">
        <v>0</v>
      </c>
      <c r="O210" s="461">
        <v>1</v>
      </c>
      <c r="P210" s="461">
        <v>0</v>
      </c>
      <c r="Q210" s="459" t="s">
        <v>1935</v>
      </c>
      <c r="R210" s="308" t="s">
        <v>1938</v>
      </c>
      <c r="S210" s="785"/>
      <c r="T210" s="309">
        <v>22.5</v>
      </c>
      <c r="U210" s="494">
        <v>0</v>
      </c>
      <c r="V210" s="459" t="s">
        <v>749</v>
      </c>
      <c r="W210" s="308" t="s">
        <v>749</v>
      </c>
      <c r="X210" s="309">
        <v>0</v>
      </c>
      <c r="Y210" s="494">
        <v>1</v>
      </c>
      <c r="Z210" s="309">
        <v>0</v>
      </c>
      <c r="AA210" s="462"/>
      <c r="AB210" s="309"/>
      <c r="AC210" s="494">
        <v>0</v>
      </c>
      <c r="AD210" s="308">
        <v>0</v>
      </c>
      <c r="AE210" s="309">
        <v>2</v>
      </c>
      <c r="AF210" s="465" t="s">
        <v>2277</v>
      </c>
    </row>
    <row r="211" spans="1:32" ht="27" customHeight="1" thickTop="1" thickBot="1">
      <c r="A211" s="382" t="s">
        <v>2276</v>
      </c>
      <c r="B211" s="383">
        <v>8</v>
      </c>
      <c r="C211" s="382" t="s">
        <v>2276</v>
      </c>
      <c r="D211" s="561">
        <v>12</v>
      </c>
      <c r="E211" s="470" t="s">
        <v>324</v>
      </c>
      <c r="F211" s="562">
        <v>44731</v>
      </c>
      <c r="G211" s="308" t="s">
        <v>2132</v>
      </c>
      <c r="H211" s="308" t="s">
        <v>1905</v>
      </c>
      <c r="I211" s="309">
        <v>15</v>
      </c>
      <c r="J211" s="462" t="s">
        <v>1711</v>
      </c>
      <c r="K211" s="462">
        <v>20</v>
      </c>
      <c r="L211" s="678" t="e">
        <v>#VALUE!</v>
      </c>
      <c r="M211" s="461">
        <v>0</v>
      </c>
      <c r="N211" s="461">
        <v>0</v>
      </c>
      <c r="O211" s="461">
        <v>0</v>
      </c>
      <c r="P211" s="461">
        <v>0</v>
      </c>
      <c r="Q211" s="459" t="s">
        <v>2133</v>
      </c>
      <c r="R211" s="308" t="s">
        <v>1939</v>
      </c>
      <c r="S211" s="785"/>
      <c r="T211" s="309">
        <v>20</v>
      </c>
      <c r="U211" s="494">
        <v>0</v>
      </c>
      <c r="V211" s="459" t="s">
        <v>749</v>
      </c>
      <c r="W211" s="308" t="s">
        <v>749</v>
      </c>
      <c r="X211" s="309">
        <v>0</v>
      </c>
      <c r="Y211" s="494">
        <v>1</v>
      </c>
      <c r="Z211" s="309">
        <v>0</v>
      </c>
      <c r="AA211" s="462"/>
      <c r="AB211" s="309"/>
      <c r="AC211" s="494">
        <v>0</v>
      </c>
      <c r="AD211" s="308">
        <v>0</v>
      </c>
      <c r="AE211" s="309">
        <v>11</v>
      </c>
      <c r="AF211" s="465" t="s">
        <v>2277</v>
      </c>
    </row>
    <row r="212" spans="1:32" ht="27" customHeight="1" thickTop="1" thickBot="1">
      <c r="A212" s="382" t="s">
        <v>2276</v>
      </c>
      <c r="B212" s="383">
        <v>8</v>
      </c>
      <c r="C212" s="382" t="s">
        <v>2276</v>
      </c>
      <c r="D212" s="561">
        <v>13</v>
      </c>
      <c r="E212" s="470" t="s">
        <v>325</v>
      </c>
      <c r="F212" s="562">
        <v>44731</v>
      </c>
      <c r="G212" s="308" t="s">
        <v>2132</v>
      </c>
      <c r="H212" s="308" t="s">
        <v>1905</v>
      </c>
      <c r="I212" s="309">
        <v>15</v>
      </c>
      <c r="J212" s="462" t="s">
        <v>1711</v>
      </c>
      <c r="K212" s="462">
        <v>10</v>
      </c>
      <c r="L212" s="678" t="e">
        <v>#VALUE!</v>
      </c>
      <c r="M212" s="461">
        <v>0</v>
      </c>
      <c r="N212" s="461">
        <v>0</v>
      </c>
      <c r="O212" s="461">
        <v>0</v>
      </c>
      <c r="P212" s="461">
        <v>0</v>
      </c>
      <c r="Q212" s="459" t="s">
        <v>1935</v>
      </c>
      <c r="R212" s="308" t="s">
        <v>1940</v>
      </c>
      <c r="S212" s="785"/>
      <c r="T212" s="309" t="s">
        <v>749</v>
      </c>
      <c r="U212" s="494">
        <v>0</v>
      </c>
      <c r="V212" s="459" t="s">
        <v>749</v>
      </c>
      <c r="W212" s="308" t="s">
        <v>749</v>
      </c>
      <c r="X212" s="309">
        <v>0</v>
      </c>
      <c r="Y212" s="494">
        <v>1</v>
      </c>
      <c r="Z212" s="309">
        <v>0</v>
      </c>
      <c r="AA212" s="462"/>
      <c r="AB212" s="309"/>
      <c r="AC212" s="494">
        <v>0</v>
      </c>
      <c r="AD212" s="308">
        <v>0</v>
      </c>
      <c r="AE212" s="309">
        <v>6</v>
      </c>
      <c r="AF212" s="465" t="s">
        <v>2277</v>
      </c>
    </row>
    <row r="213" spans="1:32" ht="27" customHeight="1" thickTop="1" thickBot="1">
      <c r="A213" s="382" t="s">
        <v>2276</v>
      </c>
      <c r="B213" s="383">
        <v>8</v>
      </c>
      <c r="C213" s="382" t="s">
        <v>2276</v>
      </c>
      <c r="D213" s="561">
        <v>14</v>
      </c>
      <c r="E213" s="470" t="s">
        <v>326</v>
      </c>
      <c r="F213" s="562">
        <v>44731</v>
      </c>
      <c r="G213" s="308" t="s">
        <v>2132</v>
      </c>
      <c r="H213" s="308" t="s">
        <v>1905</v>
      </c>
      <c r="I213" s="309">
        <v>15</v>
      </c>
      <c r="J213" s="462" t="s">
        <v>1711</v>
      </c>
      <c r="K213" s="462">
        <v>10</v>
      </c>
      <c r="L213" s="678" t="e">
        <v>#VALUE!</v>
      </c>
      <c r="M213" s="461">
        <v>0</v>
      </c>
      <c r="N213" s="461">
        <v>0</v>
      </c>
      <c r="O213" s="461">
        <v>0</v>
      </c>
      <c r="P213" s="461">
        <v>0</v>
      </c>
      <c r="Q213" s="459" t="s">
        <v>1935</v>
      </c>
      <c r="R213" s="308" t="s">
        <v>1926</v>
      </c>
      <c r="S213" s="785"/>
      <c r="T213" s="309" t="s">
        <v>749</v>
      </c>
      <c r="U213" s="494">
        <v>0</v>
      </c>
      <c r="V213" s="459" t="s">
        <v>749</v>
      </c>
      <c r="W213" s="308" t="s">
        <v>749</v>
      </c>
      <c r="X213" s="309">
        <v>0</v>
      </c>
      <c r="Y213" s="494">
        <v>1</v>
      </c>
      <c r="Z213" s="309">
        <v>0</v>
      </c>
      <c r="AA213" s="462"/>
      <c r="AB213" s="309"/>
      <c r="AC213" s="494">
        <v>0</v>
      </c>
      <c r="AD213" s="308">
        <v>0</v>
      </c>
      <c r="AE213" s="309">
        <v>2</v>
      </c>
      <c r="AF213" s="465" t="s">
        <v>2277</v>
      </c>
    </row>
    <row r="214" spans="1:32" ht="27" customHeight="1" thickTop="1" thickBot="1">
      <c r="A214" s="382" t="s">
        <v>2276</v>
      </c>
      <c r="B214" s="383">
        <v>8</v>
      </c>
      <c r="C214" s="382" t="s">
        <v>2276</v>
      </c>
      <c r="D214" s="561">
        <v>15</v>
      </c>
      <c r="E214" s="470" t="s">
        <v>327</v>
      </c>
      <c r="F214" s="562">
        <v>44731</v>
      </c>
      <c r="G214" s="308" t="s">
        <v>2132</v>
      </c>
      <c r="H214" s="308" t="s">
        <v>1905</v>
      </c>
      <c r="I214" s="309">
        <v>15</v>
      </c>
      <c r="J214" s="462" t="s">
        <v>1711</v>
      </c>
      <c r="K214" s="462">
        <v>20</v>
      </c>
      <c r="L214" s="678" t="e">
        <v>#VALUE!</v>
      </c>
      <c r="M214" s="461">
        <v>0</v>
      </c>
      <c r="N214" s="461">
        <v>0</v>
      </c>
      <c r="O214" s="461">
        <v>0</v>
      </c>
      <c r="P214" s="461">
        <v>0</v>
      </c>
      <c r="Q214" s="459" t="s">
        <v>1935</v>
      </c>
      <c r="R214" s="308" t="s">
        <v>1921</v>
      </c>
      <c r="S214" s="785"/>
      <c r="T214" s="309" t="s">
        <v>749</v>
      </c>
      <c r="U214" s="494">
        <v>0</v>
      </c>
      <c r="V214" s="459" t="s">
        <v>749</v>
      </c>
      <c r="W214" s="308" t="s">
        <v>749</v>
      </c>
      <c r="X214" s="309">
        <v>0</v>
      </c>
      <c r="Y214" s="494">
        <v>1</v>
      </c>
      <c r="Z214" s="309">
        <v>0</v>
      </c>
      <c r="AA214" s="462"/>
      <c r="AB214" s="309"/>
      <c r="AC214" s="494">
        <v>0</v>
      </c>
      <c r="AD214" s="308">
        <v>0</v>
      </c>
      <c r="AE214" s="309">
        <v>15</v>
      </c>
      <c r="AF214" s="465" t="s">
        <v>2277</v>
      </c>
    </row>
    <row r="215" spans="1:32" ht="27" customHeight="1" thickTop="1" thickBot="1">
      <c r="A215" s="382" t="s">
        <v>2276</v>
      </c>
      <c r="B215" s="383">
        <v>8</v>
      </c>
      <c r="C215" s="382" t="s">
        <v>2276</v>
      </c>
      <c r="D215" s="561">
        <v>16</v>
      </c>
      <c r="E215" s="470" t="s">
        <v>2279</v>
      </c>
      <c r="F215" s="562"/>
      <c r="G215" s="308"/>
      <c r="H215" s="308"/>
      <c r="I215" s="309"/>
      <c r="J215" s="462" t="s">
        <v>720</v>
      </c>
      <c r="K215" s="462"/>
      <c r="L215" s="678"/>
      <c r="M215" s="461"/>
      <c r="N215" s="461"/>
      <c r="O215" s="461"/>
      <c r="P215" s="461"/>
      <c r="Q215" s="459"/>
      <c r="R215" s="308"/>
      <c r="S215" s="785"/>
      <c r="T215" s="309"/>
      <c r="U215" s="494"/>
      <c r="V215" s="459"/>
      <c r="W215" s="308"/>
      <c r="X215" s="309"/>
      <c r="Y215" s="494"/>
      <c r="Z215" s="309"/>
      <c r="AA215" s="462"/>
      <c r="AB215" s="309"/>
      <c r="AC215" s="494"/>
      <c r="AD215" s="308"/>
      <c r="AE215" s="309"/>
      <c r="AF215" s="465"/>
    </row>
    <row r="216" spans="1:32" ht="27" customHeight="1" thickTop="1" thickBot="1">
      <c r="A216" s="331" t="s">
        <v>2276</v>
      </c>
      <c r="B216" s="332">
        <v>8</v>
      </c>
      <c r="C216" s="331" t="s">
        <v>2276</v>
      </c>
      <c r="D216" s="354">
        <v>17</v>
      </c>
      <c r="E216" s="341" t="s">
        <v>2280</v>
      </c>
      <c r="F216" s="355">
        <v>44730</v>
      </c>
      <c r="G216" s="109" t="s">
        <v>2132</v>
      </c>
      <c r="H216" s="109" t="s">
        <v>1905</v>
      </c>
      <c r="I216" s="110">
        <v>15</v>
      </c>
      <c r="J216" s="391">
        <v>20</v>
      </c>
      <c r="K216" s="391"/>
      <c r="L216" s="678"/>
      <c r="M216" s="338">
        <v>50</v>
      </c>
      <c r="N216" s="338">
        <v>50</v>
      </c>
      <c r="O216" s="338">
        <v>1</v>
      </c>
      <c r="P216" s="338">
        <v>1</v>
      </c>
      <c r="Q216" s="364" t="s">
        <v>2133</v>
      </c>
      <c r="R216" s="109" t="s">
        <v>1933</v>
      </c>
      <c r="S216" s="777"/>
      <c r="T216" s="396">
        <v>17.5</v>
      </c>
      <c r="U216" s="403">
        <v>0</v>
      </c>
      <c r="V216" s="364" t="s">
        <v>749</v>
      </c>
      <c r="W216" s="109" t="s">
        <v>749</v>
      </c>
      <c r="X216" s="110">
        <v>0</v>
      </c>
      <c r="Y216" s="403">
        <v>2</v>
      </c>
      <c r="Z216" s="110">
        <v>0</v>
      </c>
      <c r="AA216" s="391"/>
      <c r="AB216" s="110"/>
      <c r="AC216" s="403">
        <v>0</v>
      </c>
      <c r="AD216" s="109">
        <v>0</v>
      </c>
      <c r="AE216" s="110">
        <v>0</v>
      </c>
      <c r="AF216" s="307" t="s">
        <v>2278</v>
      </c>
    </row>
    <row r="217" spans="1:32" ht="27" customHeight="1" thickTop="1" thickBot="1">
      <c r="A217" s="474" t="s">
        <v>2276</v>
      </c>
      <c r="B217" s="475">
        <v>8</v>
      </c>
      <c r="C217" s="474" t="s">
        <v>2276</v>
      </c>
      <c r="D217" s="555">
        <v>18</v>
      </c>
      <c r="E217" s="525" t="s">
        <v>2281</v>
      </c>
      <c r="F217" s="556">
        <v>44730</v>
      </c>
      <c r="G217" s="479" t="s">
        <v>2151</v>
      </c>
      <c r="H217" s="479" t="s">
        <v>1905</v>
      </c>
      <c r="I217" s="489">
        <v>15</v>
      </c>
      <c r="J217" s="484" t="s">
        <v>2042</v>
      </c>
      <c r="K217" s="484"/>
      <c r="L217" s="678"/>
      <c r="M217" s="482">
        <v>0</v>
      </c>
      <c r="N217" s="482">
        <v>0</v>
      </c>
      <c r="O217" s="482">
        <v>0</v>
      </c>
      <c r="P217" s="482">
        <v>0</v>
      </c>
      <c r="Q217" s="543" t="s">
        <v>2133</v>
      </c>
      <c r="R217" s="479" t="s">
        <v>1941</v>
      </c>
      <c r="S217" s="786"/>
      <c r="T217" s="489" t="s">
        <v>749</v>
      </c>
      <c r="U217" s="488">
        <v>0</v>
      </c>
      <c r="V217" s="543" t="s">
        <v>749</v>
      </c>
      <c r="W217" s="479" t="s">
        <v>749</v>
      </c>
      <c r="X217" s="489">
        <v>0</v>
      </c>
      <c r="Y217" s="488">
        <v>1</v>
      </c>
      <c r="Z217" s="489">
        <v>0</v>
      </c>
      <c r="AA217" s="484"/>
      <c r="AB217" s="489"/>
      <c r="AC217" s="488">
        <v>0</v>
      </c>
      <c r="AD217" s="479">
        <v>0</v>
      </c>
      <c r="AE217" s="487">
        <v>2</v>
      </c>
      <c r="AF217" s="567" t="s">
        <v>2277</v>
      </c>
    </row>
    <row r="218" spans="1:32" s="285" customFormat="1" ht="27" customHeight="1" thickTop="1">
      <c r="A218" s="520" t="s">
        <v>2282</v>
      </c>
      <c r="B218" s="521">
        <v>9</v>
      </c>
      <c r="C218" s="520" t="s">
        <v>2282</v>
      </c>
      <c r="D218" s="561">
        <v>1</v>
      </c>
      <c r="E218" s="470" t="s">
        <v>1734</v>
      </c>
      <c r="F218" s="562">
        <v>44922</v>
      </c>
      <c r="G218" s="563" t="s">
        <v>2283</v>
      </c>
      <c r="H218" s="311" t="s">
        <v>1905</v>
      </c>
      <c r="I218" s="464">
        <v>15</v>
      </c>
      <c r="J218" s="389">
        <v>50</v>
      </c>
      <c r="K218" s="389">
        <v>50</v>
      </c>
      <c r="L218" s="389">
        <v>0</v>
      </c>
      <c r="M218" s="564">
        <v>10</v>
      </c>
      <c r="N218" s="564">
        <v>10</v>
      </c>
      <c r="O218" s="564" t="s">
        <v>1711</v>
      </c>
      <c r="P218" s="564" t="s">
        <v>1711</v>
      </c>
      <c r="Q218" s="180" t="s">
        <v>1706</v>
      </c>
      <c r="R218" s="509">
        <v>2</v>
      </c>
      <c r="S218" s="775"/>
      <c r="T218" s="510">
        <v>61</v>
      </c>
      <c r="U218" s="588">
        <v>0</v>
      </c>
      <c r="V218" s="138" t="s">
        <v>749</v>
      </c>
      <c r="W218" s="141" t="s">
        <v>749</v>
      </c>
      <c r="X218" s="464" t="s">
        <v>749</v>
      </c>
      <c r="Y218" s="463">
        <v>1</v>
      </c>
      <c r="Z218" s="565">
        <v>0</v>
      </c>
      <c r="AA218" s="808">
        <v>10.5</v>
      </c>
      <c r="AB218" s="566" t="s">
        <v>1738</v>
      </c>
      <c r="AC218" s="524"/>
      <c r="AD218" s="141"/>
      <c r="AE218" s="464"/>
      <c r="AF218" s="585" t="s">
        <v>2196</v>
      </c>
    </row>
    <row r="219" spans="1:32" ht="27" customHeight="1">
      <c r="A219" s="331" t="s">
        <v>2282</v>
      </c>
      <c r="B219" s="332">
        <v>9</v>
      </c>
      <c r="C219" s="331" t="s">
        <v>2282</v>
      </c>
      <c r="D219" s="354">
        <v>2</v>
      </c>
      <c r="E219" s="341" t="s">
        <v>1735</v>
      </c>
      <c r="F219" s="355">
        <v>44922</v>
      </c>
      <c r="G219" s="356" t="s">
        <v>2283</v>
      </c>
      <c r="H219" s="314" t="s">
        <v>1905</v>
      </c>
      <c r="I219" s="431">
        <v>15</v>
      </c>
      <c r="J219" s="390">
        <v>60</v>
      </c>
      <c r="K219" s="390">
        <v>60</v>
      </c>
      <c r="L219" s="389">
        <v>0</v>
      </c>
      <c r="M219" s="357">
        <v>10</v>
      </c>
      <c r="N219" s="357">
        <v>10</v>
      </c>
      <c r="O219" s="357">
        <v>10</v>
      </c>
      <c r="P219" s="357">
        <v>10</v>
      </c>
      <c r="Q219" s="183" t="s">
        <v>2112</v>
      </c>
      <c r="R219" s="372">
        <v>18</v>
      </c>
      <c r="S219" s="776"/>
      <c r="T219" s="424">
        <v>90</v>
      </c>
      <c r="U219" s="407">
        <v>0</v>
      </c>
      <c r="V219" s="129" t="s">
        <v>749</v>
      </c>
      <c r="W219" s="132" t="s">
        <v>749</v>
      </c>
      <c r="X219" s="427" t="s">
        <v>749</v>
      </c>
      <c r="Y219" s="410">
        <v>1</v>
      </c>
      <c r="Z219" s="436">
        <v>0</v>
      </c>
      <c r="AA219" s="809">
        <v>0.4</v>
      </c>
      <c r="AB219" s="310">
        <v>2</v>
      </c>
      <c r="AC219" s="413"/>
      <c r="AD219" s="132"/>
      <c r="AE219" s="431"/>
      <c r="AF219" s="441" t="s">
        <v>2284</v>
      </c>
    </row>
    <row r="220" spans="1:32" ht="27" customHeight="1">
      <c r="A220" s="331" t="s">
        <v>2282</v>
      </c>
      <c r="B220" s="332">
        <v>9</v>
      </c>
      <c r="C220" s="331" t="s">
        <v>2282</v>
      </c>
      <c r="D220" s="354">
        <v>3</v>
      </c>
      <c r="E220" s="341" t="s">
        <v>1736</v>
      </c>
      <c r="F220" s="355">
        <v>44937</v>
      </c>
      <c r="G220" s="356" t="s">
        <v>2283</v>
      </c>
      <c r="H220" s="314" t="s">
        <v>1905</v>
      </c>
      <c r="I220" s="431">
        <v>15</v>
      </c>
      <c r="J220" s="390" t="s">
        <v>1711</v>
      </c>
      <c r="K220" s="390">
        <v>20</v>
      </c>
      <c r="L220" s="389" t="e">
        <v>#VALUE!</v>
      </c>
      <c r="M220" s="357">
        <v>90</v>
      </c>
      <c r="N220" s="357">
        <v>100</v>
      </c>
      <c r="O220" s="357">
        <v>90</v>
      </c>
      <c r="P220" s="357">
        <v>100</v>
      </c>
      <c r="Q220" s="183" t="s">
        <v>1707</v>
      </c>
      <c r="R220" s="372">
        <v>4</v>
      </c>
      <c r="S220" s="776"/>
      <c r="T220" s="424">
        <v>25</v>
      </c>
      <c r="U220" s="407">
        <v>0</v>
      </c>
      <c r="V220" s="129" t="s">
        <v>749</v>
      </c>
      <c r="W220" s="132" t="s">
        <v>749</v>
      </c>
      <c r="X220" s="427" t="s">
        <v>749</v>
      </c>
      <c r="Y220" s="410">
        <v>1</v>
      </c>
      <c r="Z220" s="431" t="s">
        <v>1711</v>
      </c>
      <c r="AA220" s="809">
        <v>1.5</v>
      </c>
      <c r="AB220" s="310">
        <v>3</v>
      </c>
      <c r="AC220" s="413"/>
      <c r="AD220" s="132"/>
      <c r="AE220" s="431"/>
      <c r="AF220" s="441" t="s">
        <v>2284</v>
      </c>
    </row>
    <row r="221" spans="1:32" s="285" customFormat="1" ht="27" customHeight="1">
      <c r="A221" s="352" t="s">
        <v>2282</v>
      </c>
      <c r="B221" s="353">
        <v>9</v>
      </c>
      <c r="C221" s="352" t="s">
        <v>2282</v>
      </c>
      <c r="D221" s="354">
        <v>4</v>
      </c>
      <c r="E221" s="341" t="s">
        <v>1737</v>
      </c>
      <c r="F221" s="355">
        <v>44947</v>
      </c>
      <c r="G221" s="356" t="s">
        <v>2283</v>
      </c>
      <c r="H221" s="314" t="s">
        <v>1905</v>
      </c>
      <c r="I221" s="431">
        <v>15</v>
      </c>
      <c r="J221" s="390">
        <v>50</v>
      </c>
      <c r="K221" s="390">
        <v>50</v>
      </c>
      <c r="L221" s="389">
        <v>0</v>
      </c>
      <c r="M221" s="357" t="s">
        <v>1711</v>
      </c>
      <c r="N221" s="357" t="s">
        <v>1711</v>
      </c>
      <c r="O221" s="357" t="s">
        <v>1711</v>
      </c>
      <c r="P221" s="357" t="s">
        <v>1711</v>
      </c>
      <c r="Q221" s="183" t="s">
        <v>1874</v>
      </c>
      <c r="R221" s="372">
        <v>3</v>
      </c>
      <c r="S221" s="776"/>
      <c r="T221" s="424">
        <v>55</v>
      </c>
      <c r="U221" s="407">
        <v>0</v>
      </c>
      <c r="V221" s="129" t="s">
        <v>749</v>
      </c>
      <c r="W221" s="132" t="s">
        <v>749</v>
      </c>
      <c r="X221" s="427" t="s">
        <v>749</v>
      </c>
      <c r="Y221" s="410">
        <v>2</v>
      </c>
      <c r="Z221" s="436">
        <v>0</v>
      </c>
      <c r="AA221" s="809">
        <v>6.6</v>
      </c>
      <c r="AB221" s="310">
        <v>4</v>
      </c>
      <c r="AC221" s="413"/>
      <c r="AD221" s="132"/>
      <c r="AE221" s="431"/>
      <c r="AF221" s="441" t="s">
        <v>2284</v>
      </c>
    </row>
    <row r="222" spans="1:32" s="285" customFormat="1" ht="27" customHeight="1">
      <c r="A222" s="352" t="s">
        <v>2282</v>
      </c>
      <c r="B222" s="353">
        <v>9</v>
      </c>
      <c r="C222" s="352" t="s">
        <v>2282</v>
      </c>
      <c r="D222" s="354">
        <v>5</v>
      </c>
      <c r="E222" s="341" t="s">
        <v>1739</v>
      </c>
      <c r="F222" s="355">
        <v>44936</v>
      </c>
      <c r="G222" s="356" t="s">
        <v>2283</v>
      </c>
      <c r="H222" s="314" t="s">
        <v>1905</v>
      </c>
      <c r="I222" s="431">
        <v>15</v>
      </c>
      <c r="J222" s="390" t="s">
        <v>1711</v>
      </c>
      <c r="K222" s="390">
        <v>10</v>
      </c>
      <c r="L222" s="389" t="e">
        <v>#VALUE!</v>
      </c>
      <c r="M222" s="357" t="s">
        <v>1711</v>
      </c>
      <c r="N222" s="357" t="s">
        <v>1711</v>
      </c>
      <c r="O222" s="357" t="s">
        <v>1711</v>
      </c>
      <c r="P222" s="357" t="s">
        <v>1711</v>
      </c>
      <c r="Q222" s="314" t="s">
        <v>1740</v>
      </c>
      <c r="R222" s="372">
        <v>6</v>
      </c>
      <c r="S222" s="776"/>
      <c r="T222" s="424">
        <v>11</v>
      </c>
      <c r="U222" s="407">
        <v>0</v>
      </c>
      <c r="V222" s="129" t="s">
        <v>749</v>
      </c>
      <c r="W222" s="132" t="s">
        <v>749</v>
      </c>
      <c r="X222" s="427" t="s">
        <v>749</v>
      </c>
      <c r="Y222" s="410">
        <v>1</v>
      </c>
      <c r="Z222" s="436">
        <v>0</v>
      </c>
      <c r="AA222" s="809">
        <v>2.8</v>
      </c>
      <c r="AB222" s="310">
        <v>3</v>
      </c>
      <c r="AC222" s="413"/>
      <c r="AD222" s="132"/>
      <c r="AE222" s="431"/>
      <c r="AF222" s="586" t="s">
        <v>1804</v>
      </c>
    </row>
    <row r="223" spans="1:32" ht="27" customHeight="1">
      <c r="A223" s="331" t="s">
        <v>2282</v>
      </c>
      <c r="B223" s="332">
        <v>9</v>
      </c>
      <c r="C223" s="331" t="s">
        <v>2282</v>
      </c>
      <c r="D223" s="354">
        <v>6</v>
      </c>
      <c r="E223" s="341" t="s">
        <v>1741</v>
      </c>
      <c r="F223" s="355">
        <v>44936</v>
      </c>
      <c r="G223" s="356" t="s">
        <v>2283</v>
      </c>
      <c r="H223" s="314" t="s">
        <v>1905</v>
      </c>
      <c r="I223" s="431">
        <v>15</v>
      </c>
      <c r="J223" s="390">
        <v>20</v>
      </c>
      <c r="K223" s="390">
        <v>20</v>
      </c>
      <c r="L223" s="389">
        <v>0</v>
      </c>
      <c r="M223" s="357" t="s">
        <v>1711</v>
      </c>
      <c r="N223" s="357">
        <v>10</v>
      </c>
      <c r="O223" s="357" t="s">
        <v>1711</v>
      </c>
      <c r="P223" s="357">
        <v>10</v>
      </c>
      <c r="Q223" s="183" t="s">
        <v>1707</v>
      </c>
      <c r="R223" s="372">
        <v>9</v>
      </c>
      <c r="S223" s="776"/>
      <c r="T223" s="424">
        <v>25</v>
      </c>
      <c r="U223" s="407">
        <v>0</v>
      </c>
      <c r="V223" s="129" t="s">
        <v>749</v>
      </c>
      <c r="W223" s="132" t="s">
        <v>749</v>
      </c>
      <c r="X223" s="427" t="s">
        <v>749</v>
      </c>
      <c r="Y223" s="410">
        <v>1</v>
      </c>
      <c r="Z223" s="436">
        <v>0</v>
      </c>
      <c r="AA223" s="809" t="s">
        <v>749</v>
      </c>
      <c r="AB223" s="310" t="s">
        <v>749</v>
      </c>
      <c r="AC223" s="413"/>
      <c r="AD223" s="132"/>
      <c r="AE223" s="431"/>
      <c r="AF223" s="586" t="s">
        <v>1804</v>
      </c>
    </row>
    <row r="224" spans="1:32" ht="27" customHeight="1">
      <c r="A224" s="331" t="s">
        <v>2282</v>
      </c>
      <c r="B224" s="332">
        <v>9</v>
      </c>
      <c r="C224" s="331" t="s">
        <v>2282</v>
      </c>
      <c r="D224" s="354">
        <v>7</v>
      </c>
      <c r="E224" s="341" t="s">
        <v>1742</v>
      </c>
      <c r="F224" s="355">
        <v>44936</v>
      </c>
      <c r="G224" s="356" t="s">
        <v>2283</v>
      </c>
      <c r="H224" s="314" t="s">
        <v>1905</v>
      </c>
      <c r="I224" s="431">
        <v>15</v>
      </c>
      <c r="J224" s="390">
        <v>10</v>
      </c>
      <c r="K224" s="390">
        <v>20</v>
      </c>
      <c r="L224" s="389">
        <v>-10</v>
      </c>
      <c r="M224" s="357">
        <v>30</v>
      </c>
      <c r="N224" s="357">
        <v>40</v>
      </c>
      <c r="O224" s="357">
        <v>30</v>
      </c>
      <c r="P224" s="357">
        <v>40</v>
      </c>
      <c r="Q224" s="183" t="s">
        <v>1707</v>
      </c>
      <c r="R224" s="372">
        <v>0</v>
      </c>
      <c r="S224" s="776"/>
      <c r="T224" s="424">
        <v>50</v>
      </c>
      <c r="U224" s="407">
        <v>0</v>
      </c>
      <c r="V224" s="129" t="s">
        <v>749</v>
      </c>
      <c r="W224" s="132" t="s">
        <v>749</v>
      </c>
      <c r="X224" s="427" t="s">
        <v>749</v>
      </c>
      <c r="Y224" s="410">
        <v>1</v>
      </c>
      <c r="Z224" s="436">
        <v>0</v>
      </c>
      <c r="AA224" s="809">
        <v>3.8</v>
      </c>
      <c r="AB224" s="310">
        <v>3</v>
      </c>
      <c r="AC224" s="413"/>
      <c r="AD224" s="132"/>
      <c r="AE224" s="431"/>
      <c r="AF224" s="586" t="s">
        <v>2196</v>
      </c>
    </row>
    <row r="225" spans="1:32" ht="27" customHeight="1">
      <c r="A225" s="331" t="s">
        <v>2282</v>
      </c>
      <c r="B225" s="332">
        <v>9</v>
      </c>
      <c r="C225" s="331" t="s">
        <v>2282</v>
      </c>
      <c r="D225" s="354">
        <v>8</v>
      </c>
      <c r="E225" s="341" t="s">
        <v>1743</v>
      </c>
      <c r="F225" s="355">
        <v>44888</v>
      </c>
      <c r="G225" s="356" t="s">
        <v>2283</v>
      </c>
      <c r="H225" s="314" t="s">
        <v>1905</v>
      </c>
      <c r="I225" s="431">
        <v>15</v>
      </c>
      <c r="J225" s="390">
        <v>20</v>
      </c>
      <c r="K225" s="390">
        <v>30</v>
      </c>
      <c r="L225" s="389">
        <v>-10</v>
      </c>
      <c r="M225" s="357">
        <v>20</v>
      </c>
      <c r="N225" s="357">
        <v>60</v>
      </c>
      <c r="O225" s="357">
        <v>10</v>
      </c>
      <c r="P225" s="357">
        <v>60</v>
      </c>
      <c r="Q225" s="183" t="s">
        <v>1707</v>
      </c>
      <c r="R225" s="372">
        <v>1</v>
      </c>
      <c r="S225" s="776"/>
      <c r="T225" s="424">
        <v>33</v>
      </c>
      <c r="U225" s="407">
        <v>0</v>
      </c>
      <c r="V225" s="129" t="s">
        <v>749</v>
      </c>
      <c r="W225" s="132" t="s">
        <v>749</v>
      </c>
      <c r="X225" s="427" t="s">
        <v>749</v>
      </c>
      <c r="Y225" s="410">
        <v>1</v>
      </c>
      <c r="Z225" s="436">
        <v>0</v>
      </c>
      <c r="AA225" s="809">
        <v>0.7</v>
      </c>
      <c r="AB225" s="310">
        <v>2</v>
      </c>
      <c r="AC225" s="413"/>
      <c r="AD225" s="132"/>
      <c r="AE225" s="431"/>
      <c r="AF225" s="586" t="s">
        <v>2196</v>
      </c>
    </row>
    <row r="226" spans="1:32" ht="27" customHeight="1">
      <c r="A226" s="331" t="s">
        <v>2282</v>
      </c>
      <c r="B226" s="332">
        <v>9</v>
      </c>
      <c r="C226" s="331" t="s">
        <v>2282</v>
      </c>
      <c r="D226" s="354">
        <v>9</v>
      </c>
      <c r="E226" s="341" t="s">
        <v>1744</v>
      </c>
      <c r="F226" s="355">
        <v>44922</v>
      </c>
      <c r="G226" s="109" t="s">
        <v>2283</v>
      </c>
      <c r="H226" s="109" t="s">
        <v>1905</v>
      </c>
      <c r="I226" s="110">
        <v>15</v>
      </c>
      <c r="J226" s="391">
        <v>30</v>
      </c>
      <c r="K226" s="391"/>
      <c r="L226" s="389"/>
      <c r="M226" s="338">
        <v>40</v>
      </c>
      <c r="N226" s="338">
        <v>40</v>
      </c>
      <c r="O226" s="338">
        <v>40</v>
      </c>
      <c r="P226" s="338">
        <v>40</v>
      </c>
      <c r="Q226" s="109" t="s">
        <v>2112</v>
      </c>
      <c r="R226" s="109">
        <v>19</v>
      </c>
      <c r="S226" s="777"/>
      <c r="T226" s="110">
        <v>60</v>
      </c>
      <c r="U226" s="403">
        <v>0</v>
      </c>
      <c r="V226" s="364" t="s">
        <v>749</v>
      </c>
      <c r="W226" s="109" t="s">
        <v>749</v>
      </c>
      <c r="X226" s="110" t="s">
        <v>749</v>
      </c>
      <c r="Y226" s="410">
        <v>1</v>
      </c>
      <c r="Z226" s="396">
        <v>0</v>
      </c>
      <c r="AA226" s="810" t="s">
        <v>749</v>
      </c>
      <c r="AB226" s="110" t="s">
        <v>749</v>
      </c>
      <c r="AC226" s="403"/>
      <c r="AD226" s="109"/>
      <c r="AE226" s="110"/>
      <c r="AF226" s="307" t="s">
        <v>2196</v>
      </c>
    </row>
    <row r="227" spans="1:32" ht="27" customHeight="1" thickBot="1">
      <c r="A227" s="474" t="s">
        <v>2282</v>
      </c>
      <c r="B227" s="475">
        <v>9</v>
      </c>
      <c r="C227" s="474" t="s">
        <v>2282</v>
      </c>
      <c r="D227" s="555">
        <v>10</v>
      </c>
      <c r="E227" s="525" t="s">
        <v>1745</v>
      </c>
      <c r="F227" s="556">
        <v>44922</v>
      </c>
      <c r="G227" s="479" t="s">
        <v>2283</v>
      </c>
      <c r="H227" s="479" t="s">
        <v>1905</v>
      </c>
      <c r="I227" s="489">
        <v>15</v>
      </c>
      <c r="J227" s="484">
        <v>40</v>
      </c>
      <c r="K227" s="484"/>
      <c r="L227" s="389"/>
      <c r="M227" s="482">
        <v>20</v>
      </c>
      <c r="N227" s="482">
        <v>20</v>
      </c>
      <c r="O227" s="482">
        <v>20</v>
      </c>
      <c r="P227" s="482">
        <v>20</v>
      </c>
      <c r="Q227" s="479" t="s">
        <v>2112</v>
      </c>
      <c r="R227" s="479">
        <v>21</v>
      </c>
      <c r="S227" s="786"/>
      <c r="T227" s="489">
        <v>45</v>
      </c>
      <c r="U227" s="488">
        <v>0</v>
      </c>
      <c r="V227" s="543" t="s">
        <v>749</v>
      </c>
      <c r="W227" s="479" t="s">
        <v>749</v>
      </c>
      <c r="X227" s="489" t="s">
        <v>749</v>
      </c>
      <c r="Y227" s="486">
        <v>1</v>
      </c>
      <c r="Z227" s="487">
        <v>0</v>
      </c>
      <c r="AA227" s="811" t="s">
        <v>749</v>
      </c>
      <c r="AB227" s="489" t="s">
        <v>749</v>
      </c>
      <c r="AC227" s="488"/>
      <c r="AD227" s="479"/>
      <c r="AE227" s="489"/>
      <c r="AF227" s="567" t="s">
        <v>2285</v>
      </c>
    </row>
    <row r="228" spans="1:32" ht="27" customHeight="1" thickTop="1">
      <c r="A228" s="382" t="s">
        <v>2286</v>
      </c>
      <c r="B228" s="383">
        <v>10</v>
      </c>
      <c r="C228" s="382" t="s">
        <v>2287</v>
      </c>
      <c r="D228" s="561">
        <v>1</v>
      </c>
      <c r="E228" s="470" t="s">
        <v>1746</v>
      </c>
      <c r="F228" s="562">
        <v>44923</v>
      </c>
      <c r="G228" s="563" t="s">
        <v>2283</v>
      </c>
      <c r="H228" s="311" t="s">
        <v>1905</v>
      </c>
      <c r="I228" s="464">
        <v>15</v>
      </c>
      <c r="J228" s="389">
        <v>10</v>
      </c>
      <c r="K228" s="389">
        <v>10</v>
      </c>
      <c r="L228" s="389">
        <v>0</v>
      </c>
      <c r="M228" s="564" t="s">
        <v>1711</v>
      </c>
      <c r="N228" s="564" t="s">
        <v>1711</v>
      </c>
      <c r="O228" s="564" t="s">
        <v>1711</v>
      </c>
      <c r="P228" s="564" t="s">
        <v>1711</v>
      </c>
      <c r="Q228" s="180" t="s">
        <v>1707</v>
      </c>
      <c r="R228" s="509">
        <v>2</v>
      </c>
      <c r="S228" s="775"/>
      <c r="T228" s="510">
        <v>34</v>
      </c>
      <c r="U228" s="588">
        <v>0</v>
      </c>
      <c r="V228" s="138" t="s">
        <v>749</v>
      </c>
      <c r="W228" s="141" t="s">
        <v>749</v>
      </c>
      <c r="X228" s="472" t="s">
        <v>749</v>
      </c>
      <c r="Y228" s="463">
        <v>1</v>
      </c>
      <c r="Z228" s="565">
        <v>0</v>
      </c>
      <c r="AA228" s="808">
        <v>11</v>
      </c>
      <c r="AB228" s="566" t="s">
        <v>1738</v>
      </c>
      <c r="AC228" s="524"/>
      <c r="AD228" s="141"/>
      <c r="AE228" s="464"/>
      <c r="AF228" s="585" t="s">
        <v>1804</v>
      </c>
    </row>
    <row r="229" spans="1:32" ht="27" customHeight="1">
      <c r="A229" s="331" t="s">
        <v>2286</v>
      </c>
      <c r="B229" s="332">
        <v>10</v>
      </c>
      <c r="C229" s="331" t="s">
        <v>2287</v>
      </c>
      <c r="D229" s="354">
        <v>2</v>
      </c>
      <c r="E229" s="341" t="s">
        <v>1747</v>
      </c>
      <c r="F229" s="355">
        <v>44923</v>
      </c>
      <c r="G229" s="356" t="s">
        <v>2283</v>
      </c>
      <c r="H229" s="314" t="s">
        <v>1905</v>
      </c>
      <c r="I229" s="431">
        <v>15</v>
      </c>
      <c r="J229" s="390">
        <v>40</v>
      </c>
      <c r="K229" s="390">
        <v>40</v>
      </c>
      <c r="L229" s="389">
        <v>0</v>
      </c>
      <c r="M229" s="357">
        <v>20</v>
      </c>
      <c r="N229" s="357">
        <v>20</v>
      </c>
      <c r="O229" s="357">
        <v>20</v>
      </c>
      <c r="P229" s="357">
        <v>20</v>
      </c>
      <c r="Q229" s="183" t="s">
        <v>2112</v>
      </c>
      <c r="R229" s="372" t="s">
        <v>1943</v>
      </c>
      <c r="S229" s="776"/>
      <c r="T229" s="424">
        <v>76</v>
      </c>
      <c r="U229" s="407">
        <v>0</v>
      </c>
      <c r="V229" s="129" t="s">
        <v>749</v>
      </c>
      <c r="W229" s="132" t="s">
        <v>749</v>
      </c>
      <c r="X229" s="427" t="s">
        <v>749</v>
      </c>
      <c r="Y229" s="410">
        <v>1</v>
      </c>
      <c r="Z229" s="436">
        <v>0</v>
      </c>
      <c r="AA229" s="809">
        <v>1.5</v>
      </c>
      <c r="AB229" s="310">
        <v>3</v>
      </c>
      <c r="AC229" s="413"/>
      <c r="AD229" s="132"/>
      <c r="AE229" s="431"/>
      <c r="AF229" s="441" t="s">
        <v>1804</v>
      </c>
    </row>
    <row r="230" spans="1:32" s="285" customFormat="1" ht="27" customHeight="1">
      <c r="A230" s="352" t="s">
        <v>2286</v>
      </c>
      <c r="B230" s="353">
        <v>10</v>
      </c>
      <c r="C230" s="352" t="s">
        <v>2287</v>
      </c>
      <c r="D230" s="354">
        <v>3</v>
      </c>
      <c r="E230" s="341" t="s">
        <v>1748</v>
      </c>
      <c r="F230" s="355">
        <v>44923</v>
      </c>
      <c r="G230" s="356" t="s">
        <v>2283</v>
      </c>
      <c r="H230" s="314" t="s">
        <v>1905</v>
      </c>
      <c r="I230" s="431">
        <v>15</v>
      </c>
      <c r="J230" s="390">
        <v>20</v>
      </c>
      <c r="K230" s="390">
        <v>20</v>
      </c>
      <c r="L230" s="389">
        <v>0</v>
      </c>
      <c r="M230" s="357" t="s">
        <v>1711</v>
      </c>
      <c r="N230" s="357" t="s">
        <v>1711</v>
      </c>
      <c r="O230" s="357" t="s">
        <v>1711</v>
      </c>
      <c r="P230" s="357" t="s">
        <v>1711</v>
      </c>
      <c r="Q230" s="183" t="s">
        <v>1707</v>
      </c>
      <c r="R230" s="372">
        <v>12</v>
      </c>
      <c r="S230" s="776"/>
      <c r="T230" s="424">
        <v>40</v>
      </c>
      <c r="U230" s="407">
        <v>0</v>
      </c>
      <c r="V230" s="129" t="s">
        <v>749</v>
      </c>
      <c r="W230" s="132" t="s">
        <v>749</v>
      </c>
      <c r="X230" s="431" t="s">
        <v>749</v>
      </c>
      <c r="Y230" s="410">
        <v>1</v>
      </c>
      <c r="Z230" s="436">
        <v>0</v>
      </c>
      <c r="AA230" s="809" t="s">
        <v>749</v>
      </c>
      <c r="AB230" s="310" t="s">
        <v>749</v>
      </c>
      <c r="AC230" s="413"/>
      <c r="AD230" s="132"/>
      <c r="AE230" s="431"/>
      <c r="AF230" s="586" t="s">
        <v>1804</v>
      </c>
    </row>
    <row r="231" spans="1:32" ht="27" customHeight="1" thickBot="1">
      <c r="A231" s="474" t="s">
        <v>2286</v>
      </c>
      <c r="B231" s="475">
        <v>10</v>
      </c>
      <c r="C231" s="474" t="s">
        <v>2287</v>
      </c>
      <c r="D231" s="555">
        <v>4</v>
      </c>
      <c r="E231" s="525" t="s">
        <v>1749</v>
      </c>
      <c r="F231" s="556">
        <v>44923</v>
      </c>
      <c r="G231" s="557" t="s">
        <v>2283</v>
      </c>
      <c r="H231" s="530" t="s">
        <v>1905</v>
      </c>
      <c r="I231" s="503">
        <v>15</v>
      </c>
      <c r="J231" s="497">
        <v>30</v>
      </c>
      <c r="K231" s="497">
        <v>20</v>
      </c>
      <c r="L231" s="389">
        <v>10</v>
      </c>
      <c r="M231" s="558" t="s">
        <v>1711</v>
      </c>
      <c r="N231" s="558" t="s">
        <v>1711</v>
      </c>
      <c r="O231" s="558" t="s">
        <v>1711</v>
      </c>
      <c r="P231" s="558" t="s">
        <v>1711</v>
      </c>
      <c r="Q231" s="193" t="s">
        <v>2112</v>
      </c>
      <c r="R231" s="499">
        <v>5</v>
      </c>
      <c r="S231" s="780"/>
      <c r="T231" s="500">
        <v>91</v>
      </c>
      <c r="U231" s="501">
        <v>1</v>
      </c>
      <c r="V231" s="594" t="s">
        <v>1719</v>
      </c>
      <c r="W231" s="583">
        <v>28</v>
      </c>
      <c r="X231" s="485" t="s">
        <v>1711</v>
      </c>
      <c r="Y231" s="486">
        <v>1</v>
      </c>
      <c r="Z231" s="559">
        <v>0</v>
      </c>
      <c r="AA231" s="812">
        <v>10</v>
      </c>
      <c r="AB231" s="560" t="s">
        <v>1738</v>
      </c>
      <c r="AC231" s="519"/>
      <c r="AD231" s="583"/>
      <c r="AE231" s="503"/>
      <c r="AF231" s="587" t="s">
        <v>2196</v>
      </c>
    </row>
    <row r="232" spans="1:32" ht="27" customHeight="1" thickTop="1">
      <c r="A232" s="382" t="s">
        <v>2288</v>
      </c>
      <c r="B232" s="383">
        <v>11</v>
      </c>
      <c r="C232" s="382" t="s">
        <v>2289</v>
      </c>
      <c r="D232" s="456">
        <v>1</v>
      </c>
      <c r="E232" s="456" t="s">
        <v>345</v>
      </c>
      <c r="F232" s="537">
        <v>44819</v>
      </c>
      <c r="G232" s="311" t="s">
        <v>2290</v>
      </c>
      <c r="H232" s="311" t="s">
        <v>1905</v>
      </c>
      <c r="I232" s="394">
        <v>15</v>
      </c>
      <c r="J232" s="389">
        <v>5</v>
      </c>
      <c r="K232" s="389">
        <v>5</v>
      </c>
      <c r="L232" s="389">
        <v>0</v>
      </c>
      <c r="M232" s="550">
        <v>30</v>
      </c>
      <c r="N232" s="550">
        <v>70</v>
      </c>
      <c r="O232" s="550" t="s">
        <v>1711</v>
      </c>
      <c r="P232" s="550" t="s">
        <v>1711</v>
      </c>
      <c r="Q232" s="180" t="s">
        <v>1707</v>
      </c>
      <c r="R232" s="539">
        <v>0</v>
      </c>
      <c r="S232" s="787">
        <v>0</v>
      </c>
      <c r="T232" s="551">
        <v>17</v>
      </c>
      <c r="U232" s="523">
        <v>0</v>
      </c>
      <c r="V232" s="138" t="s">
        <v>749</v>
      </c>
      <c r="W232" s="141" t="s">
        <v>749</v>
      </c>
      <c r="X232" s="552">
        <v>0</v>
      </c>
      <c r="Y232" s="553">
        <v>1</v>
      </c>
      <c r="Z232" s="312">
        <v>0</v>
      </c>
      <c r="AA232" s="813">
        <v>2.9826236559139785</v>
      </c>
      <c r="AB232" s="554">
        <v>3</v>
      </c>
      <c r="AC232" s="524">
        <v>0</v>
      </c>
      <c r="AD232" s="141">
        <v>0</v>
      </c>
      <c r="AE232" s="464">
        <v>0</v>
      </c>
      <c r="AF232" s="513" t="s">
        <v>1804</v>
      </c>
    </row>
    <row r="233" spans="1:32" ht="27" customHeight="1">
      <c r="A233" s="331" t="s">
        <v>2288</v>
      </c>
      <c r="B233" s="332">
        <v>11</v>
      </c>
      <c r="C233" s="331" t="s">
        <v>2289</v>
      </c>
      <c r="D233" s="340">
        <v>2</v>
      </c>
      <c r="E233" s="340" t="s">
        <v>348</v>
      </c>
      <c r="F233" s="344">
        <v>44819</v>
      </c>
      <c r="G233" s="314" t="s">
        <v>2290</v>
      </c>
      <c r="H233" s="314" t="s">
        <v>1905</v>
      </c>
      <c r="I233" s="395">
        <v>15</v>
      </c>
      <c r="J233" s="390">
        <v>30</v>
      </c>
      <c r="K233" s="390">
        <v>30</v>
      </c>
      <c r="L233" s="389">
        <v>0</v>
      </c>
      <c r="M233" s="345">
        <v>70</v>
      </c>
      <c r="N233" s="345">
        <v>100</v>
      </c>
      <c r="O233" s="345" t="s">
        <v>1711</v>
      </c>
      <c r="P233" s="345">
        <v>5</v>
      </c>
      <c r="Q233" s="183" t="s">
        <v>1707</v>
      </c>
      <c r="R233" s="358">
        <v>5</v>
      </c>
      <c r="S233" s="788">
        <v>5</v>
      </c>
      <c r="T233" s="417">
        <v>22.5</v>
      </c>
      <c r="U233" s="392">
        <v>0</v>
      </c>
      <c r="V233" s="129" t="s">
        <v>749</v>
      </c>
      <c r="W233" s="132" t="s">
        <v>749</v>
      </c>
      <c r="X233" s="313" t="s">
        <v>1750</v>
      </c>
      <c r="Y233" s="411">
        <v>1</v>
      </c>
      <c r="Z233" s="313">
        <v>0</v>
      </c>
      <c r="AA233" s="814" t="s">
        <v>749</v>
      </c>
      <c r="AB233" s="438" t="s">
        <v>749</v>
      </c>
      <c r="AC233" s="413">
        <v>0</v>
      </c>
      <c r="AD233" s="132">
        <v>0</v>
      </c>
      <c r="AE233" s="431">
        <v>0</v>
      </c>
      <c r="AF233" s="441" t="s">
        <v>1804</v>
      </c>
    </row>
    <row r="234" spans="1:32" ht="27" customHeight="1">
      <c r="A234" s="331" t="s">
        <v>2288</v>
      </c>
      <c r="B234" s="332">
        <v>11</v>
      </c>
      <c r="C234" s="331" t="s">
        <v>2289</v>
      </c>
      <c r="D234" s="340">
        <v>3</v>
      </c>
      <c r="E234" s="340" t="s">
        <v>351</v>
      </c>
      <c r="F234" s="344">
        <v>44819</v>
      </c>
      <c r="G234" s="314" t="s">
        <v>2290</v>
      </c>
      <c r="H234" s="314" t="s">
        <v>1905</v>
      </c>
      <c r="I234" s="395">
        <v>15</v>
      </c>
      <c r="J234" s="392" t="s">
        <v>1711</v>
      </c>
      <c r="K234" s="392">
        <v>2.5</v>
      </c>
      <c r="L234" s="389" t="e">
        <v>#VALUE!</v>
      </c>
      <c r="M234" s="345">
        <v>20</v>
      </c>
      <c r="N234" s="345">
        <v>0</v>
      </c>
      <c r="O234" s="345" t="s">
        <v>1711</v>
      </c>
      <c r="P234" s="345">
        <v>0</v>
      </c>
      <c r="Q234" s="183" t="s">
        <v>1707</v>
      </c>
      <c r="R234" s="358">
        <v>0</v>
      </c>
      <c r="S234" s="788">
        <v>0</v>
      </c>
      <c r="T234" s="417">
        <v>0</v>
      </c>
      <c r="U234" s="392">
        <v>0</v>
      </c>
      <c r="V234" s="129" t="s">
        <v>749</v>
      </c>
      <c r="W234" s="132" t="s">
        <v>749</v>
      </c>
      <c r="X234" s="428">
        <v>0</v>
      </c>
      <c r="Y234" s="411">
        <v>1</v>
      </c>
      <c r="Z234" s="313">
        <v>0</v>
      </c>
      <c r="AA234" s="814">
        <v>4.5125157232704405</v>
      </c>
      <c r="AB234" s="438">
        <v>3</v>
      </c>
      <c r="AC234" s="413">
        <v>0</v>
      </c>
      <c r="AD234" s="132">
        <v>0</v>
      </c>
      <c r="AE234" s="431">
        <v>0</v>
      </c>
      <c r="AF234" s="441" t="s">
        <v>1804</v>
      </c>
    </row>
    <row r="235" spans="1:32" ht="27" customHeight="1">
      <c r="A235" s="331" t="s">
        <v>2288</v>
      </c>
      <c r="B235" s="332">
        <v>11</v>
      </c>
      <c r="C235" s="331" t="s">
        <v>2289</v>
      </c>
      <c r="D235" s="340">
        <v>4</v>
      </c>
      <c r="E235" s="340" t="s">
        <v>354</v>
      </c>
      <c r="F235" s="344">
        <v>44819</v>
      </c>
      <c r="G235" s="314" t="s">
        <v>2290</v>
      </c>
      <c r="H235" s="314" t="s">
        <v>1905</v>
      </c>
      <c r="I235" s="395">
        <v>15</v>
      </c>
      <c r="J235" s="392" t="s">
        <v>1711</v>
      </c>
      <c r="K235" s="392">
        <v>2.5</v>
      </c>
      <c r="L235" s="389" t="e">
        <v>#VALUE!</v>
      </c>
      <c r="M235" s="345">
        <v>30</v>
      </c>
      <c r="N235" s="345">
        <v>80</v>
      </c>
      <c r="O235" s="345" t="s">
        <v>1750</v>
      </c>
      <c r="P235" s="345">
        <v>20</v>
      </c>
      <c r="Q235" s="183" t="s">
        <v>1707</v>
      </c>
      <c r="R235" s="358">
        <v>0</v>
      </c>
      <c r="S235" s="788">
        <v>0</v>
      </c>
      <c r="T235" s="417">
        <v>0</v>
      </c>
      <c r="U235" s="392">
        <v>0</v>
      </c>
      <c r="V235" s="129" t="s">
        <v>749</v>
      </c>
      <c r="W235" s="132" t="s">
        <v>749</v>
      </c>
      <c r="X235" s="428">
        <v>0</v>
      </c>
      <c r="Y235" s="411">
        <v>1</v>
      </c>
      <c r="Z235" s="313">
        <v>0</v>
      </c>
      <c r="AA235" s="814">
        <v>2.7069054726368158</v>
      </c>
      <c r="AB235" s="438">
        <v>3</v>
      </c>
      <c r="AC235" s="413">
        <v>0</v>
      </c>
      <c r="AD235" s="132">
        <v>0</v>
      </c>
      <c r="AE235" s="431">
        <v>0</v>
      </c>
      <c r="AF235" s="441" t="s">
        <v>1804</v>
      </c>
    </row>
    <row r="236" spans="1:32" ht="27" customHeight="1">
      <c r="A236" s="331" t="s">
        <v>2288</v>
      </c>
      <c r="B236" s="332">
        <v>11</v>
      </c>
      <c r="C236" s="331" t="s">
        <v>2289</v>
      </c>
      <c r="D236" s="340">
        <v>5</v>
      </c>
      <c r="E236" s="340" t="s">
        <v>356</v>
      </c>
      <c r="F236" s="344">
        <v>44819</v>
      </c>
      <c r="G236" s="314" t="s">
        <v>2290</v>
      </c>
      <c r="H236" s="314" t="s">
        <v>1905</v>
      </c>
      <c r="I236" s="395">
        <v>15</v>
      </c>
      <c r="J236" s="390">
        <v>60</v>
      </c>
      <c r="K236" s="390">
        <v>60</v>
      </c>
      <c r="L236" s="389">
        <v>0</v>
      </c>
      <c r="M236" s="345">
        <v>20</v>
      </c>
      <c r="N236" s="345">
        <v>60</v>
      </c>
      <c r="O236" s="345">
        <v>5</v>
      </c>
      <c r="P236" s="345">
        <v>20</v>
      </c>
      <c r="Q236" s="183" t="s">
        <v>1875</v>
      </c>
      <c r="R236" s="358" t="s">
        <v>1750</v>
      </c>
      <c r="S236" s="788">
        <v>0.5</v>
      </c>
      <c r="T236" s="417">
        <v>15</v>
      </c>
      <c r="U236" s="392">
        <v>0</v>
      </c>
      <c r="V236" s="129" t="s">
        <v>749</v>
      </c>
      <c r="W236" s="132" t="s">
        <v>749</v>
      </c>
      <c r="X236" s="428">
        <v>0</v>
      </c>
      <c r="Y236" s="411">
        <v>1</v>
      </c>
      <c r="Z236" s="313">
        <v>0</v>
      </c>
      <c r="AA236" s="814">
        <v>18.186835443037975</v>
      </c>
      <c r="AB236" s="438" t="s">
        <v>1738</v>
      </c>
      <c r="AC236" s="413">
        <v>0</v>
      </c>
      <c r="AD236" s="132">
        <v>0</v>
      </c>
      <c r="AE236" s="431">
        <v>1</v>
      </c>
      <c r="AF236" s="441" t="s">
        <v>1804</v>
      </c>
    </row>
    <row r="237" spans="1:32" ht="27" customHeight="1">
      <c r="A237" s="331" t="s">
        <v>2288</v>
      </c>
      <c r="B237" s="332">
        <v>11</v>
      </c>
      <c r="C237" s="331" t="s">
        <v>2289</v>
      </c>
      <c r="D237" s="340">
        <v>6</v>
      </c>
      <c r="E237" s="340" t="s">
        <v>357</v>
      </c>
      <c r="F237" s="344">
        <v>44819</v>
      </c>
      <c r="G237" s="314" t="s">
        <v>2290</v>
      </c>
      <c r="H237" s="314" t="s">
        <v>1905</v>
      </c>
      <c r="I237" s="395">
        <v>15</v>
      </c>
      <c r="J237" s="390">
        <v>60</v>
      </c>
      <c r="K237" s="390">
        <v>60</v>
      </c>
      <c r="L237" s="389">
        <v>0</v>
      </c>
      <c r="M237" s="345">
        <v>10</v>
      </c>
      <c r="N237" s="345">
        <v>60</v>
      </c>
      <c r="O237" s="345" t="s">
        <v>1711</v>
      </c>
      <c r="P237" s="345">
        <v>20</v>
      </c>
      <c r="Q237" s="183" t="s">
        <v>1876</v>
      </c>
      <c r="R237" s="359">
        <v>0</v>
      </c>
      <c r="S237" s="789">
        <v>0</v>
      </c>
      <c r="T237" s="417">
        <v>0</v>
      </c>
      <c r="U237" s="392">
        <v>0</v>
      </c>
      <c r="V237" s="129" t="s">
        <v>749</v>
      </c>
      <c r="W237" s="132" t="s">
        <v>749</v>
      </c>
      <c r="X237" s="428">
        <v>0</v>
      </c>
      <c r="Y237" s="412">
        <v>1</v>
      </c>
      <c r="Z237" s="395">
        <v>0</v>
      </c>
      <c r="AA237" s="814">
        <v>3.9631073446327689</v>
      </c>
      <c r="AB237" s="438">
        <v>3</v>
      </c>
      <c r="AC237" s="413">
        <v>0</v>
      </c>
      <c r="AD237" s="132">
        <v>0</v>
      </c>
      <c r="AE237" s="431">
        <v>0</v>
      </c>
      <c r="AF237" s="441" t="s">
        <v>1804</v>
      </c>
    </row>
    <row r="238" spans="1:32" s="285" customFormat="1" ht="27" customHeight="1">
      <c r="A238" s="352" t="s">
        <v>2288</v>
      </c>
      <c r="B238" s="353">
        <v>11</v>
      </c>
      <c r="C238" s="352" t="s">
        <v>2289</v>
      </c>
      <c r="D238" s="340">
        <v>7</v>
      </c>
      <c r="E238" s="340" t="s">
        <v>359</v>
      </c>
      <c r="F238" s="344">
        <v>44819</v>
      </c>
      <c r="G238" s="314" t="s">
        <v>2290</v>
      </c>
      <c r="H238" s="314" t="s">
        <v>1905</v>
      </c>
      <c r="I238" s="395">
        <v>15</v>
      </c>
      <c r="J238" s="390">
        <v>40</v>
      </c>
      <c r="K238" s="390">
        <v>40</v>
      </c>
      <c r="L238" s="389">
        <v>0</v>
      </c>
      <c r="M238" s="345">
        <v>30</v>
      </c>
      <c r="N238" s="345">
        <v>60</v>
      </c>
      <c r="O238" s="345" t="s">
        <v>1711</v>
      </c>
      <c r="P238" s="345">
        <v>20</v>
      </c>
      <c r="Q238" s="183" t="s">
        <v>1707</v>
      </c>
      <c r="R238" s="358">
        <v>0</v>
      </c>
      <c r="S238" s="788">
        <v>0</v>
      </c>
      <c r="T238" s="417">
        <v>0</v>
      </c>
      <c r="U238" s="392">
        <v>0</v>
      </c>
      <c r="V238" s="129" t="s">
        <v>749</v>
      </c>
      <c r="W238" s="132" t="s">
        <v>749</v>
      </c>
      <c r="X238" s="428">
        <v>0</v>
      </c>
      <c r="Y238" s="411">
        <v>1</v>
      </c>
      <c r="Z238" s="313">
        <v>0</v>
      </c>
      <c r="AA238" s="814">
        <v>1.5758585858585861</v>
      </c>
      <c r="AB238" s="438">
        <v>3</v>
      </c>
      <c r="AC238" s="413">
        <v>0</v>
      </c>
      <c r="AD238" s="132">
        <v>0</v>
      </c>
      <c r="AE238" s="431">
        <v>0</v>
      </c>
      <c r="AF238" s="441" t="s">
        <v>1804</v>
      </c>
    </row>
    <row r="239" spans="1:32" ht="27" customHeight="1">
      <c r="A239" s="331" t="s">
        <v>2288</v>
      </c>
      <c r="B239" s="332">
        <v>11</v>
      </c>
      <c r="C239" s="331" t="s">
        <v>2289</v>
      </c>
      <c r="D239" s="340">
        <v>8</v>
      </c>
      <c r="E239" s="340" t="s">
        <v>360</v>
      </c>
      <c r="F239" s="344">
        <v>44819</v>
      </c>
      <c r="G239" s="314" t="s">
        <v>2290</v>
      </c>
      <c r="H239" s="314" t="s">
        <v>1905</v>
      </c>
      <c r="I239" s="395">
        <v>15</v>
      </c>
      <c r="J239" s="390">
        <v>40</v>
      </c>
      <c r="K239" s="390">
        <v>40</v>
      </c>
      <c r="L239" s="389">
        <v>0</v>
      </c>
      <c r="M239" s="345">
        <v>5</v>
      </c>
      <c r="N239" s="345">
        <v>90</v>
      </c>
      <c r="O239" s="345" t="s">
        <v>1750</v>
      </c>
      <c r="P239" s="345">
        <v>30</v>
      </c>
      <c r="Q239" s="183" t="s">
        <v>1877</v>
      </c>
      <c r="R239" s="358">
        <v>0</v>
      </c>
      <c r="S239" s="788">
        <v>0</v>
      </c>
      <c r="T239" s="417">
        <v>0</v>
      </c>
      <c r="U239" s="392">
        <v>0</v>
      </c>
      <c r="V239" s="129" t="s">
        <v>749</v>
      </c>
      <c r="W239" s="132" t="s">
        <v>749</v>
      </c>
      <c r="X239" s="428">
        <v>0</v>
      </c>
      <c r="Y239" s="411">
        <v>1</v>
      </c>
      <c r="Z239" s="313">
        <v>0</v>
      </c>
      <c r="AA239" s="814">
        <v>9.1626751592356701</v>
      </c>
      <c r="AB239" s="438">
        <v>4</v>
      </c>
      <c r="AC239" s="413">
        <v>0</v>
      </c>
      <c r="AD239" s="132">
        <v>0</v>
      </c>
      <c r="AE239" s="431">
        <v>0</v>
      </c>
      <c r="AF239" s="441" t="s">
        <v>1804</v>
      </c>
    </row>
    <row r="240" spans="1:32" ht="27" customHeight="1">
      <c r="A240" s="331" t="s">
        <v>2288</v>
      </c>
      <c r="B240" s="332">
        <v>11</v>
      </c>
      <c r="C240" s="331" t="s">
        <v>2289</v>
      </c>
      <c r="D240" s="340">
        <v>9</v>
      </c>
      <c r="E240" s="340" t="s">
        <v>361</v>
      </c>
      <c r="F240" s="344">
        <v>44820</v>
      </c>
      <c r="G240" s="314" t="s">
        <v>2290</v>
      </c>
      <c r="H240" s="314" t="s">
        <v>1905</v>
      </c>
      <c r="I240" s="395">
        <v>15</v>
      </c>
      <c r="J240" s="390">
        <v>20</v>
      </c>
      <c r="K240" s="390">
        <v>10</v>
      </c>
      <c r="L240" s="389">
        <v>10</v>
      </c>
      <c r="M240" s="345">
        <v>30</v>
      </c>
      <c r="N240" s="345">
        <v>50</v>
      </c>
      <c r="O240" s="345" t="s">
        <v>1711</v>
      </c>
      <c r="P240" s="345">
        <v>5</v>
      </c>
      <c r="Q240" s="183" t="s">
        <v>1707</v>
      </c>
      <c r="R240" s="358">
        <v>3</v>
      </c>
      <c r="S240" s="788">
        <v>3</v>
      </c>
      <c r="T240" s="417">
        <v>0</v>
      </c>
      <c r="U240" s="392">
        <v>0</v>
      </c>
      <c r="V240" s="129" t="s">
        <v>749</v>
      </c>
      <c r="W240" s="132" t="s">
        <v>749</v>
      </c>
      <c r="X240" s="428">
        <v>0</v>
      </c>
      <c r="Y240" s="411">
        <v>1</v>
      </c>
      <c r="Z240" s="313">
        <v>0</v>
      </c>
      <c r="AA240" s="814">
        <v>0.54446428571428562</v>
      </c>
      <c r="AB240" s="438">
        <v>2</v>
      </c>
      <c r="AC240" s="413">
        <v>0</v>
      </c>
      <c r="AD240" s="132">
        <v>0</v>
      </c>
      <c r="AE240" s="431">
        <v>0</v>
      </c>
      <c r="AF240" s="441" t="s">
        <v>1804</v>
      </c>
    </row>
    <row r="241" spans="1:32" s="285" customFormat="1" ht="27" customHeight="1">
      <c r="A241" s="352" t="s">
        <v>2288</v>
      </c>
      <c r="B241" s="353">
        <v>11</v>
      </c>
      <c r="C241" s="352" t="s">
        <v>2289</v>
      </c>
      <c r="D241" s="340">
        <v>10</v>
      </c>
      <c r="E241" s="340" t="s">
        <v>363</v>
      </c>
      <c r="F241" s="344">
        <v>44820</v>
      </c>
      <c r="G241" s="314" t="s">
        <v>2290</v>
      </c>
      <c r="H241" s="314" t="s">
        <v>1905</v>
      </c>
      <c r="I241" s="395">
        <v>15</v>
      </c>
      <c r="J241" s="390">
        <v>5</v>
      </c>
      <c r="K241" s="390">
        <v>5</v>
      </c>
      <c r="L241" s="389">
        <v>0</v>
      </c>
      <c r="M241" s="345">
        <v>30</v>
      </c>
      <c r="N241" s="345">
        <v>50</v>
      </c>
      <c r="O241" s="345" t="s">
        <v>1711</v>
      </c>
      <c r="P241" s="345">
        <v>5</v>
      </c>
      <c r="Q241" s="183" t="s">
        <v>1707</v>
      </c>
      <c r="R241" s="358" t="s">
        <v>1750</v>
      </c>
      <c r="S241" s="788">
        <v>0.5</v>
      </c>
      <c r="T241" s="417">
        <v>1.5</v>
      </c>
      <c r="U241" s="392">
        <v>0</v>
      </c>
      <c r="V241" s="129" t="s">
        <v>749</v>
      </c>
      <c r="W241" s="132" t="s">
        <v>749</v>
      </c>
      <c r="X241" s="428">
        <v>0</v>
      </c>
      <c r="Y241" s="411">
        <v>1</v>
      </c>
      <c r="Z241" s="313">
        <v>0</v>
      </c>
      <c r="AA241" s="814">
        <v>2.9630917874396139</v>
      </c>
      <c r="AB241" s="438">
        <v>3</v>
      </c>
      <c r="AC241" s="413">
        <v>0</v>
      </c>
      <c r="AD241" s="132">
        <v>0</v>
      </c>
      <c r="AE241" s="431">
        <v>0</v>
      </c>
      <c r="AF241" s="441" t="s">
        <v>1804</v>
      </c>
    </row>
    <row r="242" spans="1:32" ht="27" customHeight="1">
      <c r="A242" s="331" t="s">
        <v>2288</v>
      </c>
      <c r="B242" s="332">
        <v>11</v>
      </c>
      <c r="C242" s="331" t="s">
        <v>2289</v>
      </c>
      <c r="D242" s="340">
        <v>11</v>
      </c>
      <c r="E242" s="340" t="s">
        <v>365</v>
      </c>
      <c r="F242" s="344">
        <v>44820</v>
      </c>
      <c r="G242" s="314" t="s">
        <v>2290</v>
      </c>
      <c r="H242" s="314" t="s">
        <v>1905</v>
      </c>
      <c r="I242" s="395">
        <v>15</v>
      </c>
      <c r="J242" s="392" t="s">
        <v>1750</v>
      </c>
      <c r="K242" s="392">
        <v>0.5</v>
      </c>
      <c r="L242" s="389" t="e">
        <v>#VALUE!</v>
      </c>
      <c r="M242" s="345">
        <v>20</v>
      </c>
      <c r="N242" s="345">
        <v>100</v>
      </c>
      <c r="O242" s="345" t="s">
        <v>1711</v>
      </c>
      <c r="P242" s="345">
        <v>90</v>
      </c>
      <c r="Q242" s="183" t="s">
        <v>1707</v>
      </c>
      <c r="R242" s="358">
        <v>0</v>
      </c>
      <c r="S242" s="788">
        <v>0</v>
      </c>
      <c r="T242" s="417">
        <v>0</v>
      </c>
      <c r="U242" s="392">
        <v>0</v>
      </c>
      <c r="V242" s="129" t="s">
        <v>749</v>
      </c>
      <c r="W242" s="132" t="s">
        <v>749</v>
      </c>
      <c r="X242" s="428">
        <v>0</v>
      </c>
      <c r="Y242" s="411">
        <v>1</v>
      </c>
      <c r="Z242" s="313">
        <v>0</v>
      </c>
      <c r="AA242" s="814">
        <v>4.6272081218274117</v>
      </c>
      <c r="AB242" s="438">
        <v>3</v>
      </c>
      <c r="AC242" s="413">
        <v>0</v>
      </c>
      <c r="AD242" s="132">
        <v>0</v>
      </c>
      <c r="AE242" s="431">
        <v>0</v>
      </c>
      <c r="AF242" s="441" t="s">
        <v>1804</v>
      </c>
    </row>
    <row r="243" spans="1:32" ht="27" customHeight="1">
      <c r="A243" s="331" t="s">
        <v>2288</v>
      </c>
      <c r="B243" s="332">
        <v>11</v>
      </c>
      <c r="C243" s="331" t="s">
        <v>2289</v>
      </c>
      <c r="D243" s="340">
        <v>12</v>
      </c>
      <c r="E243" s="340" t="s">
        <v>366</v>
      </c>
      <c r="F243" s="344">
        <v>44820</v>
      </c>
      <c r="G243" s="314" t="s">
        <v>2290</v>
      </c>
      <c r="H243" s="314" t="s">
        <v>1905</v>
      </c>
      <c r="I243" s="395">
        <v>15</v>
      </c>
      <c r="J243" s="390">
        <v>30</v>
      </c>
      <c r="K243" s="390">
        <v>40</v>
      </c>
      <c r="L243" s="389">
        <v>-10</v>
      </c>
      <c r="M243" s="345">
        <v>90</v>
      </c>
      <c r="N243" s="345">
        <v>100</v>
      </c>
      <c r="O243" s="345">
        <v>10</v>
      </c>
      <c r="P243" s="345">
        <v>40</v>
      </c>
      <c r="Q243" s="314" t="s">
        <v>1740</v>
      </c>
      <c r="R243" s="361" t="s">
        <v>1750</v>
      </c>
      <c r="S243" s="790">
        <v>0.5</v>
      </c>
      <c r="T243" s="417">
        <v>38</v>
      </c>
      <c r="U243" s="392">
        <v>0</v>
      </c>
      <c r="V243" s="129" t="s">
        <v>749</v>
      </c>
      <c r="W243" s="132" t="s">
        <v>749</v>
      </c>
      <c r="X243" s="428">
        <v>0</v>
      </c>
      <c r="Y243" s="411">
        <v>1</v>
      </c>
      <c r="Z243" s="313">
        <v>0</v>
      </c>
      <c r="AA243" s="814">
        <v>3.5657538035961278</v>
      </c>
      <c r="AB243" s="438">
        <v>3</v>
      </c>
      <c r="AC243" s="413">
        <v>0</v>
      </c>
      <c r="AD243" s="132">
        <v>0</v>
      </c>
      <c r="AE243" s="431">
        <v>0</v>
      </c>
      <c r="AF243" s="441" t="s">
        <v>1804</v>
      </c>
    </row>
    <row r="244" spans="1:32" ht="27" customHeight="1">
      <c r="A244" s="331" t="s">
        <v>2288</v>
      </c>
      <c r="B244" s="332">
        <v>11</v>
      </c>
      <c r="C244" s="331" t="s">
        <v>2289</v>
      </c>
      <c r="D244" s="340">
        <v>13</v>
      </c>
      <c r="E244" s="340" t="s">
        <v>368</v>
      </c>
      <c r="F244" s="344">
        <v>44820</v>
      </c>
      <c r="G244" s="314" t="s">
        <v>2290</v>
      </c>
      <c r="H244" s="314" t="s">
        <v>1905</v>
      </c>
      <c r="I244" s="395">
        <v>15</v>
      </c>
      <c r="J244" s="390">
        <v>50</v>
      </c>
      <c r="K244" s="390">
        <v>40</v>
      </c>
      <c r="L244" s="389">
        <v>10</v>
      </c>
      <c r="M244" s="345">
        <v>90</v>
      </c>
      <c r="N244" s="345">
        <v>100</v>
      </c>
      <c r="O244" s="345">
        <v>15</v>
      </c>
      <c r="P244" s="345">
        <v>20</v>
      </c>
      <c r="Q244" s="183" t="s">
        <v>2182</v>
      </c>
      <c r="R244" s="358">
        <v>7</v>
      </c>
      <c r="S244" s="788">
        <v>7</v>
      </c>
      <c r="T244" s="417">
        <v>66</v>
      </c>
      <c r="U244" s="392">
        <v>0</v>
      </c>
      <c r="V244" s="129" t="s">
        <v>749</v>
      </c>
      <c r="W244" s="132" t="s">
        <v>749</v>
      </c>
      <c r="X244" s="428">
        <v>0</v>
      </c>
      <c r="Y244" s="411">
        <v>1</v>
      </c>
      <c r="Z244" s="313">
        <v>0</v>
      </c>
      <c r="AA244" s="814">
        <v>3.7282795698924729</v>
      </c>
      <c r="AB244" s="438">
        <v>3</v>
      </c>
      <c r="AC244" s="413">
        <v>0</v>
      </c>
      <c r="AD244" s="132">
        <v>0</v>
      </c>
      <c r="AE244" s="431">
        <v>0</v>
      </c>
      <c r="AF244" s="441" t="s">
        <v>1804</v>
      </c>
    </row>
    <row r="245" spans="1:32" ht="27" customHeight="1">
      <c r="A245" s="331" t="s">
        <v>2288</v>
      </c>
      <c r="B245" s="332">
        <v>11</v>
      </c>
      <c r="C245" s="331" t="s">
        <v>2289</v>
      </c>
      <c r="D245" s="340">
        <v>14</v>
      </c>
      <c r="E245" s="340" t="s">
        <v>370</v>
      </c>
      <c r="F245" s="344">
        <v>44820</v>
      </c>
      <c r="G245" s="314" t="s">
        <v>2290</v>
      </c>
      <c r="H245" s="314" t="s">
        <v>1905</v>
      </c>
      <c r="I245" s="395">
        <v>15</v>
      </c>
      <c r="J245" s="390">
        <v>5</v>
      </c>
      <c r="K245" s="390">
        <v>5</v>
      </c>
      <c r="L245" s="389">
        <v>0</v>
      </c>
      <c r="M245" s="345">
        <v>70</v>
      </c>
      <c r="N245" s="345">
        <v>100</v>
      </c>
      <c r="O245" s="345">
        <v>5</v>
      </c>
      <c r="P245" s="345">
        <v>70</v>
      </c>
      <c r="Q245" s="183" t="s">
        <v>1707</v>
      </c>
      <c r="R245" s="361">
        <v>0</v>
      </c>
      <c r="S245" s="790">
        <v>0</v>
      </c>
      <c r="T245" s="417">
        <v>0</v>
      </c>
      <c r="U245" s="392">
        <v>0</v>
      </c>
      <c r="V245" s="129" t="s">
        <v>749</v>
      </c>
      <c r="W245" s="132" t="s">
        <v>749</v>
      </c>
      <c r="X245" s="428">
        <v>0</v>
      </c>
      <c r="Y245" s="411">
        <v>1</v>
      </c>
      <c r="Z245" s="313">
        <v>0</v>
      </c>
      <c r="AA245" s="814">
        <v>1.5714319248826292</v>
      </c>
      <c r="AB245" s="438">
        <v>3</v>
      </c>
      <c r="AC245" s="413">
        <v>0</v>
      </c>
      <c r="AD245" s="132">
        <v>0</v>
      </c>
      <c r="AE245" s="431">
        <v>0</v>
      </c>
      <c r="AF245" s="441" t="s">
        <v>1804</v>
      </c>
    </row>
    <row r="246" spans="1:32" ht="27" customHeight="1">
      <c r="A246" s="331" t="s">
        <v>2288</v>
      </c>
      <c r="B246" s="332">
        <v>11</v>
      </c>
      <c r="C246" s="331" t="s">
        <v>2289</v>
      </c>
      <c r="D246" s="340">
        <v>15</v>
      </c>
      <c r="E246" s="340" t="s">
        <v>373</v>
      </c>
      <c r="F246" s="344">
        <v>44820</v>
      </c>
      <c r="G246" s="314" t="s">
        <v>2290</v>
      </c>
      <c r="H246" s="314" t="s">
        <v>1905</v>
      </c>
      <c r="I246" s="395">
        <v>15</v>
      </c>
      <c r="J246" s="392" t="s">
        <v>1750</v>
      </c>
      <c r="K246" s="392">
        <v>0.5</v>
      </c>
      <c r="L246" s="389" t="e">
        <v>#VALUE!</v>
      </c>
      <c r="M246" s="345">
        <v>70</v>
      </c>
      <c r="N246" s="345" t="s">
        <v>749</v>
      </c>
      <c r="O246" s="345">
        <v>5</v>
      </c>
      <c r="P246" s="345" t="s">
        <v>749</v>
      </c>
      <c r="Q246" s="183" t="s">
        <v>1707</v>
      </c>
      <c r="R246" s="358">
        <v>0</v>
      </c>
      <c r="S246" s="788">
        <v>0</v>
      </c>
      <c r="T246" s="417">
        <v>0</v>
      </c>
      <c r="U246" s="392">
        <v>0</v>
      </c>
      <c r="V246" s="129" t="s">
        <v>749</v>
      </c>
      <c r="W246" s="132" t="s">
        <v>749</v>
      </c>
      <c r="X246" s="428">
        <v>0</v>
      </c>
      <c r="Y246" s="411">
        <v>1</v>
      </c>
      <c r="Z246" s="313">
        <v>0</v>
      </c>
      <c r="AA246" s="814">
        <v>2.9793693693693699</v>
      </c>
      <c r="AB246" s="438">
        <v>3</v>
      </c>
      <c r="AC246" s="413">
        <v>0</v>
      </c>
      <c r="AD246" s="132">
        <v>0</v>
      </c>
      <c r="AE246" s="431">
        <v>0</v>
      </c>
      <c r="AF246" s="441" t="s">
        <v>1804</v>
      </c>
    </row>
    <row r="247" spans="1:32" ht="27" customHeight="1">
      <c r="A247" s="331" t="s">
        <v>2288</v>
      </c>
      <c r="B247" s="332">
        <v>11</v>
      </c>
      <c r="C247" s="331" t="s">
        <v>2289</v>
      </c>
      <c r="D247" s="340">
        <v>16</v>
      </c>
      <c r="E247" s="340" t="s">
        <v>375</v>
      </c>
      <c r="F247" s="344">
        <v>44820</v>
      </c>
      <c r="G247" s="314" t="s">
        <v>2290</v>
      </c>
      <c r="H247" s="314" t="s">
        <v>1905</v>
      </c>
      <c r="I247" s="395">
        <v>15</v>
      </c>
      <c r="J247" s="390">
        <v>20</v>
      </c>
      <c r="K247" s="390">
        <v>20</v>
      </c>
      <c r="L247" s="389">
        <v>0</v>
      </c>
      <c r="M247" s="345">
        <v>80</v>
      </c>
      <c r="N247" s="345">
        <v>100</v>
      </c>
      <c r="O247" s="345">
        <v>10</v>
      </c>
      <c r="P247" s="345">
        <v>50</v>
      </c>
      <c r="Q247" s="183" t="s">
        <v>1707</v>
      </c>
      <c r="R247" s="358" t="s">
        <v>1750</v>
      </c>
      <c r="S247" s="788">
        <v>0.5</v>
      </c>
      <c r="T247" s="417">
        <v>13</v>
      </c>
      <c r="U247" s="392">
        <v>0</v>
      </c>
      <c r="V247" s="129" t="s">
        <v>749</v>
      </c>
      <c r="W247" s="132" t="s">
        <v>749</v>
      </c>
      <c r="X247" s="428">
        <v>0</v>
      </c>
      <c r="Y247" s="411">
        <v>1</v>
      </c>
      <c r="Z247" s="313">
        <v>0</v>
      </c>
      <c r="AA247" s="814">
        <v>6.7672636815920395</v>
      </c>
      <c r="AB247" s="438">
        <v>4</v>
      </c>
      <c r="AC247" s="413">
        <v>0</v>
      </c>
      <c r="AD247" s="132">
        <v>0</v>
      </c>
      <c r="AE247" s="431">
        <v>0</v>
      </c>
      <c r="AF247" s="441" t="s">
        <v>1804</v>
      </c>
    </row>
    <row r="248" spans="1:32" ht="27" customHeight="1">
      <c r="A248" s="331" t="s">
        <v>2288</v>
      </c>
      <c r="B248" s="332">
        <v>11</v>
      </c>
      <c r="C248" s="331" t="s">
        <v>2289</v>
      </c>
      <c r="D248" s="340">
        <v>17</v>
      </c>
      <c r="E248" s="340" t="s">
        <v>376</v>
      </c>
      <c r="F248" s="344">
        <v>44820</v>
      </c>
      <c r="G248" s="314" t="s">
        <v>2290</v>
      </c>
      <c r="H248" s="314" t="s">
        <v>1905</v>
      </c>
      <c r="I248" s="395">
        <v>15</v>
      </c>
      <c r="J248" s="390">
        <v>70</v>
      </c>
      <c r="K248" s="390">
        <v>70</v>
      </c>
      <c r="L248" s="389">
        <v>0</v>
      </c>
      <c r="M248" s="345">
        <v>40</v>
      </c>
      <c r="N248" s="345">
        <v>50</v>
      </c>
      <c r="O248" s="345" t="s">
        <v>1711</v>
      </c>
      <c r="P248" s="345">
        <v>20</v>
      </c>
      <c r="Q248" s="183" t="s">
        <v>1876</v>
      </c>
      <c r="R248" s="361" t="s">
        <v>1750</v>
      </c>
      <c r="S248" s="790">
        <v>0.5</v>
      </c>
      <c r="T248" s="417">
        <v>0</v>
      </c>
      <c r="U248" s="392">
        <v>0</v>
      </c>
      <c r="V248" s="129" t="s">
        <v>749</v>
      </c>
      <c r="W248" s="132" t="s">
        <v>749</v>
      </c>
      <c r="X248" s="428">
        <v>0</v>
      </c>
      <c r="Y248" s="411">
        <v>1</v>
      </c>
      <c r="Z248" s="313">
        <v>0</v>
      </c>
      <c r="AA248" s="814">
        <v>40.602222222222224</v>
      </c>
      <c r="AB248" s="438" t="s">
        <v>1753</v>
      </c>
      <c r="AC248" s="413">
        <v>0</v>
      </c>
      <c r="AD248" s="132">
        <v>0</v>
      </c>
      <c r="AE248" s="431">
        <v>0</v>
      </c>
      <c r="AF248" s="441" t="s">
        <v>1804</v>
      </c>
    </row>
    <row r="249" spans="1:32" ht="27" customHeight="1">
      <c r="A249" s="331" t="s">
        <v>2288</v>
      </c>
      <c r="B249" s="332">
        <v>11</v>
      </c>
      <c r="C249" s="331" t="s">
        <v>2289</v>
      </c>
      <c r="D249" s="340">
        <v>18</v>
      </c>
      <c r="E249" s="340" t="s">
        <v>377</v>
      </c>
      <c r="F249" s="344">
        <v>44820</v>
      </c>
      <c r="G249" s="314" t="s">
        <v>2290</v>
      </c>
      <c r="H249" s="314" t="s">
        <v>1905</v>
      </c>
      <c r="I249" s="395">
        <v>15</v>
      </c>
      <c r="J249" s="390">
        <v>10</v>
      </c>
      <c r="K249" s="390">
        <v>5</v>
      </c>
      <c r="L249" s="389">
        <v>5</v>
      </c>
      <c r="M249" s="345">
        <v>80</v>
      </c>
      <c r="N249" s="345">
        <v>90</v>
      </c>
      <c r="O249" s="345">
        <v>10</v>
      </c>
      <c r="P249" s="345">
        <v>40</v>
      </c>
      <c r="Q249" s="183" t="s">
        <v>1707</v>
      </c>
      <c r="R249" s="358" t="s">
        <v>1750</v>
      </c>
      <c r="S249" s="788">
        <v>0.5</v>
      </c>
      <c r="T249" s="417">
        <v>0</v>
      </c>
      <c r="U249" s="392">
        <v>0</v>
      </c>
      <c r="V249" s="129" t="s">
        <v>749</v>
      </c>
      <c r="W249" s="132" t="s">
        <v>749</v>
      </c>
      <c r="X249" s="428">
        <v>0</v>
      </c>
      <c r="Y249" s="411">
        <v>1</v>
      </c>
      <c r="Z249" s="313">
        <v>0</v>
      </c>
      <c r="AA249" s="814">
        <v>1.1421943048576215</v>
      </c>
      <c r="AB249" s="438">
        <v>3</v>
      </c>
      <c r="AC249" s="413">
        <v>0</v>
      </c>
      <c r="AD249" s="132">
        <v>0</v>
      </c>
      <c r="AE249" s="431">
        <v>0</v>
      </c>
      <c r="AF249" s="441" t="s">
        <v>1804</v>
      </c>
    </row>
    <row r="250" spans="1:32" s="285" customFormat="1" ht="27" customHeight="1">
      <c r="A250" s="352" t="s">
        <v>2288</v>
      </c>
      <c r="B250" s="353">
        <v>11</v>
      </c>
      <c r="C250" s="352" t="s">
        <v>2289</v>
      </c>
      <c r="D250" s="340">
        <v>19</v>
      </c>
      <c r="E250" s="340" t="s">
        <v>378</v>
      </c>
      <c r="F250" s="344">
        <v>44877</v>
      </c>
      <c r="G250" s="314" t="s">
        <v>2290</v>
      </c>
      <c r="H250" s="314" t="s">
        <v>1905</v>
      </c>
      <c r="I250" s="395">
        <v>15</v>
      </c>
      <c r="J250" s="390">
        <v>70</v>
      </c>
      <c r="K250" s="390">
        <v>70</v>
      </c>
      <c r="L250" s="389">
        <v>0</v>
      </c>
      <c r="M250" s="345" t="s">
        <v>1711</v>
      </c>
      <c r="N250" s="345">
        <v>50</v>
      </c>
      <c r="O250" s="345" t="s">
        <v>1711</v>
      </c>
      <c r="P250" s="345">
        <v>50</v>
      </c>
      <c r="Q250" s="183" t="s">
        <v>1878</v>
      </c>
      <c r="R250" s="345" t="s">
        <v>1750</v>
      </c>
      <c r="S250" s="773">
        <v>0.5</v>
      </c>
      <c r="T250" s="417">
        <v>0</v>
      </c>
      <c r="U250" s="392">
        <v>0</v>
      </c>
      <c r="V250" s="129" t="s">
        <v>749</v>
      </c>
      <c r="W250" s="132" t="s">
        <v>749</v>
      </c>
      <c r="X250" s="428">
        <v>0</v>
      </c>
      <c r="Y250" s="411">
        <v>2</v>
      </c>
      <c r="Z250" s="313" t="s">
        <v>1750</v>
      </c>
      <c r="AA250" s="814">
        <v>3.9958371040723981</v>
      </c>
      <c r="AB250" s="438">
        <v>3</v>
      </c>
      <c r="AC250" s="413">
        <v>0</v>
      </c>
      <c r="AD250" s="132">
        <v>0</v>
      </c>
      <c r="AE250" s="431">
        <v>0</v>
      </c>
      <c r="AF250" s="441" t="s">
        <v>1804</v>
      </c>
    </row>
    <row r="251" spans="1:32" s="285" customFormat="1" ht="27" customHeight="1">
      <c r="A251" s="352" t="s">
        <v>2288</v>
      </c>
      <c r="B251" s="353">
        <v>11</v>
      </c>
      <c r="C251" s="352" t="s">
        <v>2289</v>
      </c>
      <c r="D251" s="340">
        <v>20</v>
      </c>
      <c r="E251" s="340" t="s">
        <v>379</v>
      </c>
      <c r="F251" s="344">
        <v>44877</v>
      </c>
      <c r="G251" s="314" t="s">
        <v>2290</v>
      </c>
      <c r="H251" s="314" t="s">
        <v>1905</v>
      </c>
      <c r="I251" s="395">
        <v>15</v>
      </c>
      <c r="J251" s="390">
        <v>20</v>
      </c>
      <c r="K251" s="390">
        <v>10</v>
      </c>
      <c r="L251" s="389">
        <v>10</v>
      </c>
      <c r="M251" s="345">
        <v>20</v>
      </c>
      <c r="N251" s="345">
        <v>90</v>
      </c>
      <c r="O251" s="345">
        <v>20</v>
      </c>
      <c r="P251" s="345">
        <v>90</v>
      </c>
      <c r="Q251" s="183" t="s">
        <v>1707</v>
      </c>
      <c r="R251" s="362">
        <v>0</v>
      </c>
      <c r="S251" s="791">
        <v>0</v>
      </c>
      <c r="T251" s="417">
        <v>0</v>
      </c>
      <c r="U251" s="392">
        <v>0</v>
      </c>
      <c r="V251" s="129" t="s">
        <v>749</v>
      </c>
      <c r="W251" s="132" t="s">
        <v>749</v>
      </c>
      <c r="X251" s="428">
        <v>0</v>
      </c>
      <c r="Y251" s="412">
        <v>1</v>
      </c>
      <c r="Z251" s="395">
        <v>0</v>
      </c>
      <c r="AA251" s="814">
        <v>3.4265829145728643</v>
      </c>
      <c r="AB251" s="438">
        <v>3</v>
      </c>
      <c r="AC251" s="413">
        <v>0</v>
      </c>
      <c r="AD251" s="132">
        <v>0</v>
      </c>
      <c r="AE251" s="431">
        <v>0</v>
      </c>
      <c r="AF251" s="441" t="s">
        <v>1924</v>
      </c>
    </row>
    <row r="252" spans="1:32" s="285" customFormat="1" ht="27" customHeight="1">
      <c r="A252" s="352" t="s">
        <v>2288</v>
      </c>
      <c r="B252" s="353">
        <v>11</v>
      </c>
      <c r="C252" s="352" t="s">
        <v>2289</v>
      </c>
      <c r="D252" s="340">
        <v>21</v>
      </c>
      <c r="E252" s="340" t="s">
        <v>380</v>
      </c>
      <c r="F252" s="344">
        <v>44877</v>
      </c>
      <c r="G252" s="314" t="s">
        <v>2290</v>
      </c>
      <c r="H252" s="314" t="s">
        <v>1905</v>
      </c>
      <c r="I252" s="395">
        <v>15</v>
      </c>
      <c r="J252" s="390">
        <v>20</v>
      </c>
      <c r="K252" s="390">
        <v>20</v>
      </c>
      <c r="L252" s="389">
        <v>0</v>
      </c>
      <c r="M252" s="345">
        <v>5</v>
      </c>
      <c r="N252" s="345">
        <v>80</v>
      </c>
      <c r="O252" s="345">
        <v>5</v>
      </c>
      <c r="P252" s="345">
        <v>80</v>
      </c>
      <c r="Q252" s="183" t="s">
        <v>1879</v>
      </c>
      <c r="R252" s="360">
        <v>0</v>
      </c>
      <c r="S252" s="792">
        <v>0</v>
      </c>
      <c r="T252" s="417">
        <v>0</v>
      </c>
      <c r="U252" s="392">
        <v>0</v>
      </c>
      <c r="V252" s="129" t="s">
        <v>749</v>
      </c>
      <c r="W252" s="132" t="s">
        <v>749</v>
      </c>
      <c r="X252" s="428">
        <v>0</v>
      </c>
      <c r="Y252" s="412">
        <v>1</v>
      </c>
      <c r="Z252" s="395">
        <v>0</v>
      </c>
      <c r="AA252" s="814">
        <v>15.319120879120879</v>
      </c>
      <c r="AB252" s="438" t="s">
        <v>1738</v>
      </c>
      <c r="AC252" s="413">
        <v>0</v>
      </c>
      <c r="AD252" s="132">
        <v>0</v>
      </c>
      <c r="AE252" s="431">
        <v>0</v>
      </c>
      <c r="AF252" s="441" t="s">
        <v>1804</v>
      </c>
    </row>
    <row r="253" spans="1:32" ht="27" customHeight="1">
      <c r="A253" s="331" t="s">
        <v>2288</v>
      </c>
      <c r="B253" s="332">
        <v>11</v>
      </c>
      <c r="C253" s="331" t="s">
        <v>2289</v>
      </c>
      <c r="D253" s="340">
        <v>22</v>
      </c>
      <c r="E253" s="340" t="s">
        <v>381</v>
      </c>
      <c r="F253" s="344">
        <v>44877</v>
      </c>
      <c r="G253" s="314" t="s">
        <v>2290</v>
      </c>
      <c r="H253" s="314" t="s">
        <v>1905</v>
      </c>
      <c r="I253" s="395">
        <v>15</v>
      </c>
      <c r="J253" s="392" t="s">
        <v>1711</v>
      </c>
      <c r="K253" s="392">
        <v>2.5</v>
      </c>
      <c r="L253" s="389" t="e">
        <v>#VALUE!</v>
      </c>
      <c r="M253" s="345">
        <v>5</v>
      </c>
      <c r="N253" s="345" t="s">
        <v>749</v>
      </c>
      <c r="O253" s="345">
        <v>5</v>
      </c>
      <c r="P253" s="345" t="s">
        <v>749</v>
      </c>
      <c r="Q253" s="183" t="s">
        <v>1707</v>
      </c>
      <c r="R253" s="345">
        <v>0</v>
      </c>
      <c r="S253" s="773">
        <v>0</v>
      </c>
      <c r="T253" s="417">
        <v>0</v>
      </c>
      <c r="U253" s="392">
        <v>0</v>
      </c>
      <c r="V253" s="129" t="s">
        <v>749</v>
      </c>
      <c r="W253" s="132" t="s">
        <v>749</v>
      </c>
      <c r="X253" s="428">
        <v>0</v>
      </c>
      <c r="Y253" s="411">
        <v>1</v>
      </c>
      <c r="Z253" s="313">
        <v>0</v>
      </c>
      <c r="AA253" s="814">
        <v>12.187479674796746</v>
      </c>
      <c r="AB253" s="438" t="s">
        <v>1738</v>
      </c>
      <c r="AC253" s="413">
        <v>0</v>
      </c>
      <c r="AD253" s="132">
        <v>0</v>
      </c>
      <c r="AE253" s="431">
        <v>0</v>
      </c>
      <c r="AF253" s="441" t="s">
        <v>1804</v>
      </c>
    </row>
    <row r="254" spans="1:32" s="285" customFormat="1" ht="27" customHeight="1">
      <c r="A254" s="352" t="s">
        <v>2288</v>
      </c>
      <c r="B254" s="353">
        <v>11</v>
      </c>
      <c r="C254" s="352" t="s">
        <v>2289</v>
      </c>
      <c r="D254" s="340">
        <v>23</v>
      </c>
      <c r="E254" s="340" t="s">
        <v>383</v>
      </c>
      <c r="F254" s="344">
        <v>44877</v>
      </c>
      <c r="G254" s="314" t="s">
        <v>2290</v>
      </c>
      <c r="H254" s="314" t="s">
        <v>1905</v>
      </c>
      <c r="I254" s="395">
        <v>15</v>
      </c>
      <c r="J254" s="390">
        <v>5</v>
      </c>
      <c r="K254" s="390">
        <v>10</v>
      </c>
      <c r="L254" s="389">
        <v>-5</v>
      </c>
      <c r="M254" s="345">
        <v>10</v>
      </c>
      <c r="N254" s="345">
        <v>90</v>
      </c>
      <c r="O254" s="345">
        <v>10</v>
      </c>
      <c r="P254" s="345">
        <v>90</v>
      </c>
      <c r="Q254" s="183" t="s">
        <v>1707</v>
      </c>
      <c r="R254" s="345" t="s">
        <v>1750</v>
      </c>
      <c r="S254" s="773">
        <v>0.5</v>
      </c>
      <c r="T254" s="417">
        <v>5</v>
      </c>
      <c r="U254" s="392">
        <v>0</v>
      </c>
      <c r="V254" s="129" t="s">
        <v>749</v>
      </c>
      <c r="W254" s="132" t="s">
        <v>749</v>
      </c>
      <c r="X254" s="428">
        <v>0</v>
      </c>
      <c r="Y254" s="411">
        <v>1</v>
      </c>
      <c r="Z254" s="313">
        <v>0</v>
      </c>
      <c r="AA254" s="814">
        <v>4.0602222222222224</v>
      </c>
      <c r="AB254" s="438">
        <v>3</v>
      </c>
      <c r="AC254" s="413">
        <v>0</v>
      </c>
      <c r="AD254" s="132">
        <v>0</v>
      </c>
      <c r="AE254" s="431">
        <v>0</v>
      </c>
      <c r="AF254" s="441" t="s">
        <v>1804</v>
      </c>
    </row>
    <row r="255" spans="1:32" ht="27" customHeight="1">
      <c r="A255" s="331" t="s">
        <v>2288</v>
      </c>
      <c r="B255" s="332">
        <v>11</v>
      </c>
      <c r="C255" s="331" t="s">
        <v>2289</v>
      </c>
      <c r="D255" s="340">
        <v>24</v>
      </c>
      <c r="E255" s="340" t="s">
        <v>384</v>
      </c>
      <c r="F255" s="344">
        <v>44877</v>
      </c>
      <c r="G255" s="314" t="s">
        <v>2290</v>
      </c>
      <c r="H255" s="314" t="s">
        <v>1905</v>
      </c>
      <c r="I255" s="395">
        <v>15</v>
      </c>
      <c r="J255" s="390">
        <v>30</v>
      </c>
      <c r="K255" s="390">
        <v>50</v>
      </c>
      <c r="L255" s="389">
        <v>-20</v>
      </c>
      <c r="M255" s="345">
        <v>30</v>
      </c>
      <c r="N255" s="345">
        <v>90</v>
      </c>
      <c r="O255" s="345">
        <v>30</v>
      </c>
      <c r="P255" s="345">
        <v>90</v>
      </c>
      <c r="Q255" s="314" t="s">
        <v>1740</v>
      </c>
      <c r="R255" s="345">
        <v>0</v>
      </c>
      <c r="S255" s="773">
        <v>0</v>
      </c>
      <c r="T255" s="417">
        <v>0</v>
      </c>
      <c r="U255" s="392">
        <v>0</v>
      </c>
      <c r="V255" s="129" t="s">
        <v>749</v>
      </c>
      <c r="W255" s="132" t="s">
        <v>749</v>
      </c>
      <c r="X255" s="428">
        <v>0</v>
      </c>
      <c r="Y255" s="411">
        <v>1</v>
      </c>
      <c r="Z255" s="313">
        <v>0</v>
      </c>
      <c r="AA255" s="814">
        <v>2.6018699186991867</v>
      </c>
      <c r="AB255" s="438">
        <v>3</v>
      </c>
      <c r="AC255" s="413">
        <v>0</v>
      </c>
      <c r="AD255" s="132">
        <v>0</v>
      </c>
      <c r="AE255" s="431">
        <v>0</v>
      </c>
      <c r="AF255" s="441" t="s">
        <v>1804</v>
      </c>
    </row>
    <row r="256" spans="1:32" ht="27" customHeight="1">
      <c r="A256" s="331" t="s">
        <v>2288</v>
      </c>
      <c r="B256" s="332">
        <v>11</v>
      </c>
      <c r="C256" s="331" t="s">
        <v>2289</v>
      </c>
      <c r="D256" s="340">
        <v>25</v>
      </c>
      <c r="E256" s="340" t="s">
        <v>385</v>
      </c>
      <c r="F256" s="344">
        <v>44877</v>
      </c>
      <c r="G256" s="314" t="s">
        <v>2290</v>
      </c>
      <c r="H256" s="314" t="s">
        <v>1905</v>
      </c>
      <c r="I256" s="395">
        <v>15</v>
      </c>
      <c r="J256" s="390">
        <v>20</v>
      </c>
      <c r="K256" s="390">
        <v>20</v>
      </c>
      <c r="L256" s="389">
        <v>0</v>
      </c>
      <c r="M256" s="345">
        <v>20</v>
      </c>
      <c r="N256" s="345" t="s">
        <v>749</v>
      </c>
      <c r="O256" s="345">
        <v>20</v>
      </c>
      <c r="P256" s="345" t="s">
        <v>749</v>
      </c>
      <c r="Q256" s="183" t="s">
        <v>1707</v>
      </c>
      <c r="R256" s="362">
        <v>0</v>
      </c>
      <c r="S256" s="791">
        <v>0</v>
      </c>
      <c r="T256" s="417">
        <v>0</v>
      </c>
      <c r="U256" s="392">
        <v>0</v>
      </c>
      <c r="V256" s="129" t="s">
        <v>749</v>
      </c>
      <c r="W256" s="132" t="s">
        <v>749</v>
      </c>
      <c r="X256" s="428">
        <v>0</v>
      </c>
      <c r="Y256" s="411">
        <v>1</v>
      </c>
      <c r="Z256" s="313">
        <v>0</v>
      </c>
      <c r="AA256" s="814">
        <v>14.151340206185569</v>
      </c>
      <c r="AB256" s="438" t="s">
        <v>1738</v>
      </c>
      <c r="AC256" s="413">
        <v>0</v>
      </c>
      <c r="AD256" s="132">
        <v>0</v>
      </c>
      <c r="AE256" s="431">
        <v>0</v>
      </c>
      <c r="AF256" s="441" t="s">
        <v>1804</v>
      </c>
    </row>
    <row r="257" spans="1:32" ht="27" customHeight="1">
      <c r="A257" s="331" t="s">
        <v>2288</v>
      </c>
      <c r="B257" s="332">
        <v>11</v>
      </c>
      <c r="C257" s="331" t="s">
        <v>2289</v>
      </c>
      <c r="D257" s="340">
        <v>26</v>
      </c>
      <c r="E257" s="340" t="s">
        <v>386</v>
      </c>
      <c r="F257" s="344">
        <v>44877</v>
      </c>
      <c r="G257" s="314" t="s">
        <v>2290</v>
      </c>
      <c r="H257" s="314" t="s">
        <v>1905</v>
      </c>
      <c r="I257" s="395">
        <v>15</v>
      </c>
      <c r="J257" s="390" t="s">
        <v>1711</v>
      </c>
      <c r="K257" s="390">
        <v>20</v>
      </c>
      <c r="L257" s="389" t="e">
        <v>#VALUE!</v>
      </c>
      <c r="M257" s="345">
        <v>70</v>
      </c>
      <c r="N257" s="345">
        <v>90</v>
      </c>
      <c r="O257" s="345">
        <v>70</v>
      </c>
      <c r="P257" s="345">
        <v>90</v>
      </c>
      <c r="Q257" s="183" t="s">
        <v>1707</v>
      </c>
      <c r="R257" s="345">
        <v>0</v>
      </c>
      <c r="S257" s="773">
        <v>0</v>
      </c>
      <c r="T257" s="417">
        <v>0</v>
      </c>
      <c r="U257" s="392">
        <v>0</v>
      </c>
      <c r="V257" s="129" t="s">
        <v>749</v>
      </c>
      <c r="W257" s="132" t="s">
        <v>749</v>
      </c>
      <c r="X257" s="428">
        <v>0</v>
      </c>
      <c r="Y257" s="411">
        <v>1</v>
      </c>
      <c r="Z257" s="313">
        <v>0</v>
      </c>
      <c r="AA257" s="814">
        <v>1.0129243027888446</v>
      </c>
      <c r="AB257" s="438">
        <v>3</v>
      </c>
      <c r="AC257" s="413">
        <v>0</v>
      </c>
      <c r="AD257" s="132">
        <v>0</v>
      </c>
      <c r="AE257" s="431">
        <v>0</v>
      </c>
      <c r="AF257" s="441" t="s">
        <v>1804</v>
      </c>
    </row>
    <row r="258" spans="1:32" s="285" customFormat="1" ht="27" customHeight="1">
      <c r="A258" s="352" t="s">
        <v>2288</v>
      </c>
      <c r="B258" s="353">
        <v>11</v>
      </c>
      <c r="C258" s="352" t="s">
        <v>2289</v>
      </c>
      <c r="D258" s="340">
        <v>27</v>
      </c>
      <c r="E258" s="340" t="s">
        <v>387</v>
      </c>
      <c r="F258" s="344">
        <v>44877</v>
      </c>
      <c r="G258" s="314" t="s">
        <v>2290</v>
      </c>
      <c r="H258" s="314" t="s">
        <v>1905</v>
      </c>
      <c r="I258" s="395">
        <v>15</v>
      </c>
      <c r="J258" s="390">
        <v>80</v>
      </c>
      <c r="K258" s="390">
        <v>80</v>
      </c>
      <c r="L258" s="389">
        <v>0</v>
      </c>
      <c r="M258" s="345">
        <v>5</v>
      </c>
      <c r="N258" s="345" t="s">
        <v>749</v>
      </c>
      <c r="O258" s="345" t="s">
        <v>1711</v>
      </c>
      <c r="P258" s="345" t="s">
        <v>749</v>
      </c>
      <c r="Q258" s="183" t="s">
        <v>1879</v>
      </c>
      <c r="R258" s="345">
        <v>0</v>
      </c>
      <c r="S258" s="773">
        <v>0</v>
      </c>
      <c r="T258" s="417">
        <v>0</v>
      </c>
      <c r="U258" s="392">
        <v>0</v>
      </c>
      <c r="V258" s="129" t="s">
        <v>749</v>
      </c>
      <c r="W258" s="132" t="s">
        <v>749</v>
      </c>
      <c r="X258" s="428">
        <v>0</v>
      </c>
      <c r="Y258" s="411">
        <v>2</v>
      </c>
      <c r="Z258" s="313" t="s">
        <v>1750</v>
      </c>
      <c r="AA258" s="814">
        <v>5.378333333333333</v>
      </c>
      <c r="AB258" s="438">
        <v>4</v>
      </c>
      <c r="AC258" s="413">
        <v>0</v>
      </c>
      <c r="AD258" s="132">
        <v>0</v>
      </c>
      <c r="AE258" s="431">
        <v>0</v>
      </c>
      <c r="AF258" s="441" t="s">
        <v>1924</v>
      </c>
    </row>
    <row r="259" spans="1:32" s="285" customFormat="1" ht="27" customHeight="1">
      <c r="A259" s="352" t="s">
        <v>2288</v>
      </c>
      <c r="B259" s="353">
        <v>11</v>
      </c>
      <c r="C259" s="352" t="s">
        <v>2289</v>
      </c>
      <c r="D259" s="340">
        <v>28</v>
      </c>
      <c r="E259" s="340" t="s">
        <v>388</v>
      </c>
      <c r="F259" s="344">
        <v>44877</v>
      </c>
      <c r="G259" s="314" t="s">
        <v>2290</v>
      </c>
      <c r="H259" s="314" t="s">
        <v>1905</v>
      </c>
      <c r="I259" s="395">
        <v>15</v>
      </c>
      <c r="J259" s="390">
        <v>50</v>
      </c>
      <c r="K259" s="390">
        <v>50</v>
      </c>
      <c r="L259" s="389">
        <v>0</v>
      </c>
      <c r="M259" s="345">
        <v>20</v>
      </c>
      <c r="N259" s="345">
        <v>50</v>
      </c>
      <c r="O259" s="345">
        <v>20</v>
      </c>
      <c r="P259" s="345">
        <v>50</v>
      </c>
      <c r="Q259" s="183" t="s">
        <v>1707</v>
      </c>
      <c r="R259" s="362" t="s">
        <v>1750</v>
      </c>
      <c r="S259" s="791">
        <v>0.5</v>
      </c>
      <c r="T259" s="417">
        <v>0</v>
      </c>
      <c r="U259" s="392">
        <v>0</v>
      </c>
      <c r="V259" s="129" t="s">
        <v>749</v>
      </c>
      <c r="W259" s="132" t="s">
        <v>749</v>
      </c>
      <c r="X259" s="428">
        <v>0</v>
      </c>
      <c r="Y259" s="411">
        <v>1</v>
      </c>
      <c r="Z259" s="313">
        <v>0</v>
      </c>
      <c r="AA259" s="814">
        <v>18.714586466165411</v>
      </c>
      <c r="AB259" s="438" t="s">
        <v>1738</v>
      </c>
      <c r="AC259" s="413">
        <v>0</v>
      </c>
      <c r="AD259" s="132">
        <v>0</v>
      </c>
      <c r="AE259" s="431">
        <v>0</v>
      </c>
      <c r="AF259" s="441" t="s">
        <v>1804</v>
      </c>
    </row>
    <row r="260" spans="1:32" ht="27" customHeight="1">
      <c r="A260" s="331" t="s">
        <v>2288</v>
      </c>
      <c r="B260" s="332">
        <v>11</v>
      </c>
      <c r="C260" s="331" t="s">
        <v>2289</v>
      </c>
      <c r="D260" s="340">
        <v>29</v>
      </c>
      <c r="E260" s="340" t="s">
        <v>389</v>
      </c>
      <c r="F260" s="344">
        <v>44877</v>
      </c>
      <c r="G260" s="314" t="s">
        <v>2290</v>
      </c>
      <c r="H260" s="314" t="s">
        <v>1905</v>
      </c>
      <c r="I260" s="395">
        <v>15</v>
      </c>
      <c r="J260" s="390">
        <v>40</v>
      </c>
      <c r="K260" s="390">
        <v>50</v>
      </c>
      <c r="L260" s="389">
        <v>-10</v>
      </c>
      <c r="M260" s="345">
        <v>20</v>
      </c>
      <c r="N260" s="345">
        <v>90</v>
      </c>
      <c r="O260" s="345">
        <v>20</v>
      </c>
      <c r="P260" s="345">
        <v>90</v>
      </c>
      <c r="Q260" s="183" t="s">
        <v>1876</v>
      </c>
      <c r="R260" s="362" t="s">
        <v>1750</v>
      </c>
      <c r="S260" s="791">
        <v>0.5</v>
      </c>
      <c r="T260" s="417">
        <v>0</v>
      </c>
      <c r="U260" s="392">
        <v>0</v>
      </c>
      <c r="V260" s="129" t="s">
        <v>749</v>
      </c>
      <c r="W260" s="132" t="s">
        <v>749</v>
      </c>
      <c r="X260" s="428">
        <v>0</v>
      </c>
      <c r="Y260" s="411">
        <v>1</v>
      </c>
      <c r="Z260" s="313">
        <v>0</v>
      </c>
      <c r="AA260" s="814">
        <v>28.859057591623035</v>
      </c>
      <c r="AB260" s="438" t="s">
        <v>1738</v>
      </c>
      <c r="AC260" s="413">
        <v>0</v>
      </c>
      <c r="AD260" s="132">
        <v>0</v>
      </c>
      <c r="AE260" s="431">
        <v>0</v>
      </c>
      <c r="AF260" s="441" t="s">
        <v>1804</v>
      </c>
    </row>
    <row r="261" spans="1:32" s="285" customFormat="1" ht="27" customHeight="1">
      <c r="A261" s="352" t="s">
        <v>2288</v>
      </c>
      <c r="B261" s="353">
        <v>11</v>
      </c>
      <c r="C261" s="352" t="s">
        <v>2289</v>
      </c>
      <c r="D261" s="340">
        <v>30</v>
      </c>
      <c r="E261" s="340" t="s">
        <v>391</v>
      </c>
      <c r="F261" s="344">
        <v>44843</v>
      </c>
      <c r="G261" s="314" t="s">
        <v>2290</v>
      </c>
      <c r="H261" s="314" t="s">
        <v>1905</v>
      </c>
      <c r="I261" s="395">
        <v>15</v>
      </c>
      <c r="J261" s="390">
        <v>20</v>
      </c>
      <c r="K261" s="390">
        <v>40</v>
      </c>
      <c r="L261" s="389">
        <v>-20</v>
      </c>
      <c r="M261" s="345">
        <v>70</v>
      </c>
      <c r="N261" s="345" t="s">
        <v>749</v>
      </c>
      <c r="O261" s="345">
        <v>60</v>
      </c>
      <c r="P261" s="345" t="s">
        <v>749</v>
      </c>
      <c r="Q261" s="183" t="s">
        <v>1880</v>
      </c>
      <c r="R261" s="345">
        <v>0</v>
      </c>
      <c r="S261" s="773">
        <v>0</v>
      </c>
      <c r="T261" s="417">
        <v>0</v>
      </c>
      <c r="U261" s="392">
        <v>0</v>
      </c>
      <c r="V261" s="129" t="s">
        <v>749</v>
      </c>
      <c r="W261" s="132" t="s">
        <v>749</v>
      </c>
      <c r="X261" s="428">
        <v>0</v>
      </c>
      <c r="Y261" s="411" t="s">
        <v>749</v>
      </c>
      <c r="Z261" s="313" t="s">
        <v>1944</v>
      </c>
      <c r="AA261" s="814">
        <v>19.97424657534247</v>
      </c>
      <c r="AB261" s="438" t="s">
        <v>1738</v>
      </c>
      <c r="AC261" s="413">
        <v>0</v>
      </c>
      <c r="AD261" s="132">
        <v>0</v>
      </c>
      <c r="AE261" s="431">
        <v>0</v>
      </c>
      <c r="AF261" s="441" t="s">
        <v>1924</v>
      </c>
    </row>
    <row r="262" spans="1:32" s="285" customFormat="1" ht="27" customHeight="1">
      <c r="A262" s="352" t="s">
        <v>2288</v>
      </c>
      <c r="B262" s="353">
        <v>11</v>
      </c>
      <c r="C262" s="352" t="s">
        <v>2289</v>
      </c>
      <c r="D262" s="340">
        <v>31</v>
      </c>
      <c r="E262" s="340" t="s">
        <v>392</v>
      </c>
      <c r="F262" s="344">
        <v>44843</v>
      </c>
      <c r="G262" s="314" t="s">
        <v>2290</v>
      </c>
      <c r="H262" s="314" t="s">
        <v>1905</v>
      </c>
      <c r="I262" s="395">
        <v>15</v>
      </c>
      <c r="J262" s="390">
        <v>50</v>
      </c>
      <c r="K262" s="390">
        <v>70</v>
      </c>
      <c r="L262" s="389">
        <v>-20</v>
      </c>
      <c r="M262" s="345">
        <v>70</v>
      </c>
      <c r="N262" s="345" t="s">
        <v>749</v>
      </c>
      <c r="O262" s="345">
        <v>60</v>
      </c>
      <c r="P262" s="345" t="s">
        <v>749</v>
      </c>
      <c r="Q262" s="183" t="s">
        <v>1879</v>
      </c>
      <c r="R262" s="345">
        <v>0</v>
      </c>
      <c r="S262" s="773">
        <v>0</v>
      </c>
      <c r="T262" s="417">
        <v>0</v>
      </c>
      <c r="U262" s="392">
        <v>0</v>
      </c>
      <c r="V262" s="129" t="s">
        <v>749</v>
      </c>
      <c r="W262" s="132" t="s">
        <v>749</v>
      </c>
      <c r="X262" s="428">
        <v>0</v>
      </c>
      <c r="Y262" s="412" t="s">
        <v>749</v>
      </c>
      <c r="Z262" s="395" t="s">
        <v>1944</v>
      </c>
      <c r="AA262" s="814">
        <v>20.258486055776892</v>
      </c>
      <c r="AB262" s="438" t="s">
        <v>1738</v>
      </c>
      <c r="AC262" s="413">
        <v>0</v>
      </c>
      <c r="AD262" s="132">
        <v>0</v>
      </c>
      <c r="AE262" s="431">
        <v>0</v>
      </c>
      <c r="AF262" s="441" t="s">
        <v>1804</v>
      </c>
    </row>
    <row r="263" spans="1:32" s="285" customFormat="1" ht="27" customHeight="1">
      <c r="A263" s="352" t="s">
        <v>2288</v>
      </c>
      <c r="B263" s="353">
        <v>11</v>
      </c>
      <c r="C263" s="352" t="s">
        <v>2289</v>
      </c>
      <c r="D263" s="340">
        <v>32</v>
      </c>
      <c r="E263" s="340" t="s">
        <v>393</v>
      </c>
      <c r="F263" s="344">
        <v>44843</v>
      </c>
      <c r="G263" s="314" t="s">
        <v>2290</v>
      </c>
      <c r="H263" s="314" t="s">
        <v>1905</v>
      </c>
      <c r="I263" s="395">
        <v>15</v>
      </c>
      <c r="J263" s="390">
        <v>30</v>
      </c>
      <c r="K263" s="390">
        <v>30</v>
      </c>
      <c r="L263" s="389">
        <v>0</v>
      </c>
      <c r="M263" s="345">
        <v>10</v>
      </c>
      <c r="N263" s="345">
        <v>10</v>
      </c>
      <c r="O263" s="345">
        <v>10</v>
      </c>
      <c r="P263" s="345">
        <v>10</v>
      </c>
      <c r="Q263" s="183" t="s">
        <v>1707</v>
      </c>
      <c r="R263" s="345" t="s">
        <v>1750</v>
      </c>
      <c r="S263" s="773">
        <v>0.5</v>
      </c>
      <c r="T263" s="417">
        <v>0</v>
      </c>
      <c r="U263" s="392">
        <v>0</v>
      </c>
      <c r="V263" s="129" t="s">
        <v>749</v>
      </c>
      <c r="W263" s="132" t="s">
        <v>749</v>
      </c>
      <c r="X263" s="428">
        <v>0</v>
      </c>
      <c r="Y263" s="411">
        <v>1</v>
      </c>
      <c r="Z263" s="313">
        <v>0</v>
      </c>
      <c r="AA263" s="814">
        <v>3.0145454545454546</v>
      </c>
      <c r="AB263" s="438">
        <v>3</v>
      </c>
      <c r="AC263" s="413">
        <v>0</v>
      </c>
      <c r="AD263" s="132">
        <v>0</v>
      </c>
      <c r="AE263" s="431">
        <v>0</v>
      </c>
      <c r="AF263" s="441" t="s">
        <v>1804</v>
      </c>
    </row>
    <row r="264" spans="1:32" ht="27" customHeight="1" thickBot="1">
      <c r="A264" s="474" t="s">
        <v>2288</v>
      </c>
      <c r="B264" s="475">
        <v>11</v>
      </c>
      <c r="C264" s="474" t="s">
        <v>2289</v>
      </c>
      <c r="D264" s="467">
        <v>33</v>
      </c>
      <c r="E264" s="467" t="s">
        <v>395</v>
      </c>
      <c r="F264" s="528">
        <v>44843</v>
      </c>
      <c r="G264" s="530" t="s">
        <v>2290</v>
      </c>
      <c r="H264" s="530" t="s">
        <v>1905</v>
      </c>
      <c r="I264" s="526">
        <v>15</v>
      </c>
      <c r="J264" s="497">
        <v>20</v>
      </c>
      <c r="K264" s="497">
        <v>30</v>
      </c>
      <c r="L264" s="389">
        <v>-10</v>
      </c>
      <c r="M264" s="544">
        <v>80</v>
      </c>
      <c r="N264" s="544">
        <v>80</v>
      </c>
      <c r="O264" s="544">
        <v>60</v>
      </c>
      <c r="P264" s="544">
        <v>70</v>
      </c>
      <c r="Q264" s="193" t="s">
        <v>1707</v>
      </c>
      <c r="R264" s="544">
        <v>3</v>
      </c>
      <c r="S264" s="774">
        <v>3</v>
      </c>
      <c r="T264" s="545">
        <v>20</v>
      </c>
      <c r="U264" s="481">
        <v>0</v>
      </c>
      <c r="V264" s="594" t="s">
        <v>749</v>
      </c>
      <c r="W264" s="583" t="s">
        <v>749</v>
      </c>
      <c r="X264" s="546">
        <v>0</v>
      </c>
      <c r="Y264" s="547">
        <v>1</v>
      </c>
      <c r="Z264" s="548">
        <v>0</v>
      </c>
      <c r="AA264" s="815" t="s">
        <v>749</v>
      </c>
      <c r="AB264" s="549" t="s">
        <v>749</v>
      </c>
      <c r="AC264" s="519">
        <v>0</v>
      </c>
      <c r="AD264" s="583">
        <v>0</v>
      </c>
      <c r="AE264" s="503">
        <v>4</v>
      </c>
      <c r="AF264" s="504" t="s">
        <v>1804</v>
      </c>
    </row>
    <row r="265" spans="1:32" ht="27" customHeight="1" thickTop="1">
      <c r="A265" s="382" t="s">
        <v>2291</v>
      </c>
      <c r="B265" s="383">
        <v>12</v>
      </c>
      <c r="C265" s="382" t="s">
        <v>2292</v>
      </c>
      <c r="D265" s="456">
        <v>1</v>
      </c>
      <c r="E265" s="456" t="s">
        <v>398</v>
      </c>
      <c r="F265" s="537">
        <v>44843</v>
      </c>
      <c r="G265" s="311" t="s">
        <v>2290</v>
      </c>
      <c r="H265" s="311" t="s">
        <v>1905</v>
      </c>
      <c r="I265" s="394">
        <v>15</v>
      </c>
      <c r="J265" s="523" t="s">
        <v>1750</v>
      </c>
      <c r="K265" s="523">
        <v>0.5</v>
      </c>
      <c r="L265" s="389" t="e">
        <v>#VALUE!</v>
      </c>
      <c r="M265" s="550">
        <v>20</v>
      </c>
      <c r="N265" s="550" t="s">
        <v>749</v>
      </c>
      <c r="O265" s="550">
        <v>10</v>
      </c>
      <c r="P265" s="550" t="s">
        <v>749</v>
      </c>
      <c r="Q265" s="180" t="s">
        <v>1707</v>
      </c>
      <c r="R265" s="550" t="s">
        <v>1750</v>
      </c>
      <c r="S265" s="772">
        <v>0.5</v>
      </c>
      <c r="T265" s="551">
        <v>0</v>
      </c>
      <c r="U265" s="523">
        <v>0</v>
      </c>
      <c r="V265" s="138" t="s">
        <v>749</v>
      </c>
      <c r="W265" s="141" t="s">
        <v>749</v>
      </c>
      <c r="X265" s="552">
        <v>0</v>
      </c>
      <c r="Y265" s="553">
        <v>1</v>
      </c>
      <c r="Z265" s="312">
        <v>0</v>
      </c>
      <c r="AA265" s="823">
        <v>0.99675590551181104</v>
      </c>
      <c r="AB265" s="554">
        <v>2</v>
      </c>
      <c r="AC265" s="524">
        <v>0</v>
      </c>
      <c r="AD265" s="141">
        <v>0</v>
      </c>
      <c r="AE265" s="464">
        <v>0</v>
      </c>
      <c r="AF265" s="513" t="s">
        <v>1804</v>
      </c>
    </row>
    <row r="266" spans="1:32" ht="27" customHeight="1">
      <c r="A266" s="331" t="s">
        <v>2291</v>
      </c>
      <c r="B266" s="332">
        <v>12</v>
      </c>
      <c r="C266" s="331" t="s">
        <v>2292</v>
      </c>
      <c r="D266" s="340">
        <v>2</v>
      </c>
      <c r="E266" s="340" t="s">
        <v>400</v>
      </c>
      <c r="F266" s="344">
        <v>44843</v>
      </c>
      <c r="G266" s="314" t="s">
        <v>2290</v>
      </c>
      <c r="H266" s="314" t="s">
        <v>1905</v>
      </c>
      <c r="I266" s="395">
        <v>15</v>
      </c>
      <c r="J266" s="390">
        <v>5</v>
      </c>
      <c r="K266" s="390">
        <v>5</v>
      </c>
      <c r="L266" s="389">
        <v>0</v>
      </c>
      <c r="M266" s="345">
        <v>50</v>
      </c>
      <c r="N266" s="345">
        <v>70</v>
      </c>
      <c r="O266" s="345">
        <v>30</v>
      </c>
      <c r="P266" s="345">
        <v>60</v>
      </c>
      <c r="Q266" s="183" t="s">
        <v>1707</v>
      </c>
      <c r="R266" s="345">
        <v>1</v>
      </c>
      <c r="S266" s="773">
        <v>1</v>
      </c>
      <c r="T266" s="417">
        <v>14.5</v>
      </c>
      <c r="U266" s="392">
        <v>0</v>
      </c>
      <c r="V266" s="129" t="s">
        <v>749</v>
      </c>
      <c r="W266" s="132" t="s">
        <v>749</v>
      </c>
      <c r="X266" s="428">
        <v>0</v>
      </c>
      <c r="Y266" s="411">
        <v>1</v>
      </c>
      <c r="Z266" s="313">
        <v>0</v>
      </c>
      <c r="AA266" s="814">
        <v>11.250344827586208</v>
      </c>
      <c r="AB266" s="438" t="s">
        <v>1738</v>
      </c>
      <c r="AC266" s="413">
        <v>0</v>
      </c>
      <c r="AD266" s="132">
        <v>0</v>
      </c>
      <c r="AE266" s="431">
        <v>0</v>
      </c>
      <c r="AF266" s="441" t="s">
        <v>1804</v>
      </c>
    </row>
    <row r="267" spans="1:32" ht="27" customHeight="1">
      <c r="A267" s="331" t="s">
        <v>2291</v>
      </c>
      <c r="B267" s="332">
        <v>12</v>
      </c>
      <c r="C267" s="331" t="s">
        <v>2292</v>
      </c>
      <c r="D267" s="340">
        <v>3</v>
      </c>
      <c r="E267" s="340" t="s">
        <v>402</v>
      </c>
      <c r="F267" s="344">
        <v>44843</v>
      </c>
      <c r="G267" s="314" t="s">
        <v>2290</v>
      </c>
      <c r="H267" s="314" t="s">
        <v>1905</v>
      </c>
      <c r="I267" s="395">
        <v>15</v>
      </c>
      <c r="J267" s="390">
        <v>10</v>
      </c>
      <c r="K267" s="390">
        <v>20</v>
      </c>
      <c r="L267" s="389">
        <v>-10</v>
      </c>
      <c r="M267" s="345">
        <v>60</v>
      </c>
      <c r="N267" s="345">
        <v>70</v>
      </c>
      <c r="O267" s="345">
        <v>60</v>
      </c>
      <c r="P267" s="345">
        <v>70</v>
      </c>
      <c r="Q267" s="314" t="s">
        <v>1707</v>
      </c>
      <c r="R267" s="345">
        <v>3</v>
      </c>
      <c r="S267" s="773">
        <v>3</v>
      </c>
      <c r="T267" s="417">
        <v>1.5</v>
      </c>
      <c r="U267" s="392">
        <v>0</v>
      </c>
      <c r="V267" s="129" t="s">
        <v>749</v>
      </c>
      <c r="W267" s="132" t="s">
        <v>749</v>
      </c>
      <c r="X267" s="428">
        <v>0</v>
      </c>
      <c r="Y267" s="411">
        <v>1</v>
      </c>
      <c r="Z267" s="313">
        <v>0</v>
      </c>
      <c r="AA267" s="814">
        <v>6.440095693779905</v>
      </c>
      <c r="AB267" s="438">
        <v>4</v>
      </c>
      <c r="AC267" s="413">
        <v>0</v>
      </c>
      <c r="AD267" s="132">
        <v>0</v>
      </c>
      <c r="AE267" s="431">
        <v>0</v>
      </c>
      <c r="AF267" s="441" t="s">
        <v>1804</v>
      </c>
    </row>
    <row r="268" spans="1:32" ht="27" customHeight="1">
      <c r="A268" s="331" t="s">
        <v>2291</v>
      </c>
      <c r="B268" s="332">
        <v>12</v>
      </c>
      <c r="C268" s="331" t="s">
        <v>2292</v>
      </c>
      <c r="D268" s="340">
        <v>4</v>
      </c>
      <c r="E268" s="340" t="s">
        <v>403</v>
      </c>
      <c r="F268" s="344">
        <v>44843</v>
      </c>
      <c r="G268" s="314" t="s">
        <v>2290</v>
      </c>
      <c r="H268" s="314" t="s">
        <v>1905</v>
      </c>
      <c r="I268" s="395">
        <v>15</v>
      </c>
      <c r="J268" s="392" t="s">
        <v>1711</v>
      </c>
      <c r="K268" s="392">
        <v>2.5</v>
      </c>
      <c r="L268" s="389" t="e">
        <v>#VALUE!</v>
      </c>
      <c r="M268" s="345">
        <v>50</v>
      </c>
      <c r="N268" s="345">
        <v>50</v>
      </c>
      <c r="O268" s="345">
        <v>50</v>
      </c>
      <c r="P268" s="345">
        <v>50</v>
      </c>
      <c r="Q268" s="183" t="s">
        <v>1707</v>
      </c>
      <c r="R268" s="345">
        <v>4</v>
      </c>
      <c r="S268" s="773">
        <v>4</v>
      </c>
      <c r="T268" s="417">
        <v>0</v>
      </c>
      <c r="U268" s="392">
        <v>0</v>
      </c>
      <c r="V268" s="129" t="s">
        <v>749</v>
      </c>
      <c r="W268" s="132" t="s">
        <v>749</v>
      </c>
      <c r="X268" s="428">
        <v>0</v>
      </c>
      <c r="Y268" s="411">
        <v>1</v>
      </c>
      <c r="Z268" s="313">
        <v>0</v>
      </c>
      <c r="AA268" s="814">
        <v>14.429528795811517</v>
      </c>
      <c r="AB268" s="438" t="s">
        <v>1738</v>
      </c>
      <c r="AC268" s="413">
        <v>0</v>
      </c>
      <c r="AD268" s="132">
        <v>0</v>
      </c>
      <c r="AE268" s="431">
        <v>0</v>
      </c>
      <c r="AF268" s="441" t="s">
        <v>1804</v>
      </c>
    </row>
    <row r="269" spans="1:32" ht="27" customHeight="1">
      <c r="A269" s="331" t="s">
        <v>2291</v>
      </c>
      <c r="B269" s="332">
        <v>12</v>
      </c>
      <c r="C269" s="331" t="s">
        <v>2292</v>
      </c>
      <c r="D269" s="340">
        <v>5</v>
      </c>
      <c r="E269" s="340" t="s">
        <v>404</v>
      </c>
      <c r="F269" s="344">
        <v>44843</v>
      </c>
      <c r="G269" s="314" t="s">
        <v>2290</v>
      </c>
      <c r="H269" s="314" t="s">
        <v>1905</v>
      </c>
      <c r="I269" s="395">
        <v>15</v>
      </c>
      <c r="J269" s="390" t="s">
        <v>1711</v>
      </c>
      <c r="K269" s="390">
        <v>80</v>
      </c>
      <c r="L269" s="389" t="e">
        <v>#VALUE!</v>
      </c>
      <c r="M269" s="345" t="s">
        <v>1945</v>
      </c>
      <c r="N269" s="345" t="s">
        <v>1945</v>
      </c>
      <c r="O269" s="345" t="s">
        <v>1945</v>
      </c>
      <c r="P269" s="345" t="s">
        <v>1945</v>
      </c>
      <c r="Q269" s="314" t="s">
        <v>1707</v>
      </c>
      <c r="R269" s="345">
        <v>3</v>
      </c>
      <c r="S269" s="773">
        <v>3</v>
      </c>
      <c r="T269" s="417">
        <v>0</v>
      </c>
      <c r="U269" s="392">
        <v>0</v>
      </c>
      <c r="V269" s="129" t="s">
        <v>749</v>
      </c>
      <c r="W269" s="132" t="s">
        <v>749</v>
      </c>
      <c r="X269" s="428">
        <v>0</v>
      </c>
      <c r="Y269" s="411">
        <v>1</v>
      </c>
      <c r="Z269" s="313">
        <v>0</v>
      </c>
      <c r="AA269" s="814">
        <v>3.8822222222222225</v>
      </c>
      <c r="AB269" s="438">
        <v>3</v>
      </c>
      <c r="AC269" s="413">
        <v>0</v>
      </c>
      <c r="AD269" s="132">
        <v>0</v>
      </c>
      <c r="AE269" s="431">
        <v>0</v>
      </c>
      <c r="AF269" s="441" t="s">
        <v>1804</v>
      </c>
    </row>
    <row r="270" spans="1:32" ht="27" customHeight="1">
      <c r="A270" s="331" t="s">
        <v>2291</v>
      </c>
      <c r="B270" s="332">
        <v>12</v>
      </c>
      <c r="C270" s="331" t="s">
        <v>2292</v>
      </c>
      <c r="D270" s="340">
        <v>6</v>
      </c>
      <c r="E270" s="340" t="s">
        <v>406</v>
      </c>
      <c r="F270" s="344">
        <v>44843</v>
      </c>
      <c r="G270" s="314" t="s">
        <v>2290</v>
      </c>
      <c r="H270" s="314" t="s">
        <v>1905</v>
      </c>
      <c r="I270" s="395">
        <v>15</v>
      </c>
      <c r="J270" s="390" t="s">
        <v>1711</v>
      </c>
      <c r="K270" s="390">
        <v>5</v>
      </c>
      <c r="L270" s="389" t="e">
        <v>#VALUE!</v>
      </c>
      <c r="M270" s="345">
        <v>20</v>
      </c>
      <c r="N270" s="345">
        <v>0</v>
      </c>
      <c r="O270" s="345">
        <v>20</v>
      </c>
      <c r="P270" s="345">
        <v>0</v>
      </c>
      <c r="Q270" s="183" t="s">
        <v>1707</v>
      </c>
      <c r="R270" s="362">
        <v>1</v>
      </c>
      <c r="S270" s="791">
        <v>1</v>
      </c>
      <c r="T270" s="417">
        <v>0</v>
      </c>
      <c r="U270" s="392">
        <v>0</v>
      </c>
      <c r="V270" s="129" t="s">
        <v>749</v>
      </c>
      <c r="W270" s="132" t="s">
        <v>749</v>
      </c>
      <c r="X270" s="428">
        <v>0</v>
      </c>
      <c r="Y270" s="411">
        <v>1</v>
      </c>
      <c r="Z270" s="313">
        <v>0</v>
      </c>
      <c r="AA270" s="814">
        <v>25.76038277511962</v>
      </c>
      <c r="AB270" s="438" t="s">
        <v>1738</v>
      </c>
      <c r="AC270" s="413">
        <v>0</v>
      </c>
      <c r="AD270" s="132">
        <v>0</v>
      </c>
      <c r="AE270" s="431">
        <v>0</v>
      </c>
      <c r="AF270" s="441" t="s">
        <v>1804</v>
      </c>
    </row>
    <row r="271" spans="1:32" ht="27" customHeight="1">
      <c r="A271" s="331" t="s">
        <v>2291</v>
      </c>
      <c r="B271" s="332">
        <v>12</v>
      </c>
      <c r="C271" s="331" t="s">
        <v>2292</v>
      </c>
      <c r="D271" s="340">
        <v>7</v>
      </c>
      <c r="E271" s="340" t="s">
        <v>407</v>
      </c>
      <c r="F271" s="344">
        <v>44856</v>
      </c>
      <c r="G271" s="314" t="s">
        <v>2290</v>
      </c>
      <c r="H271" s="314" t="s">
        <v>1905</v>
      </c>
      <c r="I271" s="395">
        <v>15</v>
      </c>
      <c r="J271" s="392" t="s">
        <v>1711</v>
      </c>
      <c r="K271" s="392">
        <v>2.5</v>
      </c>
      <c r="L271" s="389" t="e">
        <v>#VALUE!</v>
      </c>
      <c r="M271" s="345">
        <v>50</v>
      </c>
      <c r="N271" s="345">
        <v>80</v>
      </c>
      <c r="O271" s="345">
        <v>50</v>
      </c>
      <c r="P271" s="345">
        <v>80</v>
      </c>
      <c r="Q271" s="183" t="s">
        <v>1707</v>
      </c>
      <c r="R271" s="345">
        <v>1</v>
      </c>
      <c r="S271" s="773">
        <v>1</v>
      </c>
      <c r="T271" s="417">
        <v>25</v>
      </c>
      <c r="U271" s="392">
        <v>0</v>
      </c>
      <c r="V271" s="129" t="s">
        <v>749</v>
      </c>
      <c r="W271" s="132" t="s">
        <v>749</v>
      </c>
      <c r="X271" s="428">
        <v>0</v>
      </c>
      <c r="Y271" s="411">
        <v>1</v>
      </c>
      <c r="Z271" s="313">
        <v>0</v>
      </c>
      <c r="AA271" s="814">
        <v>28.898571428571426</v>
      </c>
      <c r="AB271" s="438" t="s">
        <v>1738</v>
      </c>
      <c r="AC271" s="413">
        <v>0</v>
      </c>
      <c r="AD271" s="132">
        <v>0</v>
      </c>
      <c r="AE271" s="431">
        <v>0</v>
      </c>
      <c r="AF271" s="441" t="s">
        <v>1804</v>
      </c>
    </row>
    <row r="272" spans="1:32" ht="27" customHeight="1">
      <c r="A272" s="331" t="s">
        <v>2291</v>
      </c>
      <c r="B272" s="332">
        <v>12</v>
      </c>
      <c r="C272" s="331" t="s">
        <v>2292</v>
      </c>
      <c r="D272" s="340">
        <v>8</v>
      </c>
      <c r="E272" s="340" t="s">
        <v>408</v>
      </c>
      <c r="F272" s="344">
        <v>44856</v>
      </c>
      <c r="G272" s="314" t="s">
        <v>2290</v>
      </c>
      <c r="H272" s="314" t="s">
        <v>1905</v>
      </c>
      <c r="I272" s="395">
        <v>15</v>
      </c>
      <c r="J272" s="390" t="s">
        <v>1711</v>
      </c>
      <c r="K272" s="390">
        <v>50</v>
      </c>
      <c r="L272" s="389" t="e">
        <v>#VALUE!</v>
      </c>
      <c r="M272" s="345">
        <v>90</v>
      </c>
      <c r="N272" s="345">
        <v>90</v>
      </c>
      <c r="O272" s="345">
        <v>90</v>
      </c>
      <c r="P272" s="345">
        <v>90</v>
      </c>
      <c r="Q272" s="314" t="s">
        <v>1707</v>
      </c>
      <c r="R272" s="345">
        <v>3</v>
      </c>
      <c r="S272" s="773">
        <v>3</v>
      </c>
      <c r="T272" s="417">
        <v>22</v>
      </c>
      <c r="U272" s="392">
        <v>0</v>
      </c>
      <c r="V272" s="129" t="s">
        <v>749</v>
      </c>
      <c r="W272" s="132" t="s">
        <v>749</v>
      </c>
      <c r="X272" s="428">
        <v>0</v>
      </c>
      <c r="Y272" s="411">
        <v>1</v>
      </c>
      <c r="Z272" s="313">
        <v>0</v>
      </c>
      <c r="AA272" s="814">
        <v>18.196744186046509</v>
      </c>
      <c r="AB272" s="438" t="s">
        <v>1738</v>
      </c>
      <c r="AC272" s="413">
        <v>0</v>
      </c>
      <c r="AD272" s="132">
        <v>0</v>
      </c>
      <c r="AE272" s="431">
        <v>0</v>
      </c>
      <c r="AF272" s="441" t="s">
        <v>1804</v>
      </c>
    </row>
    <row r="273" spans="1:32" ht="27" customHeight="1">
      <c r="A273" s="331" t="s">
        <v>2291</v>
      </c>
      <c r="B273" s="332">
        <v>12</v>
      </c>
      <c r="C273" s="331" t="s">
        <v>2292</v>
      </c>
      <c r="D273" s="340">
        <v>9</v>
      </c>
      <c r="E273" s="340" t="s">
        <v>409</v>
      </c>
      <c r="F273" s="344">
        <v>44856</v>
      </c>
      <c r="G273" s="314" t="s">
        <v>2290</v>
      </c>
      <c r="H273" s="314" t="s">
        <v>1905</v>
      </c>
      <c r="I273" s="395">
        <v>15</v>
      </c>
      <c r="J273" s="390">
        <v>10</v>
      </c>
      <c r="K273" s="390">
        <v>5</v>
      </c>
      <c r="L273" s="389">
        <v>5</v>
      </c>
      <c r="M273" s="345">
        <v>50</v>
      </c>
      <c r="N273" s="345">
        <v>80</v>
      </c>
      <c r="O273" s="345">
        <v>50</v>
      </c>
      <c r="P273" s="345">
        <v>70</v>
      </c>
      <c r="Q273" s="183" t="s">
        <v>1707</v>
      </c>
      <c r="R273" s="345">
        <v>2</v>
      </c>
      <c r="S273" s="773">
        <v>2</v>
      </c>
      <c r="T273" s="417">
        <v>7</v>
      </c>
      <c r="U273" s="392">
        <v>0</v>
      </c>
      <c r="V273" s="129" t="s">
        <v>749</v>
      </c>
      <c r="W273" s="132" t="s">
        <v>749</v>
      </c>
      <c r="X273" s="428">
        <v>0</v>
      </c>
      <c r="Y273" s="411">
        <v>1</v>
      </c>
      <c r="Z273" s="313">
        <v>0</v>
      </c>
      <c r="AA273" s="814">
        <v>24.650769230769232</v>
      </c>
      <c r="AB273" s="438" t="s">
        <v>1738</v>
      </c>
      <c r="AC273" s="413">
        <v>0</v>
      </c>
      <c r="AD273" s="132">
        <v>0</v>
      </c>
      <c r="AE273" s="431">
        <v>0</v>
      </c>
      <c r="AF273" s="441" t="s">
        <v>1804</v>
      </c>
    </row>
    <row r="274" spans="1:32" ht="27" customHeight="1">
      <c r="A274" s="331" t="s">
        <v>2291</v>
      </c>
      <c r="B274" s="332">
        <v>12</v>
      </c>
      <c r="C274" s="331" t="s">
        <v>2292</v>
      </c>
      <c r="D274" s="340">
        <v>10</v>
      </c>
      <c r="E274" s="340" t="s">
        <v>410</v>
      </c>
      <c r="F274" s="344">
        <v>44856</v>
      </c>
      <c r="G274" s="314" t="s">
        <v>2290</v>
      </c>
      <c r="H274" s="314" t="s">
        <v>1905</v>
      </c>
      <c r="I274" s="395">
        <v>15</v>
      </c>
      <c r="J274" s="390">
        <v>20</v>
      </c>
      <c r="K274" s="390">
        <v>30</v>
      </c>
      <c r="L274" s="389">
        <v>-10</v>
      </c>
      <c r="M274" s="345">
        <v>20</v>
      </c>
      <c r="N274" s="345">
        <v>50</v>
      </c>
      <c r="O274" s="345">
        <v>20</v>
      </c>
      <c r="P274" s="345">
        <v>50</v>
      </c>
      <c r="Q274" s="314" t="s">
        <v>1707</v>
      </c>
      <c r="R274" s="362">
        <v>6</v>
      </c>
      <c r="S274" s="791">
        <v>6</v>
      </c>
      <c r="T274" s="417">
        <v>85.5</v>
      </c>
      <c r="U274" s="392">
        <v>0</v>
      </c>
      <c r="V274" s="129" t="s">
        <v>749</v>
      </c>
      <c r="W274" s="132" t="s">
        <v>749</v>
      </c>
      <c r="X274" s="428">
        <v>0</v>
      </c>
      <c r="Y274" s="411">
        <v>1</v>
      </c>
      <c r="Z274" s="313">
        <v>0</v>
      </c>
      <c r="AA274" s="814">
        <v>10.760145985401461</v>
      </c>
      <c r="AB274" s="438" t="s">
        <v>1738</v>
      </c>
      <c r="AC274" s="413">
        <v>0</v>
      </c>
      <c r="AD274" s="132">
        <v>0</v>
      </c>
      <c r="AE274" s="431">
        <v>0</v>
      </c>
      <c r="AF274" s="441" t="s">
        <v>1804</v>
      </c>
    </row>
    <row r="275" spans="1:32" ht="27" customHeight="1">
      <c r="A275" s="331" t="s">
        <v>2291</v>
      </c>
      <c r="B275" s="332">
        <v>12</v>
      </c>
      <c r="C275" s="331" t="s">
        <v>2292</v>
      </c>
      <c r="D275" s="340">
        <v>11</v>
      </c>
      <c r="E275" s="340" t="s">
        <v>411</v>
      </c>
      <c r="F275" s="344">
        <v>44856</v>
      </c>
      <c r="G275" s="314" t="s">
        <v>2290</v>
      </c>
      <c r="H275" s="314" t="s">
        <v>1905</v>
      </c>
      <c r="I275" s="395">
        <v>15</v>
      </c>
      <c r="J275" s="390">
        <v>20</v>
      </c>
      <c r="K275" s="390">
        <v>30</v>
      </c>
      <c r="L275" s="389">
        <v>-10</v>
      </c>
      <c r="M275" s="345">
        <v>70</v>
      </c>
      <c r="N275" s="345">
        <v>70</v>
      </c>
      <c r="O275" s="345">
        <v>70</v>
      </c>
      <c r="P275" s="345">
        <v>70</v>
      </c>
      <c r="Q275" s="314" t="s">
        <v>2293</v>
      </c>
      <c r="R275" s="345" t="s">
        <v>1750</v>
      </c>
      <c r="S275" s="773">
        <v>0.5</v>
      </c>
      <c r="T275" s="417">
        <v>15</v>
      </c>
      <c r="U275" s="392">
        <v>0</v>
      </c>
      <c r="V275" s="129" t="s">
        <v>749</v>
      </c>
      <c r="W275" s="132" t="s">
        <v>749</v>
      </c>
      <c r="X275" s="428">
        <v>0</v>
      </c>
      <c r="Y275" s="411">
        <v>1</v>
      </c>
      <c r="Z275" s="313">
        <v>0</v>
      </c>
      <c r="AA275" s="814">
        <v>6.6004878048780498</v>
      </c>
      <c r="AB275" s="438">
        <v>4</v>
      </c>
      <c r="AC275" s="413">
        <v>0</v>
      </c>
      <c r="AD275" s="132">
        <v>0</v>
      </c>
      <c r="AE275" s="431">
        <v>0</v>
      </c>
      <c r="AF275" s="441" t="s">
        <v>1804</v>
      </c>
    </row>
    <row r="276" spans="1:32" ht="27" customHeight="1">
      <c r="A276" s="331" t="s">
        <v>2291</v>
      </c>
      <c r="B276" s="332">
        <v>12</v>
      </c>
      <c r="C276" s="331" t="s">
        <v>2292</v>
      </c>
      <c r="D276" s="340">
        <v>12</v>
      </c>
      <c r="E276" s="340" t="s">
        <v>412</v>
      </c>
      <c r="F276" s="344">
        <v>44856</v>
      </c>
      <c r="G276" s="314" t="s">
        <v>2290</v>
      </c>
      <c r="H276" s="314" t="s">
        <v>1905</v>
      </c>
      <c r="I276" s="395">
        <v>15</v>
      </c>
      <c r="J276" s="390" t="s">
        <v>1711</v>
      </c>
      <c r="K276" s="390">
        <v>80</v>
      </c>
      <c r="L276" s="389" t="e">
        <v>#VALUE!</v>
      </c>
      <c r="M276" s="345" t="s">
        <v>1945</v>
      </c>
      <c r="N276" s="345" t="s">
        <v>1945</v>
      </c>
      <c r="O276" s="345" t="s">
        <v>1945</v>
      </c>
      <c r="P276" s="345" t="s">
        <v>1945</v>
      </c>
      <c r="Q276" s="183" t="s">
        <v>1707</v>
      </c>
      <c r="R276" s="345">
        <v>1</v>
      </c>
      <c r="S276" s="773">
        <v>1</v>
      </c>
      <c r="T276" s="417">
        <v>0</v>
      </c>
      <c r="U276" s="392">
        <v>0</v>
      </c>
      <c r="V276" s="129" t="s">
        <v>749</v>
      </c>
      <c r="W276" s="132" t="s">
        <v>749</v>
      </c>
      <c r="X276" s="313">
        <v>0</v>
      </c>
      <c r="Y276" s="411">
        <v>1</v>
      </c>
      <c r="Z276" s="313">
        <v>0</v>
      </c>
      <c r="AA276" s="814">
        <v>45.52571428571428</v>
      </c>
      <c r="AB276" s="438" t="s">
        <v>1753</v>
      </c>
      <c r="AC276" s="413">
        <v>0</v>
      </c>
      <c r="AD276" s="132">
        <v>0</v>
      </c>
      <c r="AE276" s="431">
        <v>0</v>
      </c>
      <c r="AF276" s="441" t="s">
        <v>1804</v>
      </c>
    </row>
    <row r="277" spans="1:32" ht="27" customHeight="1">
      <c r="A277" s="331" t="s">
        <v>2291</v>
      </c>
      <c r="B277" s="332">
        <v>12</v>
      </c>
      <c r="C277" s="331" t="s">
        <v>2292</v>
      </c>
      <c r="D277" s="340">
        <v>13</v>
      </c>
      <c r="E277" s="340" t="s">
        <v>413</v>
      </c>
      <c r="F277" s="344">
        <v>44856</v>
      </c>
      <c r="G277" s="314" t="s">
        <v>2290</v>
      </c>
      <c r="H277" s="314" t="s">
        <v>1905</v>
      </c>
      <c r="I277" s="395">
        <v>15</v>
      </c>
      <c r="J277" s="390" t="s">
        <v>1711</v>
      </c>
      <c r="K277" s="390">
        <v>70</v>
      </c>
      <c r="L277" s="389" t="e">
        <v>#VALUE!</v>
      </c>
      <c r="M277" s="345" t="s">
        <v>1945</v>
      </c>
      <c r="N277" s="345" t="s">
        <v>1945</v>
      </c>
      <c r="O277" s="345" t="s">
        <v>1945</v>
      </c>
      <c r="P277" s="345" t="s">
        <v>1945</v>
      </c>
      <c r="Q277" s="314" t="s">
        <v>1707</v>
      </c>
      <c r="R277" s="345">
        <v>0</v>
      </c>
      <c r="S277" s="773">
        <v>0</v>
      </c>
      <c r="T277" s="417">
        <v>0</v>
      </c>
      <c r="U277" s="392">
        <v>0</v>
      </c>
      <c r="V277" s="129" t="s">
        <v>749</v>
      </c>
      <c r="W277" s="132" t="s">
        <v>749</v>
      </c>
      <c r="X277" s="428">
        <v>0</v>
      </c>
      <c r="Y277" s="411">
        <v>1</v>
      </c>
      <c r="Z277" s="313">
        <v>0</v>
      </c>
      <c r="AA277" s="814">
        <v>4.8164285714285713</v>
      </c>
      <c r="AB277" s="438">
        <v>3</v>
      </c>
      <c r="AC277" s="413">
        <v>0</v>
      </c>
      <c r="AD277" s="132">
        <v>0</v>
      </c>
      <c r="AE277" s="431">
        <v>0</v>
      </c>
      <c r="AF277" s="441" t="s">
        <v>1804</v>
      </c>
    </row>
    <row r="278" spans="1:32" ht="27" customHeight="1">
      <c r="A278" s="331" t="s">
        <v>2291</v>
      </c>
      <c r="B278" s="332">
        <v>12</v>
      </c>
      <c r="C278" s="331" t="s">
        <v>2292</v>
      </c>
      <c r="D278" s="340">
        <v>14</v>
      </c>
      <c r="E278" s="340" t="s">
        <v>414</v>
      </c>
      <c r="F278" s="344">
        <v>44856</v>
      </c>
      <c r="G278" s="314" t="s">
        <v>2290</v>
      </c>
      <c r="H278" s="314" t="s">
        <v>1905</v>
      </c>
      <c r="I278" s="395">
        <v>15</v>
      </c>
      <c r="J278" s="390">
        <v>5</v>
      </c>
      <c r="K278" s="390">
        <v>60</v>
      </c>
      <c r="L278" s="389">
        <v>-55</v>
      </c>
      <c r="M278" s="345">
        <v>80</v>
      </c>
      <c r="N278" s="345" t="s">
        <v>1945</v>
      </c>
      <c r="O278" s="345">
        <v>70</v>
      </c>
      <c r="P278" s="345">
        <v>90</v>
      </c>
      <c r="Q278" s="183" t="s">
        <v>1707</v>
      </c>
      <c r="R278" s="345">
        <v>2</v>
      </c>
      <c r="S278" s="773">
        <v>2</v>
      </c>
      <c r="T278" s="417">
        <v>39.5</v>
      </c>
      <c r="U278" s="392">
        <v>0</v>
      </c>
      <c r="V278" s="129" t="s">
        <v>749</v>
      </c>
      <c r="W278" s="132" t="s">
        <v>749</v>
      </c>
      <c r="X278" s="428">
        <v>0</v>
      </c>
      <c r="Y278" s="411">
        <v>1</v>
      </c>
      <c r="Z278" s="313">
        <v>0</v>
      </c>
      <c r="AA278" s="814" t="s">
        <v>749</v>
      </c>
      <c r="AB278" s="438" t="s">
        <v>749</v>
      </c>
      <c r="AC278" s="413">
        <v>0</v>
      </c>
      <c r="AD278" s="132">
        <v>0</v>
      </c>
      <c r="AE278" s="431">
        <v>0</v>
      </c>
      <c r="AF278" s="441" t="s">
        <v>1804</v>
      </c>
    </row>
    <row r="279" spans="1:32" ht="27" customHeight="1">
      <c r="A279" s="331" t="s">
        <v>2291</v>
      </c>
      <c r="B279" s="332">
        <v>12</v>
      </c>
      <c r="C279" s="331" t="s">
        <v>2292</v>
      </c>
      <c r="D279" s="340">
        <v>15</v>
      </c>
      <c r="E279" s="340" t="s">
        <v>415</v>
      </c>
      <c r="F279" s="344">
        <v>44856</v>
      </c>
      <c r="G279" s="314" t="s">
        <v>2290</v>
      </c>
      <c r="H279" s="314" t="s">
        <v>1905</v>
      </c>
      <c r="I279" s="395">
        <v>15</v>
      </c>
      <c r="J279" s="390">
        <v>10</v>
      </c>
      <c r="K279" s="390">
        <v>80</v>
      </c>
      <c r="L279" s="389">
        <v>-70</v>
      </c>
      <c r="M279" s="345">
        <v>90</v>
      </c>
      <c r="N279" s="345">
        <v>90</v>
      </c>
      <c r="O279" s="345">
        <v>80</v>
      </c>
      <c r="P279" s="345">
        <v>90</v>
      </c>
      <c r="Q279" s="183" t="s">
        <v>2182</v>
      </c>
      <c r="R279" s="345">
        <v>2</v>
      </c>
      <c r="S279" s="773">
        <v>2</v>
      </c>
      <c r="T279" s="417">
        <v>50</v>
      </c>
      <c r="U279" s="392">
        <v>0</v>
      </c>
      <c r="V279" s="129" t="s">
        <v>749</v>
      </c>
      <c r="W279" s="132" t="s">
        <v>749</v>
      </c>
      <c r="X279" s="428">
        <v>0</v>
      </c>
      <c r="Y279" s="411">
        <v>1</v>
      </c>
      <c r="Z279" s="313">
        <v>0</v>
      </c>
      <c r="AA279" s="814" t="s">
        <v>749</v>
      </c>
      <c r="AB279" s="438" t="s">
        <v>749</v>
      </c>
      <c r="AC279" s="413">
        <v>0</v>
      </c>
      <c r="AD279" s="132">
        <v>0</v>
      </c>
      <c r="AE279" s="431">
        <v>2</v>
      </c>
      <c r="AF279" s="441" t="s">
        <v>1804</v>
      </c>
    </row>
    <row r="280" spans="1:32" s="285" customFormat="1" ht="27" customHeight="1">
      <c r="A280" s="352" t="s">
        <v>2291</v>
      </c>
      <c r="B280" s="353">
        <v>12</v>
      </c>
      <c r="C280" s="352" t="s">
        <v>2292</v>
      </c>
      <c r="D280" s="340">
        <v>16</v>
      </c>
      <c r="E280" s="340" t="s">
        <v>416</v>
      </c>
      <c r="F280" s="344">
        <v>44873</v>
      </c>
      <c r="G280" s="314" t="s">
        <v>2290</v>
      </c>
      <c r="H280" s="314" t="s">
        <v>1905</v>
      </c>
      <c r="I280" s="395">
        <v>15</v>
      </c>
      <c r="J280" s="390">
        <v>20</v>
      </c>
      <c r="K280" s="390">
        <v>70</v>
      </c>
      <c r="L280" s="389">
        <v>-50</v>
      </c>
      <c r="M280" s="345">
        <v>70</v>
      </c>
      <c r="N280" s="345" t="s">
        <v>1945</v>
      </c>
      <c r="O280" s="345">
        <v>70</v>
      </c>
      <c r="P280" s="345" t="s">
        <v>1945</v>
      </c>
      <c r="Q280" s="183" t="s">
        <v>1879</v>
      </c>
      <c r="R280" s="362" t="s">
        <v>1750</v>
      </c>
      <c r="S280" s="791">
        <v>0.5</v>
      </c>
      <c r="T280" s="417">
        <v>0</v>
      </c>
      <c r="U280" s="392">
        <v>0</v>
      </c>
      <c r="V280" s="129" t="s">
        <v>749</v>
      </c>
      <c r="W280" s="132" t="s">
        <v>749</v>
      </c>
      <c r="X280" s="428">
        <v>0</v>
      </c>
      <c r="Y280" s="412">
        <v>2</v>
      </c>
      <c r="Z280" s="395" t="s">
        <v>1750</v>
      </c>
      <c r="AA280" s="814">
        <v>7.4901010101010108</v>
      </c>
      <c r="AB280" s="438">
        <v>4</v>
      </c>
      <c r="AC280" s="413">
        <v>0</v>
      </c>
      <c r="AD280" s="132">
        <v>0</v>
      </c>
      <c r="AE280" s="431">
        <v>5</v>
      </c>
      <c r="AF280" s="441" t="s">
        <v>1804</v>
      </c>
    </row>
    <row r="281" spans="1:32" s="285" customFormat="1" ht="27" customHeight="1">
      <c r="A281" s="352" t="s">
        <v>2291</v>
      </c>
      <c r="B281" s="353">
        <v>12</v>
      </c>
      <c r="C281" s="352" t="s">
        <v>2292</v>
      </c>
      <c r="D281" s="340">
        <v>17</v>
      </c>
      <c r="E281" s="340" t="s">
        <v>417</v>
      </c>
      <c r="F281" s="344">
        <v>44875</v>
      </c>
      <c r="G281" s="314" t="s">
        <v>2290</v>
      </c>
      <c r="H281" s="314" t="s">
        <v>1905</v>
      </c>
      <c r="I281" s="395">
        <v>15</v>
      </c>
      <c r="J281" s="390">
        <v>30</v>
      </c>
      <c r="K281" s="390">
        <v>50</v>
      </c>
      <c r="L281" s="389">
        <v>-20</v>
      </c>
      <c r="M281" s="345">
        <v>60</v>
      </c>
      <c r="N281" s="345">
        <v>80</v>
      </c>
      <c r="O281" s="345">
        <v>60</v>
      </c>
      <c r="P281" s="345">
        <v>80</v>
      </c>
      <c r="Q281" s="314" t="s">
        <v>1707</v>
      </c>
      <c r="R281" s="345">
        <v>4</v>
      </c>
      <c r="S281" s="773">
        <v>4</v>
      </c>
      <c r="T281" s="417">
        <v>39.4</v>
      </c>
      <c r="U281" s="392">
        <v>0</v>
      </c>
      <c r="V281" s="129" t="s">
        <v>749</v>
      </c>
      <c r="W281" s="132" t="s">
        <v>749</v>
      </c>
      <c r="X281" s="313">
        <v>0</v>
      </c>
      <c r="Y281" s="411">
        <v>1</v>
      </c>
      <c r="Z281" s="313">
        <v>0</v>
      </c>
      <c r="AA281" s="814" t="s">
        <v>749</v>
      </c>
      <c r="AB281" s="438" t="s">
        <v>749</v>
      </c>
      <c r="AC281" s="413">
        <v>0</v>
      </c>
      <c r="AD281" s="132">
        <v>0</v>
      </c>
      <c r="AE281" s="431">
        <v>0</v>
      </c>
      <c r="AF281" s="441" t="s">
        <v>1804</v>
      </c>
    </row>
    <row r="282" spans="1:32" s="285" customFormat="1" ht="27" customHeight="1">
      <c r="A282" s="352" t="s">
        <v>2291</v>
      </c>
      <c r="B282" s="353">
        <v>12</v>
      </c>
      <c r="C282" s="352" t="s">
        <v>2292</v>
      </c>
      <c r="D282" s="340">
        <v>18</v>
      </c>
      <c r="E282" s="340" t="s">
        <v>418</v>
      </c>
      <c r="F282" s="344">
        <v>44875</v>
      </c>
      <c r="G282" s="314" t="s">
        <v>2290</v>
      </c>
      <c r="H282" s="314" t="s">
        <v>1905</v>
      </c>
      <c r="I282" s="395">
        <v>15</v>
      </c>
      <c r="J282" s="390">
        <v>20</v>
      </c>
      <c r="K282" s="390">
        <v>60</v>
      </c>
      <c r="L282" s="389">
        <v>-40</v>
      </c>
      <c r="M282" s="345">
        <v>60</v>
      </c>
      <c r="N282" s="345">
        <v>90</v>
      </c>
      <c r="O282" s="345">
        <v>60</v>
      </c>
      <c r="P282" s="345">
        <v>90</v>
      </c>
      <c r="Q282" s="183" t="s">
        <v>2294</v>
      </c>
      <c r="R282" s="362" t="s">
        <v>1750</v>
      </c>
      <c r="S282" s="791">
        <v>0.5</v>
      </c>
      <c r="T282" s="417">
        <v>0</v>
      </c>
      <c r="U282" s="392">
        <v>0</v>
      </c>
      <c r="V282" s="129" t="s">
        <v>749</v>
      </c>
      <c r="W282" s="132" t="s">
        <v>749</v>
      </c>
      <c r="X282" s="428">
        <v>0</v>
      </c>
      <c r="Y282" s="411">
        <v>1</v>
      </c>
      <c r="Z282" s="313">
        <v>0</v>
      </c>
      <c r="AA282" s="814">
        <v>14.524210526315789</v>
      </c>
      <c r="AB282" s="438" t="s">
        <v>1738</v>
      </c>
      <c r="AC282" s="413">
        <v>0</v>
      </c>
      <c r="AD282" s="132">
        <v>0</v>
      </c>
      <c r="AE282" s="431">
        <v>0</v>
      </c>
      <c r="AF282" s="441" t="s">
        <v>1804</v>
      </c>
    </row>
    <row r="283" spans="1:32" s="285" customFormat="1" ht="27" customHeight="1">
      <c r="A283" s="352" t="s">
        <v>2291</v>
      </c>
      <c r="B283" s="353">
        <v>12</v>
      </c>
      <c r="C283" s="352" t="s">
        <v>2292</v>
      </c>
      <c r="D283" s="340">
        <v>19</v>
      </c>
      <c r="E283" s="340" t="s">
        <v>419</v>
      </c>
      <c r="F283" s="344">
        <v>44875</v>
      </c>
      <c r="G283" s="314" t="s">
        <v>2290</v>
      </c>
      <c r="H283" s="314" t="s">
        <v>1905</v>
      </c>
      <c r="I283" s="395">
        <v>15</v>
      </c>
      <c r="J283" s="390">
        <v>20</v>
      </c>
      <c r="K283" s="390">
        <v>40</v>
      </c>
      <c r="L283" s="389">
        <v>-20</v>
      </c>
      <c r="M283" s="345">
        <v>50</v>
      </c>
      <c r="N283" s="345">
        <v>40</v>
      </c>
      <c r="O283" s="345">
        <v>50</v>
      </c>
      <c r="P283" s="345">
        <v>40</v>
      </c>
      <c r="Q283" s="183" t="s">
        <v>1707</v>
      </c>
      <c r="R283" s="345">
        <v>1</v>
      </c>
      <c r="S283" s="773">
        <v>1</v>
      </c>
      <c r="T283" s="417">
        <v>0</v>
      </c>
      <c r="U283" s="392">
        <v>0</v>
      </c>
      <c r="V283" s="129" t="s">
        <v>749</v>
      </c>
      <c r="W283" s="132" t="s">
        <v>749</v>
      </c>
      <c r="X283" s="428">
        <v>0</v>
      </c>
      <c r="Y283" s="411">
        <v>2</v>
      </c>
      <c r="Z283" s="313" t="s">
        <v>1750</v>
      </c>
      <c r="AA283" s="814">
        <v>19.50040268456376</v>
      </c>
      <c r="AB283" s="438" t="s">
        <v>1738</v>
      </c>
      <c r="AC283" s="413">
        <v>0</v>
      </c>
      <c r="AD283" s="132">
        <v>0</v>
      </c>
      <c r="AE283" s="431">
        <v>0</v>
      </c>
      <c r="AF283" s="441" t="s">
        <v>1804</v>
      </c>
    </row>
    <row r="284" spans="1:32" ht="27" customHeight="1">
      <c r="A284" s="331" t="s">
        <v>2291</v>
      </c>
      <c r="B284" s="332">
        <v>12</v>
      </c>
      <c r="C284" s="331" t="s">
        <v>2292</v>
      </c>
      <c r="D284" s="340">
        <v>20</v>
      </c>
      <c r="E284" s="340" t="s">
        <v>420</v>
      </c>
      <c r="F284" s="344">
        <v>44875</v>
      </c>
      <c r="G284" s="314" t="s">
        <v>2290</v>
      </c>
      <c r="H284" s="314" t="s">
        <v>1905</v>
      </c>
      <c r="I284" s="395">
        <v>15</v>
      </c>
      <c r="J284" s="390">
        <v>30</v>
      </c>
      <c r="K284" s="390">
        <v>30</v>
      </c>
      <c r="L284" s="389">
        <v>0</v>
      </c>
      <c r="M284" s="345">
        <v>10</v>
      </c>
      <c r="N284" s="345">
        <v>20</v>
      </c>
      <c r="O284" s="345">
        <v>10</v>
      </c>
      <c r="P284" s="345">
        <v>20</v>
      </c>
      <c r="Q284" s="183" t="s">
        <v>1707</v>
      </c>
      <c r="R284" s="362" t="s">
        <v>1750</v>
      </c>
      <c r="S284" s="791">
        <v>0.5</v>
      </c>
      <c r="T284" s="417">
        <v>0</v>
      </c>
      <c r="U284" s="392">
        <v>0</v>
      </c>
      <c r="V284" s="129" t="s">
        <v>749</v>
      </c>
      <c r="W284" s="132" t="s">
        <v>749</v>
      </c>
      <c r="X284" s="428">
        <v>0</v>
      </c>
      <c r="Y284" s="411">
        <v>1</v>
      </c>
      <c r="Z284" s="313">
        <v>0</v>
      </c>
      <c r="AA284" s="814">
        <v>5.2037398373983734</v>
      </c>
      <c r="AB284" s="438">
        <v>4</v>
      </c>
      <c r="AC284" s="413">
        <v>0</v>
      </c>
      <c r="AD284" s="132">
        <v>0</v>
      </c>
      <c r="AE284" s="431">
        <v>0</v>
      </c>
      <c r="AF284" s="441" t="s">
        <v>1804</v>
      </c>
    </row>
    <row r="285" spans="1:32" ht="27" customHeight="1">
      <c r="A285" s="331" t="s">
        <v>2291</v>
      </c>
      <c r="B285" s="332">
        <v>12</v>
      </c>
      <c r="C285" s="331" t="s">
        <v>2292</v>
      </c>
      <c r="D285" s="340">
        <v>21</v>
      </c>
      <c r="E285" s="340" t="s">
        <v>421</v>
      </c>
      <c r="F285" s="344">
        <v>44875</v>
      </c>
      <c r="G285" s="314" t="s">
        <v>2290</v>
      </c>
      <c r="H285" s="314" t="s">
        <v>1905</v>
      </c>
      <c r="I285" s="395">
        <v>15</v>
      </c>
      <c r="J285" s="390">
        <v>10</v>
      </c>
      <c r="K285" s="390">
        <v>5</v>
      </c>
      <c r="L285" s="389">
        <v>5</v>
      </c>
      <c r="M285" s="345">
        <v>70</v>
      </c>
      <c r="N285" s="345">
        <v>80</v>
      </c>
      <c r="O285" s="345">
        <v>70</v>
      </c>
      <c r="P285" s="345">
        <v>80</v>
      </c>
      <c r="Q285" s="183" t="s">
        <v>2177</v>
      </c>
      <c r="R285" s="345">
        <v>4</v>
      </c>
      <c r="S285" s="773">
        <v>4</v>
      </c>
      <c r="T285" s="417">
        <v>1</v>
      </c>
      <c r="U285" s="392">
        <v>0</v>
      </c>
      <c r="V285" s="129" t="s">
        <v>749</v>
      </c>
      <c r="W285" s="132" t="s">
        <v>749</v>
      </c>
      <c r="X285" s="428">
        <v>0</v>
      </c>
      <c r="Y285" s="411">
        <v>1</v>
      </c>
      <c r="Z285" s="313">
        <v>0</v>
      </c>
      <c r="AA285" s="814">
        <v>1.272436018957346</v>
      </c>
      <c r="AB285" s="438">
        <v>3</v>
      </c>
      <c r="AC285" s="413">
        <v>0</v>
      </c>
      <c r="AD285" s="132">
        <v>0</v>
      </c>
      <c r="AE285" s="431">
        <v>0</v>
      </c>
      <c r="AF285" s="441" t="s">
        <v>1804</v>
      </c>
    </row>
    <row r="286" spans="1:32" ht="27" customHeight="1">
      <c r="A286" s="331" t="s">
        <v>2291</v>
      </c>
      <c r="B286" s="332">
        <v>12</v>
      </c>
      <c r="C286" s="331" t="s">
        <v>2292</v>
      </c>
      <c r="D286" s="340">
        <v>22</v>
      </c>
      <c r="E286" s="340" t="s">
        <v>422</v>
      </c>
      <c r="F286" s="344">
        <v>44875</v>
      </c>
      <c r="G286" s="314" t="s">
        <v>2290</v>
      </c>
      <c r="H286" s="314" t="s">
        <v>1905</v>
      </c>
      <c r="I286" s="395">
        <v>15</v>
      </c>
      <c r="J286" s="390">
        <v>10</v>
      </c>
      <c r="K286" s="390">
        <v>10</v>
      </c>
      <c r="L286" s="389">
        <v>0</v>
      </c>
      <c r="M286" s="345">
        <v>60</v>
      </c>
      <c r="N286" s="345">
        <v>80</v>
      </c>
      <c r="O286" s="345">
        <v>60</v>
      </c>
      <c r="P286" s="345">
        <v>80</v>
      </c>
      <c r="Q286" s="183" t="s">
        <v>1707</v>
      </c>
      <c r="R286" s="345">
        <v>3</v>
      </c>
      <c r="S286" s="773">
        <v>3</v>
      </c>
      <c r="T286" s="417">
        <v>0</v>
      </c>
      <c r="U286" s="392">
        <v>0</v>
      </c>
      <c r="V286" s="129" t="s">
        <v>749</v>
      </c>
      <c r="W286" s="132" t="s">
        <v>749</v>
      </c>
      <c r="X286" s="428">
        <v>0</v>
      </c>
      <c r="Y286" s="411">
        <v>1</v>
      </c>
      <c r="Z286" s="313">
        <v>0</v>
      </c>
      <c r="AA286" s="814">
        <v>10.491428571428571</v>
      </c>
      <c r="AB286" s="438" t="s">
        <v>1738</v>
      </c>
      <c r="AC286" s="413">
        <v>0</v>
      </c>
      <c r="AD286" s="132">
        <v>0</v>
      </c>
      <c r="AE286" s="431">
        <v>0</v>
      </c>
      <c r="AF286" s="441" t="s">
        <v>1804</v>
      </c>
    </row>
    <row r="287" spans="1:32" ht="27" customHeight="1">
      <c r="A287" s="331" t="s">
        <v>2291</v>
      </c>
      <c r="B287" s="332">
        <v>12</v>
      </c>
      <c r="C287" s="331" t="s">
        <v>2292</v>
      </c>
      <c r="D287" s="340">
        <v>23</v>
      </c>
      <c r="E287" s="340" t="s">
        <v>423</v>
      </c>
      <c r="F287" s="344">
        <v>44875</v>
      </c>
      <c r="G287" s="314" t="s">
        <v>2290</v>
      </c>
      <c r="H287" s="314" t="s">
        <v>1905</v>
      </c>
      <c r="I287" s="395">
        <v>15</v>
      </c>
      <c r="J287" s="392" t="s">
        <v>1750</v>
      </c>
      <c r="K287" s="392">
        <v>0.5</v>
      </c>
      <c r="L287" s="389" t="e">
        <v>#VALUE!</v>
      </c>
      <c r="M287" s="345">
        <v>5</v>
      </c>
      <c r="N287" s="345">
        <v>10</v>
      </c>
      <c r="O287" s="345">
        <v>5</v>
      </c>
      <c r="P287" s="345">
        <v>10</v>
      </c>
      <c r="Q287" s="183" t="s">
        <v>1707</v>
      </c>
      <c r="R287" s="345">
        <v>1</v>
      </c>
      <c r="S287" s="773">
        <v>1</v>
      </c>
      <c r="T287" s="417">
        <v>0</v>
      </c>
      <c r="U287" s="392">
        <v>0</v>
      </c>
      <c r="V287" s="129" t="s">
        <v>749</v>
      </c>
      <c r="W287" s="132" t="s">
        <v>749</v>
      </c>
      <c r="X287" s="428">
        <v>0</v>
      </c>
      <c r="Y287" s="411">
        <v>1</v>
      </c>
      <c r="Z287" s="313">
        <v>0</v>
      </c>
      <c r="AA287" s="814">
        <v>58.866382978723401</v>
      </c>
      <c r="AB287" s="438">
        <v>6</v>
      </c>
      <c r="AC287" s="413">
        <v>0</v>
      </c>
      <c r="AD287" s="132">
        <v>0</v>
      </c>
      <c r="AE287" s="431">
        <v>0</v>
      </c>
      <c r="AF287" s="441" t="s">
        <v>1804</v>
      </c>
    </row>
    <row r="288" spans="1:32" ht="27" customHeight="1">
      <c r="A288" s="331" t="s">
        <v>2291</v>
      </c>
      <c r="B288" s="332">
        <v>12</v>
      </c>
      <c r="C288" s="331" t="s">
        <v>2292</v>
      </c>
      <c r="D288" s="340">
        <v>24</v>
      </c>
      <c r="E288" s="340" t="s">
        <v>424</v>
      </c>
      <c r="F288" s="344">
        <v>44868</v>
      </c>
      <c r="G288" s="314" t="s">
        <v>2290</v>
      </c>
      <c r="H288" s="314" t="s">
        <v>1905</v>
      </c>
      <c r="I288" s="395">
        <v>15</v>
      </c>
      <c r="J288" s="390">
        <v>50</v>
      </c>
      <c r="K288" s="390">
        <v>60</v>
      </c>
      <c r="L288" s="389">
        <v>-10</v>
      </c>
      <c r="M288" s="345">
        <v>10</v>
      </c>
      <c r="N288" s="345">
        <v>30</v>
      </c>
      <c r="O288" s="345">
        <v>10</v>
      </c>
      <c r="P288" s="345">
        <v>30</v>
      </c>
      <c r="Q288" s="183" t="s">
        <v>1876</v>
      </c>
      <c r="R288" s="345" t="s">
        <v>1750</v>
      </c>
      <c r="S288" s="773">
        <v>0.5</v>
      </c>
      <c r="T288" s="417">
        <v>0</v>
      </c>
      <c r="U288" s="392">
        <v>0</v>
      </c>
      <c r="V288" s="129" t="s">
        <v>749</v>
      </c>
      <c r="W288" s="132" t="s">
        <v>749</v>
      </c>
      <c r="X288" s="428">
        <v>0</v>
      </c>
      <c r="Y288" s="411">
        <v>1</v>
      </c>
      <c r="Z288" s="313">
        <v>0</v>
      </c>
      <c r="AA288" s="814">
        <v>8.8601169590643263</v>
      </c>
      <c r="AB288" s="438">
        <v>4</v>
      </c>
      <c r="AC288" s="413">
        <v>0</v>
      </c>
      <c r="AD288" s="132">
        <v>0</v>
      </c>
      <c r="AE288" s="431">
        <v>0</v>
      </c>
      <c r="AF288" s="441" t="s">
        <v>1804</v>
      </c>
    </row>
    <row r="289" spans="1:32" ht="27" customHeight="1">
      <c r="A289" s="331" t="s">
        <v>2291</v>
      </c>
      <c r="B289" s="332">
        <v>12</v>
      </c>
      <c r="C289" s="331" t="s">
        <v>2292</v>
      </c>
      <c r="D289" s="340">
        <v>25</v>
      </c>
      <c r="E289" s="340" t="s">
        <v>425</v>
      </c>
      <c r="F289" s="344">
        <v>44868</v>
      </c>
      <c r="G289" s="314" t="s">
        <v>2290</v>
      </c>
      <c r="H289" s="314" t="s">
        <v>1905</v>
      </c>
      <c r="I289" s="395">
        <v>15</v>
      </c>
      <c r="J289" s="390">
        <v>20</v>
      </c>
      <c r="K289" s="390">
        <v>40</v>
      </c>
      <c r="L289" s="389">
        <v>-20</v>
      </c>
      <c r="M289" s="345">
        <v>70</v>
      </c>
      <c r="N289" s="345">
        <v>70</v>
      </c>
      <c r="O289" s="345">
        <v>70</v>
      </c>
      <c r="P289" s="345">
        <v>70</v>
      </c>
      <c r="Q289" s="183" t="s">
        <v>2177</v>
      </c>
      <c r="R289" s="345">
        <v>2</v>
      </c>
      <c r="S289" s="773">
        <v>2</v>
      </c>
      <c r="T289" s="417">
        <v>67.5</v>
      </c>
      <c r="U289" s="392">
        <v>0</v>
      </c>
      <c r="V289" s="129" t="s">
        <v>749</v>
      </c>
      <c r="W289" s="132" t="s">
        <v>749</v>
      </c>
      <c r="X289" s="428">
        <v>0</v>
      </c>
      <c r="Y289" s="411">
        <v>1</v>
      </c>
      <c r="Z289" s="313">
        <v>0</v>
      </c>
      <c r="AA289" s="814">
        <v>7.1128502415458943</v>
      </c>
      <c r="AB289" s="438">
        <v>4</v>
      </c>
      <c r="AC289" s="411">
        <v>0</v>
      </c>
      <c r="AD289" s="132">
        <v>0</v>
      </c>
      <c r="AE289" s="431">
        <v>2</v>
      </c>
      <c r="AF289" s="441" t="s">
        <v>1804</v>
      </c>
    </row>
    <row r="290" spans="1:32" ht="27" customHeight="1">
      <c r="A290" s="331" t="s">
        <v>2291</v>
      </c>
      <c r="B290" s="332">
        <v>12</v>
      </c>
      <c r="C290" s="331" t="s">
        <v>2292</v>
      </c>
      <c r="D290" s="340">
        <v>26</v>
      </c>
      <c r="E290" s="340" t="s">
        <v>426</v>
      </c>
      <c r="F290" s="344">
        <v>44868</v>
      </c>
      <c r="G290" s="314" t="s">
        <v>2290</v>
      </c>
      <c r="H290" s="314" t="s">
        <v>1905</v>
      </c>
      <c r="I290" s="395">
        <v>15</v>
      </c>
      <c r="J290" s="392" t="s">
        <v>1750</v>
      </c>
      <c r="K290" s="392">
        <v>0.5</v>
      </c>
      <c r="L290" s="389" t="e">
        <v>#VALUE!</v>
      </c>
      <c r="M290" s="345">
        <v>10</v>
      </c>
      <c r="N290" s="345">
        <v>10</v>
      </c>
      <c r="O290" s="345">
        <v>10</v>
      </c>
      <c r="P290" s="345">
        <v>10</v>
      </c>
      <c r="Q290" s="183" t="s">
        <v>1707</v>
      </c>
      <c r="R290" s="345" t="s">
        <v>1750</v>
      </c>
      <c r="S290" s="773">
        <v>0.5</v>
      </c>
      <c r="T290" s="417">
        <v>0</v>
      </c>
      <c r="U290" s="392">
        <v>0</v>
      </c>
      <c r="V290" s="129" t="s">
        <v>749</v>
      </c>
      <c r="W290" s="132" t="s">
        <v>749</v>
      </c>
      <c r="X290" s="428">
        <v>0</v>
      </c>
      <c r="Y290" s="411">
        <v>1</v>
      </c>
      <c r="Z290" s="313">
        <v>0</v>
      </c>
      <c r="AA290" s="814">
        <v>8.6956097560975625</v>
      </c>
      <c r="AB290" s="438">
        <v>4</v>
      </c>
      <c r="AC290" s="413">
        <v>0</v>
      </c>
      <c r="AD290" s="132">
        <v>0</v>
      </c>
      <c r="AE290" s="431">
        <v>0</v>
      </c>
      <c r="AF290" s="441" t="s">
        <v>1804</v>
      </c>
    </row>
    <row r="291" spans="1:32" ht="27" customHeight="1">
      <c r="A291" s="331" t="s">
        <v>2291</v>
      </c>
      <c r="B291" s="332">
        <v>12</v>
      </c>
      <c r="C291" s="331" t="s">
        <v>2292</v>
      </c>
      <c r="D291" s="340">
        <v>27</v>
      </c>
      <c r="E291" s="340" t="s">
        <v>427</v>
      </c>
      <c r="F291" s="344">
        <v>44876</v>
      </c>
      <c r="G291" s="314" t="s">
        <v>2290</v>
      </c>
      <c r="H291" s="314" t="s">
        <v>1905</v>
      </c>
      <c r="I291" s="395">
        <v>15</v>
      </c>
      <c r="J291" s="390">
        <v>20</v>
      </c>
      <c r="K291" s="390">
        <v>60</v>
      </c>
      <c r="L291" s="389">
        <v>-40</v>
      </c>
      <c r="M291" s="345">
        <v>70</v>
      </c>
      <c r="N291" s="345">
        <v>70</v>
      </c>
      <c r="O291" s="345">
        <v>70</v>
      </c>
      <c r="P291" s="345">
        <v>70</v>
      </c>
      <c r="Q291" s="314" t="s">
        <v>2295</v>
      </c>
      <c r="R291" s="345" t="s">
        <v>1750</v>
      </c>
      <c r="S291" s="773">
        <v>0.5</v>
      </c>
      <c r="T291" s="417">
        <v>0</v>
      </c>
      <c r="U291" s="392">
        <v>0</v>
      </c>
      <c r="V291" s="129" t="s">
        <v>749</v>
      </c>
      <c r="W291" s="132" t="s">
        <v>749</v>
      </c>
      <c r="X291" s="428">
        <v>0</v>
      </c>
      <c r="Y291" s="411">
        <v>1</v>
      </c>
      <c r="Z291" s="313">
        <v>0</v>
      </c>
      <c r="AA291" s="814" t="s">
        <v>749</v>
      </c>
      <c r="AB291" s="438" t="s">
        <v>749</v>
      </c>
      <c r="AC291" s="413">
        <v>0</v>
      </c>
      <c r="AD291" s="132">
        <v>0</v>
      </c>
      <c r="AE291" s="431">
        <v>0</v>
      </c>
      <c r="AF291" s="441" t="s">
        <v>1924</v>
      </c>
    </row>
    <row r="292" spans="1:32" s="285" customFormat="1" ht="27" customHeight="1">
      <c r="A292" s="352" t="s">
        <v>2291</v>
      </c>
      <c r="B292" s="353">
        <v>12</v>
      </c>
      <c r="C292" s="352" t="s">
        <v>2292</v>
      </c>
      <c r="D292" s="340">
        <v>28</v>
      </c>
      <c r="E292" s="340" t="s">
        <v>428</v>
      </c>
      <c r="F292" s="344">
        <v>44876</v>
      </c>
      <c r="G292" s="314" t="s">
        <v>2290</v>
      </c>
      <c r="H292" s="314" t="s">
        <v>1905</v>
      </c>
      <c r="I292" s="395">
        <v>15</v>
      </c>
      <c r="J292" s="390" t="s">
        <v>1750</v>
      </c>
      <c r="K292" s="390">
        <v>70</v>
      </c>
      <c r="L292" s="389" t="e">
        <v>#VALUE!</v>
      </c>
      <c r="M292" s="345" t="s">
        <v>1945</v>
      </c>
      <c r="N292" s="345" t="s">
        <v>1945</v>
      </c>
      <c r="O292" s="345" t="s">
        <v>1945</v>
      </c>
      <c r="P292" s="345" t="s">
        <v>1945</v>
      </c>
      <c r="Q292" s="314" t="s">
        <v>1707</v>
      </c>
      <c r="R292" s="345">
        <v>0</v>
      </c>
      <c r="S292" s="773">
        <v>0</v>
      </c>
      <c r="T292" s="417">
        <v>6.5</v>
      </c>
      <c r="U292" s="392">
        <v>0</v>
      </c>
      <c r="V292" s="129" t="s">
        <v>749</v>
      </c>
      <c r="W292" s="132" t="s">
        <v>749</v>
      </c>
      <c r="X292" s="428">
        <v>0</v>
      </c>
      <c r="Y292" s="411">
        <v>1</v>
      </c>
      <c r="Z292" s="313">
        <v>0</v>
      </c>
      <c r="AA292" s="814" t="s">
        <v>749</v>
      </c>
      <c r="AB292" s="438" t="s">
        <v>749</v>
      </c>
      <c r="AC292" s="413">
        <v>0</v>
      </c>
      <c r="AD292" s="132">
        <v>0</v>
      </c>
      <c r="AE292" s="431">
        <v>0</v>
      </c>
      <c r="AF292" s="441" t="s">
        <v>1804</v>
      </c>
    </row>
    <row r="293" spans="1:32" ht="27" customHeight="1">
      <c r="A293" s="331" t="s">
        <v>2291</v>
      </c>
      <c r="B293" s="332">
        <v>12</v>
      </c>
      <c r="C293" s="331" t="s">
        <v>2292</v>
      </c>
      <c r="D293" s="340">
        <v>29</v>
      </c>
      <c r="E293" s="340" t="s">
        <v>429</v>
      </c>
      <c r="F293" s="344">
        <v>44876</v>
      </c>
      <c r="G293" s="314" t="s">
        <v>2290</v>
      </c>
      <c r="H293" s="314" t="s">
        <v>1905</v>
      </c>
      <c r="I293" s="395">
        <v>15</v>
      </c>
      <c r="J293" s="390">
        <v>5</v>
      </c>
      <c r="K293" s="390">
        <v>50</v>
      </c>
      <c r="L293" s="389">
        <v>-45</v>
      </c>
      <c r="M293" s="345">
        <v>90</v>
      </c>
      <c r="N293" s="345">
        <v>90</v>
      </c>
      <c r="O293" s="345">
        <v>90</v>
      </c>
      <c r="P293" s="345">
        <v>90</v>
      </c>
      <c r="Q293" s="183" t="s">
        <v>1707</v>
      </c>
      <c r="R293" s="362">
        <v>0</v>
      </c>
      <c r="S293" s="791">
        <v>0</v>
      </c>
      <c r="T293" s="417">
        <v>5</v>
      </c>
      <c r="U293" s="392">
        <v>0</v>
      </c>
      <c r="V293" s="129" t="s">
        <v>749</v>
      </c>
      <c r="W293" s="132" t="s">
        <v>749</v>
      </c>
      <c r="X293" s="428">
        <v>0</v>
      </c>
      <c r="Y293" s="411">
        <v>3</v>
      </c>
      <c r="Z293" s="313" t="s">
        <v>1750</v>
      </c>
      <c r="AA293" s="814">
        <v>53.160701754385954</v>
      </c>
      <c r="AB293" s="438">
        <v>6</v>
      </c>
      <c r="AC293" s="413">
        <v>0</v>
      </c>
      <c r="AD293" s="132">
        <v>0</v>
      </c>
      <c r="AE293" s="431">
        <v>4</v>
      </c>
      <c r="AF293" s="441" t="s">
        <v>1804</v>
      </c>
    </row>
    <row r="294" spans="1:32" ht="27" customHeight="1">
      <c r="A294" s="331" t="s">
        <v>2291</v>
      </c>
      <c r="B294" s="332">
        <v>12</v>
      </c>
      <c r="C294" s="331" t="s">
        <v>2292</v>
      </c>
      <c r="D294" s="340">
        <v>30</v>
      </c>
      <c r="E294" s="340" t="s">
        <v>431</v>
      </c>
      <c r="F294" s="344">
        <v>44876</v>
      </c>
      <c r="G294" s="314" t="s">
        <v>2290</v>
      </c>
      <c r="H294" s="314" t="s">
        <v>1905</v>
      </c>
      <c r="I294" s="395">
        <v>15</v>
      </c>
      <c r="J294" s="390">
        <v>5</v>
      </c>
      <c r="K294" s="390">
        <v>40</v>
      </c>
      <c r="L294" s="389">
        <v>-35</v>
      </c>
      <c r="M294" s="345">
        <v>90</v>
      </c>
      <c r="N294" s="345">
        <v>90</v>
      </c>
      <c r="O294" s="345">
        <v>90</v>
      </c>
      <c r="P294" s="345">
        <v>90</v>
      </c>
      <c r="Q294" s="314" t="s">
        <v>1707</v>
      </c>
      <c r="R294" s="345" t="s">
        <v>1750</v>
      </c>
      <c r="S294" s="773">
        <v>0.5</v>
      </c>
      <c r="T294" s="417">
        <v>33</v>
      </c>
      <c r="U294" s="392">
        <v>0</v>
      </c>
      <c r="V294" s="129" t="s">
        <v>749</v>
      </c>
      <c r="W294" s="132" t="s">
        <v>749</v>
      </c>
      <c r="X294" s="428">
        <v>0</v>
      </c>
      <c r="Y294" s="411">
        <v>1</v>
      </c>
      <c r="Z294" s="313">
        <v>0</v>
      </c>
      <c r="AA294" s="814" t="s">
        <v>749</v>
      </c>
      <c r="AB294" s="438" t="s">
        <v>749</v>
      </c>
      <c r="AC294" s="413">
        <v>0</v>
      </c>
      <c r="AD294" s="132">
        <v>0</v>
      </c>
      <c r="AE294" s="431">
        <v>20</v>
      </c>
      <c r="AF294" s="441" t="s">
        <v>1804</v>
      </c>
    </row>
    <row r="295" spans="1:32" ht="27" customHeight="1">
      <c r="A295" s="331" t="s">
        <v>2291</v>
      </c>
      <c r="B295" s="332">
        <v>12</v>
      </c>
      <c r="C295" s="331" t="s">
        <v>2292</v>
      </c>
      <c r="D295" s="340">
        <v>31</v>
      </c>
      <c r="E295" s="340" t="s">
        <v>432</v>
      </c>
      <c r="F295" s="344">
        <v>44876</v>
      </c>
      <c r="G295" s="314" t="s">
        <v>2290</v>
      </c>
      <c r="H295" s="314" t="s">
        <v>1905</v>
      </c>
      <c r="I295" s="395">
        <v>15</v>
      </c>
      <c r="J295" s="390">
        <v>10</v>
      </c>
      <c r="K295" s="390">
        <v>50</v>
      </c>
      <c r="L295" s="389">
        <v>-40</v>
      </c>
      <c r="M295" s="345">
        <v>90</v>
      </c>
      <c r="N295" s="345">
        <v>90</v>
      </c>
      <c r="O295" s="345">
        <v>90</v>
      </c>
      <c r="P295" s="345">
        <v>90</v>
      </c>
      <c r="Q295" s="183" t="s">
        <v>1707</v>
      </c>
      <c r="R295" s="345">
        <v>1</v>
      </c>
      <c r="S295" s="773">
        <v>1</v>
      </c>
      <c r="T295" s="417">
        <v>64</v>
      </c>
      <c r="U295" s="392">
        <v>1</v>
      </c>
      <c r="V295" s="129">
        <v>27</v>
      </c>
      <c r="W295" s="132" t="s">
        <v>1719</v>
      </c>
      <c r="X295" s="428" t="s">
        <v>1750</v>
      </c>
      <c r="Y295" s="411">
        <v>1</v>
      </c>
      <c r="Z295" s="313">
        <v>0</v>
      </c>
      <c r="AA295" s="814" t="s">
        <v>749</v>
      </c>
      <c r="AB295" s="438" t="s">
        <v>749</v>
      </c>
      <c r="AC295" s="413">
        <v>0</v>
      </c>
      <c r="AD295" s="132">
        <v>0</v>
      </c>
      <c r="AE295" s="431">
        <v>5</v>
      </c>
      <c r="AF295" s="441" t="s">
        <v>1804</v>
      </c>
    </row>
    <row r="296" spans="1:32" ht="27" customHeight="1">
      <c r="A296" s="331" t="s">
        <v>2291</v>
      </c>
      <c r="B296" s="332">
        <v>12</v>
      </c>
      <c r="C296" s="331" t="s">
        <v>2292</v>
      </c>
      <c r="D296" s="340">
        <v>32</v>
      </c>
      <c r="E296" s="340" t="s">
        <v>433</v>
      </c>
      <c r="F296" s="344">
        <v>44876</v>
      </c>
      <c r="G296" s="314" t="s">
        <v>2290</v>
      </c>
      <c r="H296" s="314" t="s">
        <v>1905</v>
      </c>
      <c r="I296" s="395">
        <v>15</v>
      </c>
      <c r="J296" s="390">
        <v>10</v>
      </c>
      <c r="K296" s="390">
        <v>30</v>
      </c>
      <c r="L296" s="389">
        <v>-20</v>
      </c>
      <c r="M296" s="345">
        <v>70</v>
      </c>
      <c r="N296" s="345">
        <v>90</v>
      </c>
      <c r="O296" s="345">
        <v>70</v>
      </c>
      <c r="P296" s="345">
        <v>90</v>
      </c>
      <c r="Q296" s="183" t="s">
        <v>1707</v>
      </c>
      <c r="R296" s="345" t="s">
        <v>1750</v>
      </c>
      <c r="S296" s="773">
        <v>0.5</v>
      </c>
      <c r="T296" s="417">
        <v>39</v>
      </c>
      <c r="U296" s="392">
        <v>0</v>
      </c>
      <c r="V296" s="129" t="s">
        <v>749</v>
      </c>
      <c r="W296" s="132" t="s">
        <v>749</v>
      </c>
      <c r="X296" s="313">
        <v>0</v>
      </c>
      <c r="Y296" s="411">
        <v>1</v>
      </c>
      <c r="Z296" s="313">
        <v>0</v>
      </c>
      <c r="AA296" s="814" t="s">
        <v>749</v>
      </c>
      <c r="AB296" s="438" t="s">
        <v>749</v>
      </c>
      <c r="AC296" s="413">
        <v>0</v>
      </c>
      <c r="AD296" s="132">
        <v>0</v>
      </c>
      <c r="AE296" s="431">
        <v>1</v>
      </c>
      <c r="AF296" s="441" t="s">
        <v>1804</v>
      </c>
    </row>
    <row r="297" spans="1:32" ht="27" customHeight="1">
      <c r="A297" s="331" t="s">
        <v>2291</v>
      </c>
      <c r="B297" s="332">
        <v>12</v>
      </c>
      <c r="C297" s="331" t="s">
        <v>2292</v>
      </c>
      <c r="D297" s="340">
        <v>33</v>
      </c>
      <c r="E297" s="340" t="s">
        <v>434</v>
      </c>
      <c r="F297" s="344">
        <v>44876</v>
      </c>
      <c r="G297" s="314" t="s">
        <v>2290</v>
      </c>
      <c r="H297" s="314" t="s">
        <v>1905</v>
      </c>
      <c r="I297" s="395">
        <v>15</v>
      </c>
      <c r="J297" s="390">
        <v>5</v>
      </c>
      <c r="K297" s="390">
        <v>70</v>
      </c>
      <c r="L297" s="389">
        <v>-65</v>
      </c>
      <c r="M297" s="345">
        <v>90</v>
      </c>
      <c r="N297" s="345">
        <v>90</v>
      </c>
      <c r="O297" s="345">
        <v>90</v>
      </c>
      <c r="P297" s="345">
        <v>90</v>
      </c>
      <c r="Q297" s="183" t="s">
        <v>2182</v>
      </c>
      <c r="R297" s="345">
        <v>2</v>
      </c>
      <c r="S297" s="773">
        <v>2</v>
      </c>
      <c r="T297" s="417">
        <v>68.5</v>
      </c>
      <c r="U297" s="392">
        <v>0</v>
      </c>
      <c r="V297" s="129" t="s">
        <v>749</v>
      </c>
      <c r="W297" s="132" t="s">
        <v>749</v>
      </c>
      <c r="X297" s="428">
        <v>0</v>
      </c>
      <c r="Y297" s="411">
        <v>1</v>
      </c>
      <c r="Z297" s="313">
        <v>0</v>
      </c>
      <c r="AA297" s="814" t="s">
        <v>749</v>
      </c>
      <c r="AB297" s="438" t="s">
        <v>749</v>
      </c>
      <c r="AC297" s="413">
        <v>0</v>
      </c>
      <c r="AD297" s="132">
        <v>0</v>
      </c>
      <c r="AE297" s="431">
        <v>0</v>
      </c>
      <c r="AF297" s="441" t="s">
        <v>1804</v>
      </c>
    </row>
    <row r="298" spans="1:32" ht="27" customHeight="1">
      <c r="A298" s="331" t="s">
        <v>2291</v>
      </c>
      <c r="B298" s="332">
        <v>12</v>
      </c>
      <c r="C298" s="331" t="s">
        <v>2292</v>
      </c>
      <c r="D298" s="340">
        <v>34</v>
      </c>
      <c r="E298" s="340" t="s">
        <v>435</v>
      </c>
      <c r="F298" s="344">
        <v>44874</v>
      </c>
      <c r="G298" s="314" t="s">
        <v>2290</v>
      </c>
      <c r="H298" s="314" t="s">
        <v>1905</v>
      </c>
      <c r="I298" s="395">
        <v>15</v>
      </c>
      <c r="J298" s="390">
        <v>10</v>
      </c>
      <c r="K298" s="390">
        <v>20</v>
      </c>
      <c r="L298" s="389">
        <v>-10</v>
      </c>
      <c r="M298" s="345">
        <v>60</v>
      </c>
      <c r="N298" s="345">
        <v>90</v>
      </c>
      <c r="O298" s="345">
        <v>60</v>
      </c>
      <c r="P298" s="345">
        <v>90</v>
      </c>
      <c r="Q298" s="183" t="s">
        <v>1707</v>
      </c>
      <c r="R298" s="345">
        <v>1</v>
      </c>
      <c r="S298" s="773">
        <v>1</v>
      </c>
      <c r="T298" s="417">
        <v>21</v>
      </c>
      <c r="U298" s="392">
        <v>0</v>
      </c>
      <c r="V298" s="129" t="s">
        <v>749</v>
      </c>
      <c r="W298" s="132" t="s">
        <v>749</v>
      </c>
      <c r="X298" s="313">
        <v>0</v>
      </c>
      <c r="Y298" s="411">
        <v>1</v>
      </c>
      <c r="Z298" s="313">
        <v>0</v>
      </c>
      <c r="AA298" s="814" t="s">
        <v>749</v>
      </c>
      <c r="AB298" s="438" t="s">
        <v>749</v>
      </c>
      <c r="AC298" s="413">
        <v>0</v>
      </c>
      <c r="AD298" s="132">
        <v>0</v>
      </c>
      <c r="AE298" s="431">
        <v>0</v>
      </c>
      <c r="AF298" s="441" t="s">
        <v>1804</v>
      </c>
    </row>
    <row r="299" spans="1:32" ht="27" customHeight="1">
      <c r="A299" s="331" t="s">
        <v>2291</v>
      </c>
      <c r="B299" s="332">
        <v>12</v>
      </c>
      <c r="C299" s="331" t="s">
        <v>2292</v>
      </c>
      <c r="D299" s="340">
        <v>35</v>
      </c>
      <c r="E299" s="340" t="s">
        <v>436</v>
      </c>
      <c r="F299" s="344">
        <v>44874</v>
      </c>
      <c r="G299" s="314" t="s">
        <v>2290</v>
      </c>
      <c r="H299" s="314" t="s">
        <v>1905</v>
      </c>
      <c r="I299" s="395">
        <v>15</v>
      </c>
      <c r="J299" s="390">
        <v>10</v>
      </c>
      <c r="K299" s="390">
        <v>20</v>
      </c>
      <c r="L299" s="389">
        <v>-10</v>
      </c>
      <c r="M299" s="345">
        <v>50</v>
      </c>
      <c r="N299" s="345">
        <v>70</v>
      </c>
      <c r="O299" s="345">
        <v>50</v>
      </c>
      <c r="P299" s="345">
        <v>70</v>
      </c>
      <c r="Q299" s="183" t="s">
        <v>2182</v>
      </c>
      <c r="R299" s="345">
        <v>1</v>
      </c>
      <c r="S299" s="773">
        <v>1</v>
      </c>
      <c r="T299" s="417">
        <v>28</v>
      </c>
      <c r="U299" s="392">
        <v>0</v>
      </c>
      <c r="V299" s="129" t="s">
        <v>749</v>
      </c>
      <c r="W299" s="132" t="s">
        <v>749</v>
      </c>
      <c r="X299" s="428">
        <v>0</v>
      </c>
      <c r="Y299" s="411">
        <v>1</v>
      </c>
      <c r="Z299" s="313">
        <v>0</v>
      </c>
      <c r="AA299" s="814">
        <v>1.4810089686098653</v>
      </c>
      <c r="AB299" s="438">
        <v>3</v>
      </c>
      <c r="AC299" s="413">
        <v>0</v>
      </c>
      <c r="AD299" s="132">
        <v>0</v>
      </c>
      <c r="AE299" s="431">
        <v>0</v>
      </c>
      <c r="AF299" s="441" t="s">
        <v>1804</v>
      </c>
    </row>
    <row r="300" spans="1:32" ht="27" customHeight="1">
      <c r="A300" s="331" t="s">
        <v>2291</v>
      </c>
      <c r="B300" s="332">
        <v>12</v>
      </c>
      <c r="C300" s="331" t="s">
        <v>2292</v>
      </c>
      <c r="D300" s="340">
        <v>36</v>
      </c>
      <c r="E300" s="340" t="s">
        <v>437</v>
      </c>
      <c r="F300" s="344">
        <v>44874</v>
      </c>
      <c r="G300" s="314" t="s">
        <v>2290</v>
      </c>
      <c r="H300" s="314" t="s">
        <v>1905</v>
      </c>
      <c r="I300" s="395">
        <v>15</v>
      </c>
      <c r="J300" s="390">
        <v>20</v>
      </c>
      <c r="K300" s="390">
        <v>30</v>
      </c>
      <c r="L300" s="389">
        <v>-10</v>
      </c>
      <c r="M300" s="345">
        <v>20</v>
      </c>
      <c r="N300" s="345">
        <v>50</v>
      </c>
      <c r="O300" s="345">
        <v>20</v>
      </c>
      <c r="P300" s="345">
        <v>50</v>
      </c>
      <c r="Q300" s="183" t="s">
        <v>1881</v>
      </c>
      <c r="R300" s="345">
        <v>1</v>
      </c>
      <c r="S300" s="773">
        <v>1</v>
      </c>
      <c r="T300" s="417">
        <v>2.5</v>
      </c>
      <c r="U300" s="392">
        <v>0</v>
      </c>
      <c r="V300" s="129" t="s">
        <v>749</v>
      </c>
      <c r="W300" s="132" t="s">
        <v>749</v>
      </c>
      <c r="X300" s="313">
        <v>0</v>
      </c>
      <c r="Y300" s="411">
        <v>1</v>
      </c>
      <c r="Z300" s="313">
        <v>0</v>
      </c>
      <c r="AA300" s="814">
        <v>11.91747747747748</v>
      </c>
      <c r="AB300" s="438" t="s">
        <v>1738</v>
      </c>
      <c r="AC300" s="413">
        <v>0</v>
      </c>
      <c r="AD300" s="132">
        <v>0</v>
      </c>
      <c r="AE300" s="431">
        <v>0</v>
      </c>
      <c r="AF300" s="441" t="s">
        <v>1804</v>
      </c>
    </row>
    <row r="301" spans="1:32" s="285" customFormat="1" ht="27" customHeight="1">
      <c r="A301" s="352" t="s">
        <v>2291</v>
      </c>
      <c r="B301" s="353">
        <v>12</v>
      </c>
      <c r="C301" s="352" t="s">
        <v>2292</v>
      </c>
      <c r="D301" s="340">
        <v>37</v>
      </c>
      <c r="E301" s="340" t="s">
        <v>438</v>
      </c>
      <c r="F301" s="344">
        <v>44874</v>
      </c>
      <c r="G301" s="314" t="s">
        <v>2290</v>
      </c>
      <c r="H301" s="314" t="s">
        <v>1905</v>
      </c>
      <c r="I301" s="395">
        <v>15</v>
      </c>
      <c r="J301" s="390">
        <v>5</v>
      </c>
      <c r="K301" s="390">
        <v>10</v>
      </c>
      <c r="L301" s="389">
        <v>-5</v>
      </c>
      <c r="M301" s="345">
        <v>40</v>
      </c>
      <c r="N301" s="345">
        <v>80</v>
      </c>
      <c r="O301" s="345">
        <v>40</v>
      </c>
      <c r="P301" s="345">
        <v>80</v>
      </c>
      <c r="Q301" s="183" t="s">
        <v>1707</v>
      </c>
      <c r="R301" s="345">
        <v>3</v>
      </c>
      <c r="S301" s="773">
        <v>3</v>
      </c>
      <c r="T301" s="417">
        <v>0</v>
      </c>
      <c r="U301" s="392">
        <v>0</v>
      </c>
      <c r="V301" s="129" t="s">
        <v>749</v>
      </c>
      <c r="W301" s="132" t="s">
        <v>749</v>
      </c>
      <c r="X301" s="428">
        <v>0</v>
      </c>
      <c r="Y301" s="411">
        <v>1</v>
      </c>
      <c r="Z301" s="313">
        <v>0</v>
      </c>
      <c r="AA301" s="814">
        <v>13.706331658291457</v>
      </c>
      <c r="AB301" s="438" t="s">
        <v>1738</v>
      </c>
      <c r="AC301" s="413">
        <v>0</v>
      </c>
      <c r="AD301" s="132">
        <v>0</v>
      </c>
      <c r="AE301" s="431">
        <v>0</v>
      </c>
      <c r="AF301" s="441" t="s">
        <v>1804</v>
      </c>
    </row>
    <row r="302" spans="1:32" s="285" customFormat="1" ht="27" customHeight="1">
      <c r="A302" s="352" t="s">
        <v>2291</v>
      </c>
      <c r="B302" s="353">
        <v>12</v>
      </c>
      <c r="C302" s="352" t="s">
        <v>2292</v>
      </c>
      <c r="D302" s="340">
        <v>38</v>
      </c>
      <c r="E302" s="340" t="s">
        <v>440</v>
      </c>
      <c r="F302" s="344">
        <v>44874</v>
      </c>
      <c r="G302" s="314" t="s">
        <v>2290</v>
      </c>
      <c r="H302" s="314" t="s">
        <v>1905</v>
      </c>
      <c r="I302" s="395">
        <v>15</v>
      </c>
      <c r="J302" s="390">
        <v>5</v>
      </c>
      <c r="K302" s="390">
        <v>10</v>
      </c>
      <c r="L302" s="389">
        <v>-5</v>
      </c>
      <c r="M302" s="345">
        <v>90</v>
      </c>
      <c r="N302" s="345">
        <v>90</v>
      </c>
      <c r="O302" s="345">
        <v>90</v>
      </c>
      <c r="P302" s="345">
        <v>90</v>
      </c>
      <c r="Q302" s="314" t="s">
        <v>1707</v>
      </c>
      <c r="R302" s="345">
        <v>6</v>
      </c>
      <c r="S302" s="773">
        <v>6</v>
      </c>
      <c r="T302" s="417">
        <v>29</v>
      </c>
      <c r="U302" s="392">
        <v>0</v>
      </c>
      <c r="V302" s="129" t="s">
        <v>749</v>
      </c>
      <c r="W302" s="132" t="s">
        <v>749</v>
      </c>
      <c r="X302" s="428">
        <v>0</v>
      </c>
      <c r="Y302" s="411">
        <v>1</v>
      </c>
      <c r="Z302" s="313">
        <v>0</v>
      </c>
      <c r="AA302" s="814">
        <v>3.2597584541062807</v>
      </c>
      <c r="AB302" s="438">
        <v>3</v>
      </c>
      <c r="AC302" s="413">
        <v>0</v>
      </c>
      <c r="AD302" s="132">
        <v>0</v>
      </c>
      <c r="AE302" s="431">
        <v>0</v>
      </c>
      <c r="AF302" s="441" t="s">
        <v>1804</v>
      </c>
    </row>
    <row r="303" spans="1:32" s="285" customFormat="1" ht="27" customHeight="1">
      <c r="A303" s="352" t="s">
        <v>2291</v>
      </c>
      <c r="B303" s="353">
        <v>12</v>
      </c>
      <c r="C303" s="352" t="s">
        <v>2292</v>
      </c>
      <c r="D303" s="340">
        <v>39</v>
      </c>
      <c r="E303" s="340" t="s">
        <v>441</v>
      </c>
      <c r="F303" s="344">
        <v>44874</v>
      </c>
      <c r="G303" s="314" t="s">
        <v>2290</v>
      </c>
      <c r="H303" s="314" t="s">
        <v>1905</v>
      </c>
      <c r="I303" s="395">
        <v>15</v>
      </c>
      <c r="J303" s="390">
        <v>5</v>
      </c>
      <c r="K303" s="390">
        <v>20</v>
      </c>
      <c r="L303" s="389">
        <v>-15</v>
      </c>
      <c r="M303" s="345">
        <v>60</v>
      </c>
      <c r="N303" s="345">
        <v>90</v>
      </c>
      <c r="O303" s="345">
        <v>50</v>
      </c>
      <c r="P303" s="345">
        <v>90</v>
      </c>
      <c r="Q303" s="183" t="s">
        <v>1707</v>
      </c>
      <c r="R303" s="345">
        <v>1</v>
      </c>
      <c r="S303" s="773">
        <v>1</v>
      </c>
      <c r="T303" s="417">
        <v>1</v>
      </c>
      <c r="U303" s="392">
        <v>0</v>
      </c>
      <c r="V303" s="129" t="s">
        <v>749</v>
      </c>
      <c r="W303" s="132" t="s">
        <v>749</v>
      </c>
      <c r="X303" s="313">
        <v>0</v>
      </c>
      <c r="Y303" s="411">
        <v>1</v>
      </c>
      <c r="Z303" s="313">
        <v>0</v>
      </c>
      <c r="AA303" s="814" t="s">
        <v>749</v>
      </c>
      <c r="AB303" s="438" t="s">
        <v>749</v>
      </c>
      <c r="AC303" s="413">
        <v>0</v>
      </c>
      <c r="AD303" s="132">
        <v>0</v>
      </c>
      <c r="AE303" s="431">
        <v>0</v>
      </c>
      <c r="AF303" s="441" t="s">
        <v>1804</v>
      </c>
    </row>
    <row r="304" spans="1:32" ht="27" customHeight="1">
      <c r="A304" s="331" t="s">
        <v>2291</v>
      </c>
      <c r="B304" s="332">
        <v>12</v>
      </c>
      <c r="C304" s="331" t="s">
        <v>2292</v>
      </c>
      <c r="D304" s="340">
        <v>40</v>
      </c>
      <c r="E304" s="340" t="s">
        <v>442</v>
      </c>
      <c r="F304" s="344">
        <v>44874</v>
      </c>
      <c r="G304" s="314" t="s">
        <v>2290</v>
      </c>
      <c r="H304" s="314" t="s">
        <v>1905</v>
      </c>
      <c r="I304" s="395">
        <v>15</v>
      </c>
      <c r="J304" s="390">
        <v>70</v>
      </c>
      <c r="K304" s="390">
        <v>70</v>
      </c>
      <c r="L304" s="389">
        <v>0</v>
      </c>
      <c r="M304" s="345">
        <v>10</v>
      </c>
      <c r="N304" s="345">
        <v>80</v>
      </c>
      <c r="O304" s="345">
        <v>10</v>
      </c>
      <c r="P304" s="345">
        <v>80</v>
      </c>
      <c r="Q304" s="183" t="s">
        <v>1876</v>
      </c>
      <c r="R304" s="345">
        <v>0</v>
      </c>
      <c r="S304" s="773">
        <v>0</v>
      </c>
      <c r="T304" s="417">
        <v>0</v>
      </c>
      <c r="U304" s="392">
        <v>0</v>
      </c>
      <c r="V304" s="129" t="s">
        <v>749</v>
      </c>
      <c r="W304" s="132" t="s">
        <v>749</v>
      </c>
      <c r="X304" s="428">
        <v>0</v>
      </c>
      <c r="Y304" s="412">
        <v>1</v>
      </c>
      <c r="Z304" s="395">
        <v>0</v>
      </c>
      <c r="AA304" s="814">
        <v>30.12627450980392</v>
      </c>
      <c r="AB304" s="438" t="s">
        <v>1753</v>
      </c>
      <c r="AC304" s="413">
        <v>0</v>
      </c>
      <c r="AD304" s="132">
        <v>0</v>
      </c>
      <c r="AE304" s="431">
        <v>0</v>
      </c>
      <c r="AF304" s="441" t="s">
        <v>1804</v>
      </c>
    </row>
    <row r="305" spans="1:33" s="285" customFormat="1" ht="27" customHeight="1">
      <c r="A305" s="352" t="s">
        <v>2291</v>
      </c>
      <c r="B305" s="353">
        <v>12</v>
      </c>
      <c r="C305" s="352" t="s">
        <v>2292</v>
      </c>
      <c r="D305" s="340">
        <v>41</v>
      </c>
      <c r="E305" s="340" t="s">
        <v>444</v>
      </c>
      <c r="F305" s="344">
        <v>44874</v>
      </c>
      <c r="G305" s="314" t="s">
        <v>2290</v>
      </c>
      <c r="H305" s="314" t="s">
        <v>1905</v>
      </c>
      <c r="I305" s="395">
        <v>15</v>
      </c>
      <c r="J305" s="390">
        <v>10</v>
      </c>
      <c r="K305" s="390">
        <v>20</v>
      </c>
      <c r="L305" s="389">
        <v>-10</v>
      </c>
      <c r="M305" s="345">
        <v>60</v>
      </c>
      <c r="N305" s="345">
        <v>80</v>
      </c>
      <c r="O305" s="345">
        <v>40</v>
      </c>
      <c r="P305" s="345">
        <v>80</v>
      </c>
      <c r="Q305" s="183" t="s">
        <v>1707</v>
      </c>
      <c r="R305" s="345">
        <v>1</v>
      </c>
      <c r="S305" s="773">
        <v>1</v>
      </c>
      <c r="T305" s="417">
        <v>0</v>
      </c>
      <c r="U305" s="392">
        <v>0</v>
      </c>
      <c r="V305" s="129" t="s">
        <v>749</v>
      </c>
      <c r="W305" s="132" t="s">
        <v>749</v>
      </c>
      <c r="X305" s="428">
        <v>0</v>
      </c>
      <c r="Y305" s="411">
        <v>1</v>
      </c>
      <c r="Z305" s="313">
        <v>0</v>
      </c>
      <c r="AA305" s="814">
        <v>10.697261410788382</v>
      </c>
      <c r="AB305" s="438" t="s">
        <v>1738</v>
      </c>
      <c r="AC305" s="413">
        <v>0</v>
      </c>
      <c r="AD305" s="132">
        <v>0</v>
      </c>
      <c r="AE305" s="431">
        <v>0</v>
      </c>
      <c r="AF305" s="441" t="s">
        <v>1804</v>
      </c>
    </row>
    <row r="306" spans="1:33" ht="27" customHeight="1">
      <c r="A306" s="331" t="s">
        <v>2291</v>
      </c>
      <c r="B306" s="332">
        <v>12</v>
      </c>
      <c r="C306" s="331" t="s">
        <v>2292</v>
      </c>
      <c r="D306" s="340">
        <v>42</v>
      </c>
      <c r="E306" s="340" t="s">
        <v>445</v>
      </c>
      <c r="F306" s="344">
        <v>44874</v>
      </c>
      <c r="G306" s="314" t="s">
        <v>2290</v>
      </c>
      <c r="H306" s="314" t="s">
        <v>1905</v>
      </c>
      <c r="I306" s="395">
        <v>15</v>
      </c>
      <c r="J306" s="390">
        <v>20</v>
      </c>
      <c r="K306" s="390">
        <v>20</v>
      </c>
      <c r="L306" s="389">
        <v>0</v>
      </c>
      <c r="M306" s="345">
        <v>50</v>
      </c>
      <c r="N306" s="345" t="s">
        <v>749</v>
      </c>
      <c r="O306" s="345" t="s">
        <v>1711</v>
      </c>
      <c r="P306" s="345" t="s">
        <v>749</v>
      </c>
      <c r="Q306" s="183" t="s">
        <v>1877</v>
      </c>
      <c r="R306" s="345">
        <v>0</v>
      </c>
      <c r="S306" s="773">
        <v>0</v>
      </c>
      <c r="T306" s="417">
        <v>0</v>
      </c>
      <c r="U306" s="392">
        <v>0</v>
      </c>
      <c r="V306" s="129" t="s">
        <v>749</v>
      </c>
      <c r="W306" s="132" t="s">
        <v>749</v>
      </c>
      <c r="X306" s="428">
        <v>0</v>
      </c>
      <c r="Y306" s="412">
        <v>1</v>
      </c>
      <c r="Z306" s="395">
        <v>0</v>
      </c>
      <c r="AA306" s="814">
        <v>59.598446601941738</v>
      </c>
      <c r="AB306" s="438">
        <v>6</v>
      </c>
      <c r="AC306" s="413">
        <v>0</v>
      </c>
      <c r="AD306" s="132">
        <v>0</v>
      </c>
      <c r="AE306" s="431">
        <v>0</v>
      </c>
      <c r="AF306" s="441" t="s">
        <v>1804</v>
      </c>
    </row>
    <row r="307" spans="1:33" ht="27" customHeight="1">
      <c r="A307" s="331" t="s">
        <v>2291</v>
      </c>
      <c r="B307" s="332">
        <v>12</v>
      </c>
      <c r="C307" s="331" t="s">
        <v>2292</v>
      </c>
      <c r="D307" s="340">
        <v>43</v>
      </c>
      <c r="E307" s="340" t="s">
        <v>2296</v>
      </c>
      <c r="F307" s="344">
        <v>44843</v>
      </c>
      <c r="G307" s="314" t="s">
        <v>2290</v>
      </c>
      <c r="H307" s="314" t="s">
        <v>1905</v>
      </c>
      <c r="I307" s="395">
        <v>15</v>
      </c>
      <c r="J307" s="390" t="s">
        <v>1711</v>
      </c>
      <c r="K307" s="390">
        <v>5</v>
      </c>
      <c r="L307" s="389" t="e">
        <v>#VALUE!</v>
      </c>
      <c r="M307" s="345">
        <v>30</v>
      </c>
      <c r="N307" s="345">
        <v>40</v>
      </c>
      <c r="O307" s="345">
        <v>30</v>
      </c>
      <c r="P307" s="345">
        <v>40</v>
      </c>
      <c r="Q307" s="183" t="s">
        <v>1707</v>
      </c>
      <c r="R307" s="363">
        <v>9</v>
      </c>
      <c r="S307" s="793">
        <v>9</v>
      </c>
      <c r="T307" s="417">
        <v>8.5</v>
      </c>
      <c r="U307" s="392">
        <v>0</v>
      </c>
      <c r="V307" s="129" t="s">
        <v>749</v>
      </c>
      <c r="W307" s="132" t="s">
        <v>749</v>
      </c>
      <c r="X307" s="428">
        <v>0</v>
      </c>
      <c r="Y307" s="411">
        <v>1</v>
      </c>
      <c r="Z307" s="313">
        <v>0</v>
      </c>
      <c r="AA307" s="814" t="s">
        <v>749</v>
      </c>
      <c r="AB307" s="438" t="s">
        <v>749</v>
      </c>
      <c r="AC307" s="413">
        <v>0</v>
      </c>
      <c r="AD307" s="132">
        <v>0</v>
      </c>
      <c r="AE307" s="431">
        <v>0</v>
      </c>
      <c r="AF307" s="441" t="s">
        <v>1804</v>
      </c>
    </row>
    <row r="308" spans="1:33" ht="27" customHeight="1" thickBot="1">
      <c r="A308" s="474" t="s">
        <v>2291</v>
      </c>
      <c r="B308" s="475">
        <v>12</v>
      </c>
      <c r="C308" s="474" t="s">
        <v>2292</v>
      </c>
      <c r="D308" s="467">
        <v>44</v>
      </c>
      <c r="E308" s="467" t="s">
        <v>2297</v>
      </c>
      <c r="F308" s="528">
        <v>44843</v>
      </c>
      <c r="G308" s="530" t="s">
        <v>2290</v>
      </c>
      <c r="H308" s="530" t="s">
        <v>1905</v>
      </c>
      <c r="I308" s="526">
        <v>15</v>
      </c>
      <c r="J308" s="497">
        <v>20</v>
      </c>
      <c r="K308" s="497">
        <v>70</v>
      </c>
      <c r="L308" s="389">
        <v>-50</v>
      </c>
      <c r="M308" s="544">
        <v>90</v>
      </c>
      <c r="N308" s="544">
        <v>90</v>
      </c>
      <c r="O308" s="544">
        <v>80</v>
      </c>
      <c r="P308" s="544">
        <v>80</v>
      </c>
      <c r="Q308" s="193" t="s">
        <v>2182</v>
      </c>
      <c r="R308" s="544">
        <v>3</v>
      </c>
      <c r="S308" s="774">
        <v>3</v>
      </c>
      <c r="T308" s="545">
        <v>67.5</v>
      </c>
      <c r="U308" s="481">
        <v>0</v>
      </c>
      <c r="V308" s="594" t="s">
        <v>749</v>
      </c>
      <c r="W308" s="583" t="s">
        <v>749</v>
      </c>
      <c r="X308" s="546">
        <v>0</v>
      </c>
      <c r="Y308" s="547">
        <v>1</v>
      </c>
      <c r="Z308" s="548">
        <v>0</v>
      </c>
      <c r="AA308" s="815" t="s">
        <v>749</v>
      </c>
      <c r="AB308" s="549" t="s">
        <v>749</v>
      </c>
      <c r="AC308" s="519">
        <v>0</v>
      </c>
      <c r="AD308" s="583">
        <v>0</v>
      </c>
      <c r="AE308" s="503">
        <v>10</v>
      </c>
      <c r="AF308" s="504" t="s">
        <v>1804</v>
      </c>
    </row>
    <row r="309" spans="1:33" ht="27.6" customHeight="1" thickTop="1">
      <c r="A309" s="455" t="s">
        <v>1751</v>
      </c>
      <c r="B309" s="179">
        <v>13</v>
      </c>
      <c r="C309" s="455" t="s">
        <v>1752</v>
      </c>
      <c r="D309" s="180">
        <v>27</v>
      </c>
      <c r="E309" s="179" t="s">
        <v>451</v>
      </c>
      <c r="F309" s="458">
        <v>44875</v>
      </c>
      <c r="G309" s="459" t="s">
        <v>2298</v>
      </c>
      <c r="H309" s="141" t="s">
        <v>1905</v>
      </c>
      <c r="I309" s="464">
        <v>15</v>
      </c>
      <c r="J309" s="389">
        <v>10</v>
      </c>
      <c r="K309" s="389">
        <v>10</v>
      </c>
      <c r="L309" s="389">
        <v>0</v>
      </c>
      <c r="M309" s="509">
        <v>85</v>
      </c>
      <c r="N309" s="509">
        <v>77.5</v>
      </c>
      <c r="O309" s="461">
        <v>30</v>
      </c>
      <c r="P309" s="461">
        <v>35</v>
      </c>
      <c r="Q309" s="180" t="s">
        <v>1707</v>
      </c>
      <c r="R309" s="461" t="s">
        <v>1951</v>
      </c>
      <c r="S309" s="794"/>
      <c r="T309" s="471">
        <v>26.666666666666668</v>
      </c>
      <c r="U309" s="462">
        <v>0</v>
      </c>
      <c r="V309" s="138" t="s">
        <v>749</v>
      </c>
      <c r="W309" s="141" t="s">
        <v>749</v>
      </c>
      <c r="X309" s="472">
        <v>0</v>
      </c>
      <c r="Y309" s="463">
        <v>2</v>
      </c>
      <c r="Z309" s="460">
        <v>1</v>
      </c>
      <c r="AA309" s="816">
        <v>10.669275362318841</v>
      </c>
      <c r="AB309" s="460" t="s">
        <v>1738</v>
      </c>
      <c r="AC309" s="463">
        <v>0</v>
      </c>
      <c r="AD309" s="87">
        <v>0</v>
      </c>
      <c r="AE309" s="460">
        <v>0</v>
      </c>
      <c r="AF309" s="513" t="s">
        <v>2299</v>
      </c>
      <c r="AG309" s="285"/>
    </row>
    <row r="310" spans="1:33" ht="27.6" customHeight="1">
      <c r="A310" s="346" t="s">
        <v>1751</v>
      </c>
      <c r="B310" s="182">
        <v>13</v>
      </c>
      <c r="C310" s="346" t="s">
        <v>1752</v>
      </c>
      <c r="D310" s="183">
        <v>28</v>
      </c>
      <c r="E310" s="182" t="s">
        <v>452</v>
      </c>
      <c r="F310" s="350">
        <v>44875</v>
      </c>
      <c r="G310" s="364" t="s">
        <v>2298</v>
      </c>
      <c r="H310" s="132" t="s">
        <v>1905</v>
      </c>
      <c r="I310" s="431">
        <v>15</v>
      </c>
      <c r="J310" s="390">
        <v>40</v>
      </c>
      <c r="K310" s="390">
        <v>50</v>
      </c>
      <c r="L310" s="389">
        <v>-10</v>
      </c>
      <c r="M310" s="372">
        <v>90</v>
      </c>
      <c r="N310" s="372">
        <v>86</v>
      </c>
      <c r="O310" s="338">
        <v>35</v>
      </c>
      <c r="P310" s="338">
        <v>35</v>
      </c>
      <c r="Q310" s="183" t="s">
        <v>1707</v>
      </c>
      <c r="R310" s="338" t="s">
        <v>1960</v>
      </c>
      <c r="S310" s="767"/>
      <c r="T310" s="419">
        <v>32.5</v>
      </c>
      <c r="U310" s="391">
        <v>0</v>
      </c>
      <c r="V310" s="129" t="s">
        <v>749</v>
      </c>
      <c r="W310" s="132" t="s">
        <v>749</v>
      </c>
      <c r="X310" s="427">
        <v>0</v>
      </c>
      <c r="Y310" s="410">
        <v>2</v>
      </c>
      <c r="Z310" s="396">
        <v>1</v>
      </c>
      <c r="AA310" s="810">
        <v>37.795032679738561</v>
      </c>
      <c r="AB310" s="396" t="s">
        <v>1753</v>
      </c>
      <c r="AC310" s="410">
        <v>2</v>
      </c>
      <c r="AD310" s="29">
        <v>0</v>
      </c>
      <c r="AE310" s="396">
        <v>6</v>
      </c>
      <c r="AF310" s="441" t="s">
        <v>2299</v>
      </c>
    </row>
    <row r="311" spans="1:33" s="285" customFormat="1" ht="27.6" customHeight="1">
      <c r="A311" s="346" t="s">
        <v>1751</v>
      </c>
      <c r="B311" s="182">
        <v>13</v>
      </c>
      <c r="C311" s="346" t="s">
        <v>1752</v>
      </c>
      <c r="D311" s="183">
        <v>31</v>
      </c>
      <c r="E311" s="182" t="s">
        <v>453</v>
      </c>
      <c r="F311" s="350">
        <v>44875</v>
      </c>
      <c r="G311" s="364" t="s">
        <v>2298</v>
      </c>
      <c r="H311" s="132" t="s">
        <v>1905</v>
      </c>
      <c r="I311" s="431">
        <v>15</v>
      </c>
      <c r="J311" s="390">
        <v>60</v>
      </c>
      <c r="K311" s="390">
        <v>60</v>
      </c>
      <c r="L311" s="389">
        <v>0</v>
      </c>
      <c r="M311" s="372">
        <v>75</v>
      </c>
      <c r="N311" s="372">
        <v>70</v>
      </c>
      <c r="O311" s="338">
        <v>20</v>
      </c>
      <c r="P311" s="338">
        <v>27.5</v>
      </c>
      <c r="Q311" s="183" t="s">
        <v>1876</v>
      </c>
      <c r="R311" s="338" t="s">
        <v>1961</v>
      </c>
      <c r="S311" s="767"/>
      <c r="T311" s="419">
        <v>28.571428571428573</v>
      </c>
      <c r="U311" s="391">
        <v>0</v>
      </c>
      <c r="V311" s="129" t="s">
        <v>749</v>
      </c>
      <c r="W311" s="132" t="s">
        <v>749</v>
      </c>
      <c r="X311" s="427">
        <v>0</v>
      </c>
      <c r="Y311" s="410">
        <v>3</v>
      </c>
      <c r="Z311" s="396">
        <v>2</v>
      </c>
      <c r="AA311" s="810">
        <v>23.928000000000001</v>
      </c>
      <c r="AB311" s="396" t="s">
        <v>1738</v>
      </c>
      <c r="AC311" s="410">
        <v>5</v>
      </c>
      <c r="AD311" s="29">
        <v>0</v>
      </c>
      <c r="AE311" s="396">
        <v>2</v>
      </c>
      <c r="AF311" s="441" t="s">
        <v>2299</v>
      </c>
      <c r="AG311" s="306"/>
    </row>
    <row r="312" spans="1:33" ht="27.6" customHeight="1">
      <c r="A312" s="346" t="s">
        <v>1751</v>
      </c>
      <c r="B312" s="182">
        <v>13</v>
      </c>
      <c r="C312" s="346" t="s">
        <v>1752</v>
      </c>
      <c r="D312" s="183">
        <v>32</v>
      </c>
      <c r="E312" s="182" t="s">
        <v>454</v>
      </c>
      <c r="F312" s="350">
        <v>44875</v>
      </c>
      <c r="G312" s="364" t="s">
        <v>2298</v>
      </c>
      <c r="H312" s="132" t="s">
        <v>1905</v>
      </c>
      <c r="I312" s="431">
        <v>15</v>
      </c>
      <c r="J312" s="392" t="s">
        <v>1711</v>
      </c>
      <c r="K312" s="392">
        <v>2.5</v>
      </c>
      <c r="L312" s="389" t="e">
        <v>#VALUE!</v>
      </c>
      <c r="M312" s="372">
        <v>97.5</v>
      </c>
      <c r="N312" s="372">
        <v>100</v>
      </c>
      <c r="O312" s="338">
        <v>0</v>
      </c>
      <c r="P312" s="338">
        <v>0</v>
      </c>
      <c r="Q312" s="183" t="s">
        <v>1707</v>
      </c>
      <c r="R312" s="338">
        <v>0</v>
      </c>
      <c r="S312" s="767"/>
      <c r="T312" s="419"/>
      <c r="U312" s="391">
        <v>0</v>
      </c>
      <c r="V312" s="129" t="s">
        <v>749</v>
      </c>
      <c r="W312" s="132" t="s">
        <v>749</v>
      </c>
      <c r="X312" s="427">
        <v>0</v>
      </c>
      <c r="Y312" s="410">
        <v>1</v>
      </c>
      <c r="Z312" s="396">
        <v>0</v>
      </c>
      <c r="AA312" s="810">
        <v>88.601169590643252</v>
      </c>
      <c r="AB312" s="396">
        <v>6</v>
      </c>
      <c r="AC312" s="410">
        <v>0</v>
      </c>
      <c r="AD312" s="29">
        <v>0</v>
      </c>
      <c r="AE312" s="396">
        <v>0</v>
      </c>
      <c r="AF312" s="442" t="s">
        <v>1804</v>
      </c>
      <c r="AG312" s="285"/>
    </row>
    <row r="313" spans="1:33" s="285" customFormat="1" ht="27.6" customHeight="1">
      <c r="A313" s="346" t="s">
        <v>1751</v>
      </c>
      <c r="B313" s="182">
        <v>13</v>
      </c>
      <c r="C313" s="346" t="s">
        <v>1752</v>
      </c>
      <c r="D313" s="183">
        <v>35</v>
      </c>
      <c r="E313" s="182" t="s">
        <v>455</v>
      </c>
      <c r="F313" s="350">
        <v>44858</v>
      </c>
      <c r="G313" s="364" t="s">
        <v>2298</v>
      </c>
      <c r="H313" s="132" t="s">
        <v>1905</v>
      </c>
      <c r="I313" s="431">
        <v>15</v>
      </c>
      <c r="J313" s="390">
        <v>30</v>
      </c>
      <c r="K313" s="390">
        <v>60</v>
      </c>
      <c r="L313" s="389">
        <v>-30</v>
      </c>
      <c r="M313" s="372">
        <v>97.5</v>
      </c>
      <c r="N313" s="372">
        <v>97.5</v>
      </c>
      <c r="O313" s="338">
        <v>50</v>
      </c>
      <c r="P313" s="338">
        <v>65</v>
      </c>
      <c r="Q313" s="183" t="s">
        <v>1707</v>
      </c>
      <c r="R313" s="338" t="s">
        <v>1956</v>
      </c>
      <c r="S313" s="767"/>
      <c r="T313" s="419">
        <v>72</v>
      </c>
      <c r="U313" s="391">
        <v>0</v>
      </c>
      <c r="V313" s="129" t="s">
        <v>749</v>
      </c>
      <c r="W313" s="132" t="s">
        <v>749</v>
      </c>
      <c r="X313" s="427">
        <v>0</v>
      </c>
      <c r="Y313" s="410">
        <v>2</v>
      </c>
      <c r="Z313" s="396">
        <v>1</v>
      </c>
      <c r="AA313" s="810">
        <v>16.416744186046511</v>
      </c>
      <c r="AB313" s="396" t="s">
        <v>1738</v>
      </c>
      <c r="AC313" s="410">
        <v>4</v>
      </c>
      <c r="AD313" s="29">
        <v>1</v>
      </c>
      <c r="AE313" s="396">
        <v>3</v>
      </c>
      <c r="AF313" s="441" t="s">
        <v>2299</v>
      </c>
    </row>
    <row r="314" spans="1:33" ht="27.6" customHeight="1">
      <c r="A314" s="346" t="s">
        <v>1751</v>
      </c>
      <c r="B314" s="182">
        <v>13</v>
      </c>
      <c r="C314" s="346" t="s">
        <v>1752</v>
      </c>
      <c r="D314" s="183">
        <v>36</v>
      </c>
      <c r="E314" s="182" t="s">
        <v>456</v>
      </c>
      <c r="F314" s="350">
        <v>44857</v>
      </c>
      <c r="G314" s="364" t="s">
        <v>2298</v>
      </c>
      <c r="H314" s="132" t="s">
        <v>1905</v>
      </c>
      <c r="I314" s="431">
        <v>15</v>
      </c>
      <c r="J314" s="390">
        <v>40</v>
      </c>
      <c r="K314" s="390">
        <v>70</v>
      </c>
      <c r="L314" s="389">
        <v>-30</v>
      </c>
      <c r="M314" s="372">
        <v>85</v>
      </c>
      <c r="N314" s="372">
        <v>95</v>
      </c>
      <c r="O314" s="338">
        <v>35</v>
      </c>
      <c r="P314" s="338">
        <v>42.5</v>
      </c>
      <c r="Q314" s="183" t="s">
        <v>1706</v>
      </c>
      <c r="R314" s="338" t="s">
        <v>1952</v>
      </c>
      <c r="S314" s="767"/>
      <c r="T314" s="419">
        <v>124</v>
      </c>
      <c r="U314" s="391">
        <v>0</v>
      </c>
      <c r="V314" s="129" t="s">
        <v>749</v>
      </c>
      <c r="W314" s="132" t="s">
        <v>749</v>
      </c>
      <c r="X314" s="427">
        <v>0</v>
      </c>
      <c r="Y314" s="410">
        <v>2</v>
      </c>
      <c r="Z314" s="396">
        <v>1</v>
      </c>
      <c r="AA314" s="810">
        <v>39.628299319727894</v>
      </c>
      <c r="AB314" s="396" t="s">
        <v>1753</v>
      </c>
      <c r="AC314" s="410">
        <v>5</v>
      </c>
      <c r="AD314" s="29">
        <v>0</v>
      </c>
      <c r="AE314" s="396">
        <v>3</v>
      </c>
      <c r="AF314" s="441" t="s">
        <v>2299</v>
      </c>
      <c r="AG314" s="285"/>
    </row>
    <row r="315" spans="1:33" s="285" customFormat="1" ht="27.6" customHeight="1">
      <c r="A315" s="346" t="s">
        <v>1751</v>
      </c>
      <c r="B315" s="182">
        <v>13</v>
      </c>
      <c r="C315" s="346" t="s">
        <v>1752</v>
      </c>
      <c r="D315" s="183">
        <v>42</v>
      </c>
      <c r="E315" s="182" t="s">
        <v>457</v>
      </c>
      <c r="F315" s="350">
        <v>44858</v>
      </c>
      <c r="G315" s="364" t="s">
        <v>2298</v>
      </c>
      <c r="H315" s="132" t="s">
        <v>1905</v>
      </c>
      <c r="I315" s="431">
        <v>15</v>
      </c>
      <c r="J315" s="390">
        <v>20</v>
      </c>
      <c r="K315" s="390">
        <v>30</v>
      </c>
      <c r="L315" s="389">
        <v>-10</v>
      </c>
      <c r="M315" s="372">
        <v>92.5</v>
      </c>
      <c r="N315" s="372">
        <v>95</v>
      </c>
      <c r="O315" s="338">
        <v>30</v>
      </c>
      <c r="P315" s="338">
        <v>35</v>
      </c>
      <c r="Q315" s="183" t="s">
        <v>1707</v>
      </c>
      <c r="R315" s="338" t="s">
        <v>1952</v>
      </c>
      <c r="S315" s="767"/>
      <c r="T315" s="419">
        <v>41</v>
      </c>
      <c r="U315" s="391">
        <v>0</v>
      </c>
      <c r="V315" s="129" t="s">
        <v>749</v>
      </c>
      <c r="W315" s="132" t="s">
        <v>749</v>
      </c>
      <c r="X315" s="427">
        <v>0</v>
      </c>
      <c r="Y315" s="410">
        <v>2</v>
      </c>
      <c r="Z315" s="396">
        <v>1</v>
      </c>
      <c r="AA315" s="810">
        <v>18.897516339869281</v>
      </c>
      <c r="AB315" s="396" t="s">
        <v>1738</v>
      </c>
      <c r="AC315" s="410">
        <v>0</v>
      </c>
      <c r="AD315" s="29">
        <v>0</v>
      </c>
      <c r="AE315" s="396">
        <v>0</v>
      </c>
      <c r="AF315" s="441" t="s">
        <v>2299</v>
      </c>
    </row>
    <row r="316" spans="1:33" ht="27.6" customHeight="1">
      <c r="A316" s="346" t="s">
        <v>1751</v>
      </c>
      <c r="B316" s="182">
        <v>13</v>
      </c>
      <c r="C316" s="346" t="s">
        <v>1752</v>
      </c>
      <c r="D316" s="183">
        <v>43</v>
      </c>
      <c r="E316" s="182" t="s">
        <v>458</v>
      </c>
      <c r="F316" s="350">
        <v>44858</v>
      </c>
      <c r="G316" s="364" t="s">
        <v>2298</v>
      </c>
      <c r="H316" s="132" t="s">
        <v>1905</v>
      </c>
      <c r="I316" s="431">
        <v>15</v>
      </c>
      <c r="J316" s="390">
        <v>20</v>
      </c>
      <c r="K316" s="390">
        <v>20</v>
      </c>
      <c r="L316" s="389">
        <v>0</v>
      </c>
      <c r="M316" s="372">
        <v>87.5</v>
      </c>
      <c r="N316" s="372">
        <v>92.5</v>
      </c>
      <c r="O316" s="338">
        <v>22.5</v>
      </c>
      <c r="P316" s="338">
        <v>35</v>
      </c>
      <c r="Q316" s="183" t="s">
        <v>1707</v>
      </c>
      <c r="R316" s="338" t="s">
        <v>1962</v>
      </c>
      <c r="S316" s="767"/>
      <c r="T316" s="419">
        <v>25</v>
      </c>
      <c r="U316" s="391">
        <v>0</v>
      </c>
      <c r="V316" s="129" t="s">
        <v>749</v>
      </c>
      <c r="W316" s="132" t="s">
        <v>749</v>
      </c>
      <c r="X316" s="427">
        <v>0</v>
      </c>
      <c r="Y316" s="410">
        <v>2</v>
      </c>
      <c r="Z316" s="396">
        <v>1</v>
      </c>
      <c r="AA316" s="810">
        <v>12.903760683760684</v>
      </c>
      <c r="AB316" s="396" t="s">
        <v>1738</v>
      </c>
      <c r="AC316" s="410">
        <v>0</v>
      </c>
      <c r="AD316" s="29">
        <v>1</v>
      </c>
      <c r="AE316" s="396">
        <v>1</v>
      </c>
      <c r="AF316" s="441" t="s">
        <v>2299</v>
      </c>
      <c r="AG316" s="285"/>
    </row>
    <row r="317" spans="1:33" s="285" customFormat="1" ht="27.6" customHeight="1">
      <c r="A317" s="346" t="s">
        <v>1751</v>
      </c>
      <c r="B317" s="182">
        <v>13</v>
      </c>
      <c r="C317" s="346" t="s">
        <v>1752</v>
      </c>
      <c r="D317" s="183">
        <v>44</v>
      </c>
      <c r="E317" s="182" t="s">
        <v>459</v>
      </c>
      <c r="F317" s="350">
        <v>44875</v>
      </c>
      <c r="G317" s="364" t="s">
        <v>2298</v>
      </c>
      <c r="H317" s="132" t="s">
        <v>1905</v>
      </c>
      <c r="I317" s="431">
        <v>15</v>
      </c>
      <c r="J317" s="390">
        <v>10</v>
      </c>
      <c r="K317" s="390">
        <v>10</v>
      </c>
      <c r="L317" s="389">
        <v>0</v>
      </c>
      <c r="M317" s="372">
        <v>90</v>
      </c>
      <c r="N317" s="372">
        <v>85</v>
      </c>
      <c r="O317" s="338">
        <v>20</v>
      </c>
      <c r="P317" s="338">
        <v>37.5</v>
      </c>
      <c r="Q317" s="183" t="s">
        <v>1707</v>
      </c>
      <c r="R317" s="338" t="s">
        <v>1951</v>
      </c>
      <c r="S317" s="767"/>
      <c r="T317" s="419"/>
      <c r="U317" s="391">
        <v>0</v>
      </c>
      <c r="V317" s="129" t="s">
        <v>749</v>
      </c>
      <c r="W317" s="132" t="s">
        <v>749</v>
      </c>
      <c r="X317" s="427">
        <v>0</v>
      </c>
      <c r="Y317" s="410">
        <v>2</v>
      </c>
      <c r="Z317" s="396">
        <v>1</v>
      </c>
      <c r="AA317" s="810">
        <v>12.418347107438017</v>
      </c>
      <c r="AB317" s="396" t="s">
        <v>1738</v>
      </c>
      <c r="AC317" s="410">
        <v>1</v>
      </c>
      <c r="AD317" s="29">
        <v>0</v>
      </c>
      <c r="AE317" s="396">
        <v>0</v>
      </c>
      <c r="AF317" s="441" t="s">
        <v>2299</v>
      </c>
      <c r="AG317" s="306"/>
    </row>
    <row r="318" spans="1:33" s="285" customFormat="1" ht="27.6" customHeight="1">
      <c r="A318" s="346" t="s">
        <v>1751</v>
      </c>
      <c r="B318" s="182">
        <v>13</v>
      </c>
      <c r="C318" s="346" t="s">
        <v>1752</v>
      </c>
      <c r="D318" s="183">
        <v>49</v>
      </c>
      <c r="E318" s="182" t="s">
        <v>460</v>
      </c>
      <c r="F318" s="350">
        <v>44875</v>
      </c>
      <c r="G318" s="364" t="s">
        <v>2298</v>
      </c>
      <c r="H318" s="132" t="s">
        <v>1905</v>
      </c>
      <c r="I318" s="431">
        <v>15</v>
      </c>
      <c r="J318" s="390">
        <v>20</v>
      </c>
      <c r="K318" s="390">
        <v>10</v>
      </c>
      <c r="L318" s="389">
        <v>10</v>
      </c>
      <c r="M318" s="372">
        <v>90</v>
      </c>
      <c r="N318" s="372">
        <v>86</v>
      </c>
      <c r="O318" s="338">
        <v>35</v>
      </c>
      <c r="P318" s="338">
        <v>42.5</v>
      </c>
      <c r="Q318" s="183" t="s">
        <v>1707</v>
      </c>
      <c r="R318" s="338" t="s">
        <v>1966</v>
      </c>
      <c r="S318" s="767"/>
      <c r="T318" s="419">
        <v>59.5</v>
      </c>
      <c r="U318" s="391">
        <v>0</v>
      </c>
      <c r="V318" s="26" t="s">
        <v>749</v>
      </c>
      <c r="W318" s="132"/>
      <c r="X318" s="396">
        <v>0</v>
      </c>
      <c r="Y318" s="410">
        <v>2</v>
      </c>
      <c r="Z318" s="396">
        <v>1</v>
      </c>
      <c r="AA318" s="810">
        <v>3.260842105263158</v>
      </c>
      <c r="AB318" s="396">
        <v>3</v>
      </c>
      <c r="AC318" s="410">
        <v>0</v>
      </c>
      <c r="AD318" s="29">
        <v>0</v>
      </c>
      <c r="AE318" s="396">
        <v>1</v>
      </c>
      <c r="AF318" s="441" t="s">
        <v>2299</v>
      </c>
    </row>
    <row r="319" spans="1:33" s="285" customFormat="1" ht="27.6" customHeight="1">
      <c r="A319" s="346" t="s">
        <v>1751</v>
      </c>
      <c r="B319" s="182">
        <v>13</v>
      </c>
      <c r="C319" s="346" t="s">
        <v>1752</v>
      </c>
      <c r="D319" s="183">
        <v>50</v>
      </c>
      <c r="E319" s="182" t="s">
        <v>461</v>
      </c>
      <c r="F319" s="350">
        <v>44856</v>
      </c>
      <c r="G319" s="364" t="s">
        <v>2298</v>
      </c>
      <c r="H319" s="132" t="s">
        <v>1905</v>
      </c>
      <c r="I319" s="431">
        <v>15</v>
      </c>
      <c r="J319" s="390">
        <v>20</v>
      </c>
      <c r="K319" s="390">
        <v>30</v>
      </c>
      <c r="L319" s="389">
        <v>-10</v>
      </c>
      <c r="M319" s="372">
        <v>92.5</v>
      </c>
      <c r="N319" s="372">
        <v>95</v>
      </c>
      <c r="O319" s="338">
        <v>37.5</v>
      </c>
      <c r="P319" s="338">
        <v>45</v>
      </c>
      <c r="Q319" s="183" t="s">
        <v>1707</v>
      </c>
      <c r="R319" s="338" t="s">
        <v>1967</v>
      </c>
      <c r="S319" s="767"/>
      <c r="T319" s="419">
        <v>66</v>
      </c>
      <c r="U319" s="391">
        <v>0</v>
      </c>
      <c r="V319" s="129" t="s">
        <v>749</v>
      </c>
      <c r="W319" s="132" t="s">
        <v>749</v>
      </c>
      <c r="X319" s="427">
        <v>0</v>
      </c>
      <c r="Y319" s="410">
        <v>2</v>
      </c>
      <c r="Z319" s="396">
        <v>1</v>
      </c>
      <c r="AA319" s="810"/>
      <c r="AB319" s="396"/>
      <c r="AC319" s="410">
        <v>0</v>
      </c>
      <c r="AD319" s="29">
        <v>0</v>
      </c>
      <c r="AE319" s="396">
        <v>17</v>
      </c>
      <c r="AF319" s="441" t="s">
        <v>2299</v>
      </c>
    </row>
    <row r="320" spans="1:33" s="285" customFormat="1" ht="27.6" customHeight="1">
      <c r="A320" s="346" t="s">
        <v>1751</v>
      </c>
      <c r="B320" s="182">
        <v>13</v>
      </c>
      <c r="C320" s="346" t="s">
        <v>1752</v>
      </c>
      <c r="D320" s="183">
        <v>51</v>
      </c>
      <c r="E320" s="182" t="s">
        <v>462</v>
      </c>
      <c r="F320" s="350">
        <v>44881</v>
      </c>
      <c r="G320" s="364" t="s">
        <v>2298</v>
      </c>
      <c r="H320" s="132" t="s">
        <v>1905</v>
      </c>
      <c r="I320" s="431">
        <v>15</v>
      </c>
      <c r="J320" s="390">
        <v>20</v>
      </c>
      <c r="K320" s="390">
        <v>20</v>
      </c>
      <c r="L320" s="389">
        <v>0</v>
      </c>
      <c r="M320" s="372">
        <v>82.5</v>
      </c>
      <c r="N320" s="372">
        <v>82.5</v>
      </c>
      <c r="O320" s="338">
        <v>22.5</v>
      </c>
      <c r="P320" s="338">
        <v>32.5</v>
      </c>
      <c r="Q320" s="183" t="s">
        <v>1707</v>
      </c>
      <c r="R320" s="338" t="s">
        <v>1968</v>
      </c>
      <c r="S320" s="767"/>
      <c r="T320" s="419">
        <v>51</v>
      </c>
      <c r="U320" s="391">
        <v>0</v>
      </c>
      <c r="V320" s="129" t="s">
        <v>749</v>
      </c>
      <c r="W320" s="132" t="s">
        <v>749</v>
      </c>
      <c r="X320" s="427">
        <v>0</v>
      </c>
      <c r="Y320" s="410">
        <v>2</v>
      </c>
      <c r="Z320" s="396">
        <v>1</v>
      </c>
      <c r="AA320" s="810"/>
      <c r="AB320" s="396"/>
      <c r="AC320" s="410">
        <v>2</v>
      </c>
      <c r="AD320" s="29">
        <v>0</v>
      </c>
      <c r="AE320" s="396">
        <v>36</v>
      </c>
      <c r="AF320" s="441" t="s">
        <v>2299</v>
      </c>
    </row>
    <row r="321" spans="1:33" s="285" customFormat="1" ht="27.6" customHeight="1">
      <c r="A321" s="346" t="s">
        <v>1751</v>
      </c>
      <c r="B321" s="182">
        <v>13</v>
      </c>
      <c r="C321" s="346" t="s">
        <v>1752</v>
      </c>
      <c r="D321" s="183">
        <v>52</v>
      </c>
      <c r="E321" s="182" t="s">
        <v>463</v>
      </c>
      <c r="F321" s="350">
        <v>44881</v>
      </c>
      <c r="G321" s="364" t="s">
        <v>2298</v>
      </c>
      <c r="H321" s="132" t="s">
        <v>1905</v>
      </c>
      <c r="I321" s="431">
        <v>15</v>
      </c>
      <c r="J321" s="390">
        <v>20</v>
      </c>
      <c r="K321" s="390">
        <v>20</v>
      </c>
      <c r="L321" s="389">
        <v>0</v>
      </c>
      <c r="M321" s="372">
        <v>87.5</v>
      </c>
      <c r="N321" s="372">
        <v>87.5</v>
      </c>
      <c r="O321" s="338">
        <v>32.5</v>
      </c>
      <c r="P321" s="338">
        <v>52.5</v>
      </c>
      <c r="Q321" s="183" t="s">
        <v>1707</v>
      </c>
      <c r="R321" s="338" t="s">
        <v>1969</v>
      </c>
      <c r="S321" s="767"/>
      <c r="T321" s="419">
        <v>66.5</v>
      </c>
      <c r="U321" s="391">
        <v>0</v>
      </c>
      <c r="V321" s="26" t="s">
        <v>749</v>
      </c>
      <c r="W321" s="132"/>
      <c r="X321" s="396">
        <v>0</v>
      </c>
      <c r="Y321" s="410">
        <v>2</v>
      </c>
      <c r="Z321" s="396">
        <v>1</v>
      </c>
      <c r="AA321" s="810"/>
      <c r="AB321" s="396"/>
      <c r="AC321" s="410">
        <v>3</v>
      </c>
      <c r="AD321" s="29">
        <v>0</v>
      </c>
      <c r="AE321" s="396">
        <v>5</v>
      </c>
      <c r="AF321" s="441" t="s">
        <v>2299</v>
      </c>
    </row>
    <row r="322" spans="1:33" s="285" customFormat="1" ht="27.6" customHeight="1">
      <c r="A322" s="346" t="s">
        <v>1751</v>
      </c>
      <c r="B322" s="182">
        <v>13</v>
      </c>
      <c r="C322" s="346" t="s">
        <v>1752</v>
      </c>
      <c r="D322" s="183">
        <v>53</v>
      </c>
      <c r="E322" s="182" t="s">
        <v>464</v>
      </c>
      <c r="F322" s="350">
        <v>44881</v>
      </c>
      <c r="G322" s="364" t="s">
        <v>2298</v>
      </c>
      <c r="H322" s="132" t="s">
        <v>1905</v>
      </c>
      <c r="I322" s="431">
        <v>15</v>
      </c>
      <c r="J322" s="390">
        <v>20</v>
      </c>
      <c r="K322" s="390">
        <v>20</v>
      </c>
      <c r="L322" s="389">
        <v>0</v>
      </c>
      <c r="M322" s="372">
        <v>75</v>
      </c>
      <c r="N322" s="372">
        <v>75</v>
      </c>
      <c r="O322" s="338">
        <v>15</v>
      </c>
      <c r="P322" s="338">
        <v>15</v>
      </c>
      <c r="Q322" s="183" t="s">
        <v>1707</v>
      </c>
      <c r="R322" s="338" t="s">
        <v>1970</v>
      </c>
      <c r="S322" s="767"/>
      <c r="T322" s="419">
        <v>58.5</v>
      </c>
      <c r="U322" s="391">
        <v>0</v>
      </c>
      <c r="V322" s="26" t="s">
        <v>749</v>
      </c>
      <c r="W322" s="132"/>
      <c r="X322" s="396">
        <v>0</v>
      </c>
      <c r="Y322" s="410">
        <v>2</v>
      </c>
      <c r="Z322" s="396">
        <v>1</v>
      </c>
      <c r="AA322" s="810">
        <v>7.0637037037037036</v>
      </c>
      <c r="AB322" s="396">
        <v>4</v>
      </c>
      <c r="AC322" s="410">
        <v>1</v>
      </c>
      <c r="AD322" s="29">
        <v>0</v>
      </c>
      <c r="AE322" s="396">
        <v>1</v>
      </c>
      <c r="AF322" s="441" t="s">
        <v>2299</v>
      </c>
    </row>
    <row r="323" spans="1:33" s="285" customFormat="1" ht="27.6" customHeight="1">
      <c r="A323" s="346" t="s">
        <v>1751</v>
      </c>
      <c r="B323" s="182">
        <v>13</v>
      </c>
      <c r="C323" s="346" t="s">
        <v>1752</v>
      </c>
      <c r="D323" s="183">
        <v>62</v>
      </c>
      <c r="E323" s="182" t="s">
        <v>466</v>
      </c>
      <c r="F323" s="350">
        <v>44857</v>
      </c>
      <c r="G323" s="364" t="s">
        <v>2298</v>
      </c>
      <c r="H323" s="132" t="s">
        <v>1905</v>
      </c>
      <c r="I323" s="431">
        <v>15</v>
      </c>
      <c r="J323" s="390">
        <v>40</v>
      </c>
      <c r="K323" s="390">
        <v>60</v>
      </c>
      <c r="L323" s="389">
        <v>-20</v>
      </c>
      <c r="M323" s="372">
        <v>97.5</v>
      </c>
      <c r="N323" s="372">
        <v>97.5</v>
      </c>
      <c r="O323" s="338">
        <v>37.5</v>
      </c>
      <c r="P323" s="338">
        <v>47.5</v>
      </c>
      <c r="Q323" s="183" t="s">
        <v>1706</v>
      </c>
      <c r="R323" s="338" t="s">
        <v>1972</v>
      </c>
      <c r="S323" s="767"/>
      <c r="T323" s="419">
        <v>98</v>
      </c>
      <c r="U323" s="391">
        <v>0</v>
      </c>
      <c r="V323" s="129" t="s">
        <v>749</v>
      </c>
      <c r="W323" s="132" t="s">
        <v>749</v>
      </c>
      <c r="X323" s="427">
        <v>0</v>
      </c>
      <c r="Y323" s="410">
        <v>2</v>
      </c>
      <c r="Z323" s="396">
        <v>1</v>
      </c>
      <c r="AA323" s="810"/>
      <c r="AB323" s="396"/>
      <c r="AC323" s="410">
        <v>2</v>
      </c>
      <c r="AD323" s="29">
        <v>0</v>
      </c>
      <c r="AE323" s="396">
        <v>1</v>
      </c>
      <c r="AF323" s="441" t="s">
        <v>2299</v>
      </c>
    </row>
    <row r="324" spans="1:33" s="285" customFormat="1" ht="27.6" customHeight="1">
      <c r="A324" s="346" t="s">
        <v>1751</v>
      </c>
      <c r="B324" s="182">
        <v>13</v>
      </c>
      <c r="C324" s="346" t="s">
        <v>1752</v>
      </c>
      <c r="D324" s="183">
        <v>63</v>
      </c>
      <c r="E324" s="182" t="s">
        <v>467</v>
      </c>
      <c r="F324" s="350">
        <v>44857</v>
      </c>
      <c r="G324" s="364" t="s">
        <v>2298</v>
      </c>
      <c r="H324" s="132" t="s">
        <v>1905</v>
      </c>
      <c r="I324" s="431">
        <v>15</v>
      </c>
      <c r="J324" s="390">
        <v>20</v>
      </c>
      <c r="K324" s="390">
        <v>50</v>
      </c>
      <c r="L324" s="389">
        <v>-30</v>
      </c>
      <c r="M324" s="372">
        <v>95</v>
      </c>
      <c r="N324" s="372">
        <v>97.5</v>
      </c>
      <c r="O324" s="338">
        <v>45</v>
      </c>
      <c r="P324" s="338">
        <v>65</v>
      </c>
      <c r="Q324" s="183" t="s">
        <v>1706</v>
      </c>
      <c r="R324" s="338" t="s">
        <v>1973</v>
      </c>
      <c r="S324" s="767"/>
      <c r="T324" s="419">
        <v>29.5</v>
      </c>
      <c r="U324" s="391">
        <v>0</v>
      </c>
      <c r="V324" s="129" t="s">
        <v>749</v>
      </c>
      <c r="W324" s="132" t="s">
        <v>749</v>
      </c>
      <c r="X324" s="427">
        <v>0</v>
      </c>
      <c r="Y324" s="410">
        <v>2</v>
      </c>
      <c r="Z324" s="396">
        <v>1</v>
      </c>
      <c r="AA324" s="810">
        <v>5.5686466165413524</v>
      </c>
      <c r="AB324" s="396">
        <v>4</v>
      </c>
      <c r="AC324" s="410">
        <v>1</v>
      </c>
      <c r="AD324" s="29">
        <v>0</v>
      </c>
      <c r="AE324" s="396">
        <v>6</v>
      </c>
      <c r="AF324" s="441" t="s">
        <v>2299</v>
      </c>
    </row>
    <row r="325" spans="1:33" s="285" customFormat="1" ht="27.6" customHeight="1">
      <c r="A325" s="346" t="s">
        <v>1751</v>
      </c>
      <c r="B325" s="182">
        <v>13</v>
      </c>
      <c r="C325" s="346" t="s">
        <v>1752</v>
      </c>
      <c r="D325" s="183">
        <v>64</v>
      </c>
      <c r="E325" s="182" t="s">
        <v>468</v>
      </c>
      <c r="F325" s="350">
        <v>44857</v>
      </c>
      <c r="G325" s="364" t="s">
        <v>2298</v>
      </c>
      <c r="H325" s="132" t="s">
        <v>1905</v>
      </c>
      <c r="I325" s="431">
        <v>15</v>
      </c>
      <c r="J325" s="390">
        <v>40</v>
      </c>
      <c r="K325" s="390">
        <v>50</v>
      </c>
      <c r="L325" s="389">
        <v>-10</v>
      </c>
      <c r="M325" s="372">
        <v>90</v>
      </c>
      <c r="N325" s="372">
        <v>90</v>
      </c>
      <c r="O325" s="338">
        <v>20</v>
      </c>
      <c r="P325" s="338">
        <v>17.5</v>
      </c>
      <c r="Q325" s="183" t="s">
        <v>1707</v>
      </c>
      <c r="R325" s="338" t="s">
        <v>1973</v>
      </c>
      <c r="S325" s="767"/>
      <c r="T325" s="419">
        <v>85</v>
      </c>
      <c r="U325" s="391">
        <v>0</v>
      </c>
      <c r="V325" s="26" t="s">
        <v>749</v>
      </c>
      <c r="W325" s="132"/>
      <c r="X325" s="396">
        <v>0</v>
      </c>
      <c r="Y325" s="410">
        <v>2</v>
      </c>
      <c r="Z325" s="396">
        <v>1</v>
      </c>
      <c r="AA325" s="810">
        <v>22.470303030303032</v>
      </c>
      <c r="AB325" s="396" t="s">
        <v>1738</v>
      </c>
      <c r="AC325" s="410">
        <v>3</v>
      </c>
      <c r="AD325" s="29">
        <v>0</v>
      </c>
      <c r="AE325" s="396">
        <v>11</v>
      </c>
      <c r="AF325" s="441" t="s">
        <v>2299</v>
      </c>
    </row>
    <row r="326" spans="1:33" s="285" customFormat="1" ht="27.6" customHeight="1">
      <c r="A326" s="346" t="s">
        <v>1751</v>
      </c>
      <c r="B326" s="182">
        <v>13</v>
      </c>
      <c r="C326" s="346" t="s">
        <v>1752</v>
      </c>
      <c r="D326" s="183">
        <v>65</v>
      </c>
      <c r="E326" s="182" t="s">
        <v>469</v>
      </c>
      <c r="F326" s="350">
        <v>44857</v>
      </c>
      <c r="G326" s="364" t="s">
        <v>2298</v>
      </c>
      <c r="H326" s="132" t="s">
        <v>1905</v>
      </c>
      <c r="I326" s="431">
        <v>15</v>
      </c>
      <c r="J326" s="390">
        <v>60</v>
      </c>
      <c r="K326" s="390">
        <v>70</v>
      </c>
      <c r="L326" s="389">
        <v>-10</v>
      </c>
      <c r="M326" s="372">
        <v>95</v>
      </c>
      <c r="N326" s="372">
        <v>97.5</v>
      </c>
      <c r="O326" s="338">
        <v>15</v>
      </c>
      <c r="P326" s="338">
        <v>17.5</v>
      </c>
      <c r="Q326" s="183" t="s">
        <v>1706</v>
      </c>
      <c r="R326" s="338" t="s">
        <v>1974</v>
      </c>
      <c r="S326" s="767"/>
      <c r="T326" s="419">
        <v>61.5</v>
      </c>
      <c r="U326" s="391">
        <v>0</v>
      </c>
      <c r="V326" s="26" t="s">
        <v>749</v>
      </c>
      <c r="W326" s="132"/>
      <c r="X326" s="396">
        <v>0</v>
      </c>
      <c r="Y326" s="410">
        <v>3</v>
      </c>
      <c r="Z326" s="396">
        <v>1</v>
      </c>
      <c r="AA326" s="810">
        <v>2.2274586466165411</v>
      </c>
      <c r="AB326" s="396">
        <v>3</v>
      </c>
      <c r="AC326" s="410">
        <v>8</v>
      </c>
      <c r="AD326" s="29">
        <v>1</v>
      </c>
      <c r="AE326" s="396">
        <v>23</v>
      </c>
      <c r="AF326" s="441" t="s">
        <v>2299</v>
      </c>
      <c r="AG326" s="306"/>
    </row>
    <row r="327" spans="1:33" ht="27.6" customHeight="1">
      <c r="A327" s="346" t="s">
        <v>1751</v>
      </c>
      <c r="B327" s="182">
        <v>13</v>
      </c>
      <c r="C327" s="346" t="s">
        <v>1752</v>
      </c>
      <c r="D327" s="183">
        <v>67</v>
      </c>
      <c r="E327" s="182" t="s">
        <v>470</v>
      </c>
      <c r="F327" s="350">
        <v>44858</v>
      </c>
      <c r="G327" s="364" t="s">
        <v>2298</v>
      </c>
      <c r="H327" s="132" t="s">
        <v>1905</v>
      </c>
      <c r="I327" s="431">
        <v>15</v>
      </c>
      <c r="J327" s="390">
        <v>20</v>
      </c>
      <c r="K327" s="390">
        <v>30</v>
      </c>
      <c r="L327" s="389">
        <v>-10</v>
      </c>
      <c r="M327" s="372">
        <v>97.5</v>
      </c>
      <c r="N327" s="372">
        <v>92.5</v>
      </c>
      <c r="O327" s="338">
        <v>22.5</v>
      </c>
      <c r="P327" s="338">
        <v>27.5</v>
      </c>
      <c r="Q327" s="183" t="s">
        <v>1707</v>
      </c>
      <c r="R327" s="338" t="s">
        <v>1954</v>
      </c>
      <c r="S327" s="767"/>
      <c r="T327" s="419">
        <v>13.333333333333334</v>
      </c>
      <c r="U327" s="391">
        <v>0</v>
      </c>
      <c r="V327" s="129" t="s">
        <v>749</v>
      </c>
      <c r="W327" s="132" t="s">
        <v>749</v>
      </c>
      <c r="X327" s="427">
        <v>0</v>
      </c>
      <c r="Y327" s="410">
        <v>2</v>
      </c>
      <c r="Z327" s="396">
        <v>1</v>
      </c>
      <c r="AA327" s="810">
        <v>39.628299319727894</v>
      </c>
      <c r="AB327" s="396" t="s">
        <v>1753</v>
      </c>
      <c r="AC327" s="410">
        <v>0</v>
      </c>
      <c r="AD327" s="29">
        <v>0</v>
      </c>
      <c r="AE327" s="396">
        <v>2</v>
      </c>
      <c r="AF327" s="441" t="s">
        <v>2299</v>
      </c>
    </row>
    <row r="328" spans="1:33" s="285" customFormat="1" ht="27.6" customHeight="1">
      <c r="A328" s="346" t="s">
        <v>1751</v>
      </c>
      <c r="B328" s="182">
        <v>13</v>
      </c>
      <c r="C328" s="346" t="s">
        <v>1752</v>
      </c>
      <c r="D328" s="183">
        <v>68</v>
      </c>
      <c r="E328" s="182" t="s">
        <v>471</v>
      </c>
      <c r="F328" s="350">
        <v>44875</v>
      </c>
      <c r="G328" s="364" t="s">
        <v>2298</v>
      </c>
      <c r="H328" s="132" t="s">
        <v>1905</v>
      </c>
      <c r="I328" s="431">
        <v>15</v>
      </c>
      <c r="J328" s="390">
        <v>20</v>
      </c>
      <c r="K328" s="390">
        <v>20</v>
      </c>
      <c r="L328" s="389">
        <v>0</v>
      </c>
      <c r="M328" s="372">
        <v>97.5</v>
      </c>
      <c r="N328" s="372">
        <v>95</v>
      </c>
      <c r="O328" s="338">
        <v>27.5</v>
      </c>
      <c r="P328" s="338">
        <v>47.5</v>
      </c>
      <c r="Q328" s="183" t="s">
        <v>1707</v>
      </c>
      <c r="R328" s="338" t="s">
        <v>1975</v>
      </c>
      <c r="S328" s="767"/>
      <c r="T328" s="419">
        <v>15</v>
      </c>
      <c r="U328" s="391">
        <v>0</v>
      </c>
      <c r="V328" s="129" t="s">
        <v>749</v>
      </c>
      <c r="W328" s="132" t="s">
        <v>749</v>
      </c>
      <c r="X328" s="427">
        <v>0</v>
      </c>
      <c r="Y328" s="410">
        <v>2</v>
      </c>
      <c r="Z328" s="396">
        <v>1</v>
      </c>
      <c r="AA328" s="810">
        <v>9.9871232876712348</v>
      </c>
      <c r="AB328" s="396">
        <v>4</v>
      </c>
      <c r="AC328" s="410">
        <v>0</v>
      </c>
      <c r="AD328" s="29">
        <v>0</v>
      </c>
      <c r="AE328" s="396">
        <v>2</v>
      </c>
      <c r="AF328" s="441" t="s">
        <v>2299</v>
      </c>
    </row>
    <row r="329" spans="1:33" ht="27.6" customHeight="1">
      <c r="A329" s="346" t="s">
        <v>1751</v>
      </c>
      <c r="B329" s="182">
        <v>13</v>
      </c>
      <c r="C329" s="346" t="s">
        <v>1752</v>
      </c>
      <c r="D329" s="183">
        <v>71</v>
      </c>
      <c r="E329" s="182" t="s">
        <v>472</v>
      </c>
      <c r="F329" s="350">
        <v>44856</v>
      </c>
      <c r="G329" s="364" t="s">
        <v>2298</v>
      </c>
      <c r="H329" s="132" t="s">
        <v>1905</v>
      </c>
      <c r="I329" s="431">
        <v>15</v>
      </c>
      <c r="J329" s="390">
        <v>70</v>
      </c>
      <c r="K329" s="390">
        <v>70</v>
      </c>
      <c r="L329" s="389">
        <v>0</v>
      </c>
      <c r="M329" s="372">
        <v>77.5</v>
      </c>
      <c r="N329" s="372">
        <v>67.5</v>
      </c>
      <c r="O329" s="338">
        <v>10</v>
      </c>
      <c r="P329" s="338">
        <v>10</v>
      </c>
      <c r="Q329" s="183" t="s">
        <v>1707</v>
      </c>
      <c r="R329" s="338" t="s">
        <v>1976</v>
      </c>
      <c r="S329" s="767"/>
      <c r="T329" s="419">
        <v>97.5</v>
      </c>
      <c r="U329" s="391">
        <v>0</v>
      </c>
      <c r="V329" s="129" t="s">
        <v>749</v>
      </c>
      <c r="W329" s="132" t="s">
        <v>749</v>
      </c>
      <c r="X329" s="427">
        <v>0</v>
      </c>
      <c r="Y329" s="410">
        <v>2</v>
      </c>
      <c r="Z329" s="396">
        <v>1</v>
      </c>
      <c r="AA329" s="810"/>
      <c r="AB329" s="396"/>
      <c r="AC329" s="410">
        <v>0</v>
      </c>
      <c r="AD329" s="29">
        <v>0</v>
      </c>
      <c r="AE329" s="396">
        <v>17</v>
      </c>
      <c r="AF329" s="441" t="s">
        <v>2299</v>
      </c>
      <c r="AG329" s="285"/>
    </row>
    <row r="330" spans="1:33" s="285" customFormat="1" ht="27.6" customHeight="1">
      <c r="A330" s="346" t="s">
        <v>1751</v>
      </c>
      <c r="B330" s="182">
        <v>13</v>
      </c>
      <c r="C330" s="346" t="s">
        <v>1752</v>
      </c>
      <c r="D330" s="183">
        <v>72</v>
      </c>
      <c r="E330" s="182" t="s">
        <v>473</v>
      </c>
      <c r="F330" s="350">
        <v>44856</v>
      </c>
      <c r="G330" s="364" t="s">
        <v>2298</v>
      </c>
      <c r="H330" s="132" t="s">
        <v>1905</v>
      </c>
      <c r="I330" s="431">
        <v>15</v>
      </c>
      <c r="J330" s="390">
        <v>40</v>
      </c>
      <c r="K330" s="390">
        <v>50</v>
      </c>
      <c r="L330" s="389">
        <v>-10</v>
      </c>
      <c r="M330" s="372">
        <v>80</v>
      </c>
      <c r="N330" s="372">
        <v>77.5</v>
      </c>
      <c r="O330" s="338">
        <v>12.5</v>
      </c>
      <c r="P330" s="338">
        <v>15</v>
      </c>
      <c r="Q330" s="183" t="s">
        <v>1707</v>
      </c>
      <c r="R330" s="338" t="s">
        <v>1977</v>
      </c>
      <c r="S330" s="767"/>
      <c r="T330" s="419">
        <v>77</v>
      </c>
      <c r="U330" s="391">
        <v>0</v>
      </c>
      <c r="V330" s="129" t="s">
        <v>749</v>
      </c>
      <c r="W330" s="132" t="s">
        <v>749</v>
      </c>
      <c r="X330" s="427">
        <v>0</v>
      </c>
      <c r="Y330" s="410">
        <v>2</v>
      </c>
      <c r="Z330" s="396">
        <v>1</v>
      </c>
      <c r="AA330" s="810"/>
      <c r="AB330" s="396"/>
      <c r="AC330" s="410">
        <v>0</v>
      </c>
      <c r="AD330" s="29">
        <v>0</v>
      </c>
      <c r="AE330" s="396">
        <v>54</v>
      </c>
      <c r="AF330" s="441" t="s">
        <v>2299</v>
      </c>
      <c r="AG330" s="306"/>
    </row>
    <row r="331" spans="1:33" s="285" customFormat="1" ht="27.6" customHeight="1">
      <c r="A331" s="346" t="s">
        <v>1751</v>
      </c>
      <c r="B331" s="182">
        <v>13</v>
      </c>
      <c r="C331" s="346" t="s">
        <v>1752</v>
      </c>
      <c r="D331" s="183">
        <v>73</v>
      </c>
      <c r="E331" s="182" t="s">
        <v>474</v>
      </c>
      <c r="F331" s="350">
        <v>44856</v>
      </c>
      <c r="G331" s="364" t="s">
        <v>2298</v>
      </c>
      <c r="H331" s="132" t="s">
        <v>1905</v>
      </c>
      <c r="I331" s="431">
        <v>15</v>
      </c>
      <c r="J331" s="390">
        <v>40</v>
      </c>
      <c r="K331" s="390">
        <v>40</v>
      </c>
      <c r="L331" s="389">
        <v>0</v>
      </c>
      <c r="M331" s="372">
        <v>77.5</v>
      </c>
      <c r="N331" s="372">
        <v>75</v>
      </c>
      <c r="O331" s="338">
        <v>15</v>
      </c>
      <c r="P331" s="338">
        <v>17.5</v>
      </c>
      <c r="Q331" s="183" t="s">
        <v>1707</v>
      </c>
      <c r="R331" s="338" t="s">
        <v>1978</v>
      </c>
      <c r="S331" s="767"/>
      <c r="T331" s="419">
        <v>66</v>
      </c>
      <c r="U331" s="391">
        <v>0</v>
      </c>
      <c r="V331" s="26" t="s">
        <v>749</v>
      </c>
      <c r="W331" s="132"/>
      <c r="X331" s="396">
        <v>0</v>
      </c>
      <c r="Y331" s="410">
        <v>2</v>
      </c>
      <c r="Z331" s="396">
        <v>1</v>
      </c>
      <c r="AA331" s="810"/>
      <c r="AB331" s="396"/>
      <c r="AC331" s="410">
        <v>1</v>
      </c>
      <c r="AD331" s="29">
        <v>0</v>
      </c>
      <c r="AE331" s="396">
        <v>5</v>
      </c>
      <c r="AF331" s="441" t="s">
        <v>2299</v>
      </c>
    </row>
    <row r="332" spans="1:33" s="285" customFormat="1" ht="27.6" customHeight="1">
      <c r="A332" s="346" t="s">
        <v>1751</v>
      </c>
      <c r="B332" s="182">
        <v>13</v>
      </c>
      <c r="C332" s="346" t="s">
        <v>1752</v>
      </c>
      <c r="D332" s="183">
        <v>74</v>
      </c>
      <c r="E332" s="182" t="s">
        <v>475</v>
      </c>
      <c r="F332" s="350">
        <v>44856</v>
      </c>
      <c r="G332" s="364" t="s">
        <v>2298</v>
      </c>
      <c r="H332" s="132" t="s">
        <v>1905</v>
      </c>
      <c r="I332" s="431">
        <v>15</v>
      </c>
      <c r="J332" s="390">
        <v>30</v>
      </c>
      <c r="K332" s="390">
        <v>40</v>
      </c>
      <c r="L332" s="389">
        <v>-10</v>
      </c>
      <c r="M332" s="372">
        <v>80</v>
      </c>
      <c r="N332" s="372">
        <v>80</v>
      </c>
      <c r="O332" s="338">
        <v>20</v>
      </c>
      <c r="P332" s="338">
        <v>22.5</v>
      </c>
      <c r="Q332" s="314" t="s">
        <v>1942</v>
      </c>
      <c r="R332" s="338" t="s">
        <v>1979</v>
      </c>
      <c r="S332" s="767"/>
      <c r="T332" s="419">
        <v>52</v>
      </c>
      <c r="U332" s="391">
        <v>0</v>
      </c>
      <c r="V332" s="129" t="s">
        <v>749</v>
      </c>
      <c r="W332" s="132" t="s">
        <v>749</v>
      </c>
      <c r="X332" s="427">
        <v>0</v>
      </c>
      <c r="Y332" s="410">
        <v>2</v>
      </c>
      <c r="Z332" s="396">
        <v>1</v>
      </c>
      <c r="AA332" s="810"/>
      <c r="AB332" s="396"/>
      <c r="AC332" s="410">
        <v>0</v>
      </c>
      <c r="AD332" s="29">
        <v>0</v>
      </c>
      <c r="AE332" s="396">
        <v>12</v>
      </c>
      <c r="AF332" s="441" t="s">
        <v>2299</v>
      </c>
    </row>
    <row r="333" spans="1:33" ht="27.6" customHeight="1">
      <c r="A333" s="346" t="s">
        <v>1751</v>
      </c>
      <c r="B333" s="182">
        <v>13</v>
      </c>
      <c r="C333" s="346" t="s">
        <v>1752</v>
      </c>
      <c r="D333" s="183">
        <v>75</v>
      </c>
      <c r="E333" s="182" t="s">
        <v>476</v>
      </c>
      <c r="F333" s="350">
        <v>44857</v>
      </c>
      <c r="G333" s="364" t="s">
        <v>2298</v>
      </c>
      <c r="H333" s="132" t="s">
        <v>1905</v>
      </c>
      <c r="I333" s="431">
        <v>15</v>
      </c>
      <c r="J333" s="390">
        <v>40</v>
      </c>
      <c r="K333" s="390">
        <v>40</v>
      </c>
      <c r="L333" s="389">
        <v>0</v>
      </c>
      <c r="M333" s="372">
        <v>70</v>
      </c>
      <c r="N333" s="372">
        <v>70</v>
      </c>
      <c r="O333" s="338">
        <v>10</v>
      </c>
      <c r="P333" s="338">
        <v>7.5</v>
      </c>
      <c r="Q333" s="183" t="s">
        <v>1707</v>
      </c>
      <c r="R333" s="338" t="s">
        <v>1980</v>
      </c>
      <c r="S333" s="767"/>
      <c r="T333" s="419">
        <v>47.5</v>
      </c>
      <c r="U333" s="391">
        <v>0</v>
      </c>
      <c r="V333" s="129" t="s">
        <v>749</v>
      </c>
      <c r="W333" s="132" t="s">
        <v>749</v>
      </c>
      <c r="X333" s="427">
        <v>0</v>
      </c>
      <c r="Y333" s="410">
        <v>2</v>
      </c>
      <c r="Z333" s="396">
        <v>1</v>
      </c>
      <c r="AA333" s="810"/>
      <c r="AB333" s="396"/>
      <c r="AC333" s="410">
        <v>0</v>
      </c>
      <c r="AD333" s="29">
        <v>0</v>
      </c>
      <c r="AE333" s="396">
        <v>14</v>
      </c>
      <c r="AF333" s="441" t="s">
        <v>2299</v>
      </c>
      <c r="AG333" s="285"/>
    </row>
    <row r="334" spans="1:33" ht="27.6" customHeight="1">
      <c r="A334" s="346" t="s">
        <v>1751</v>
      </c>
      <c r="B334" s="182">
        <v>13</v>
      </c>
      <c r="C334" s="346" t="s">
        <v>1752</v>
      </c>
      <c r="D334" s="183">
        <v>110</v>
      </c>
      <c r="E334" s="182" t="s">
        <v>477</v>
      </c>
      <c r="F334" s="350">
        <v>44875</v>
      </c>
      <c r="G334" s="364" t="s">
        <v>2298</v>
      </c>
      <c r="H334" s="132" t="s">
        <v>1905</v>
      </c>
      <c r="I334" s="431">
        <v>15</v>
      </c>
      <c r="J334" s="390">
        <v>10</v>
      </c>
      <c r="K334" s="390">
        <v>10</v>
      </c>
      <c r="L334" s="389">
        <v>0</v>
      </c>
      <c r="M334" s="372">
        <v>82.5</v>
      </c>
      <c r="N334" s="372">
        <v>89.5</v>
      </c>
      <c r="O334" s="338">
        <v>30</v>
      </c>
      <c r="P334" s="338">
        <v>55</v>
      </c>
      <c r="Q334" s="183" t="s">
        <v>1707</v>
      </c>
      <c r="R334" s="338" t="s">
        <v>1952</v>
      </c>
      <c r="S334" s="767"/>
      <c r="T334" s="419">
        <v>16</v>
      </c>
      <c r="U334" s="391">
        <v>0</v>
      </c>
      <c r="V334" s="129" t="s">
        <v>749</v>
      </c>
      <c r="W334" s="132" t="s">
        <v>749</v>
      </c>
      <c r="X334" s="427">
        <v>0</v>
      </c>
      <c r="Y334" s="410">
        <v>2</v>
      </c>
      <c r="Z334" s="396">
        <v>1</v>
      </c>
      <c r="AA334" s="810">
        <v>12.074838709677419</v>
      </c>
      <c r="AB334" s="396" t="s">
        <v>1738</v>
      </c>
      <c r="AC334" s="410">
        <v>0</v>
      </c>
      <c r="AD334" s="29">
        <v>0</v>
      </c>
      <c r="AE334" s="396">
        <v>0</v>
      </c>
      <c r="AF334" s="441" t="s">
        <v>2299</v>
      </c>
      <c r="AG334" s="285"/>
    </row>
    <row r="335" spans="1:33" s="285" customFormat="1" ht="27.6" customHeight="1">
      <c r="A335" s="346" t="s">
        <v>1751</v>
      </c>
      <c r="B335" s="182">
        <v>13</v>
      </c>
      <c r="C335" s="346" t="s">
        <v>1752</v>
      </c>
      <c r="D335" s="183">
        <v>112</v>
      </c>
      <c r="E335" s="182" t="s">
        <v>478</v>
      </c>
      <c r="F335" s="350">
        <v>44875</v>
      </c>
      <c r="G335" s="364" t="s">
        <v>2298</v>
      </c>
      <c r="H335" s="132" t="s">
        <v>1905</v>
      </c>
      <c r="I335" s="431">
        <v>15</v>
      </c>
      <c r="J335" s="390">
        <v>30</v>
      </c>
      <c r="K335" s="390">
        <v>30</v>
      </c>
      <c r="L335" s="389">
        <v>0</v>
      </c>
      <c r="M335" s="372">
        <v>75</v>
      </c>
      <c r="N335" s="372">
        <v>85</v>
      </c>
      <c r="O335" s="338">
        <v>22.5</v>
      </c>
      <c r="P335" s="338">
        <v>30</v>
      </c>
      <c r="Q335" s="183" t="s">
        <v>1882</v>
      </c>
      <c r="R335" s="338" t="s">
        <v>1946</v>
      </c>
      <c r="S335" s="767"/>
      <c r="T335" s="419">
        <v>33.888888888888886</v>
      </c>
      <c r="U335" s="391">
        <v>0</v>
      </c>
      <c r="V335" s="129" t="s">
        <v>749</v>
      </c>
      <c r="W335" s="132" t="s">
        <v>749</v>
      </c>
      <c r="X335" s="427">
        <v>0</v>
      </c>
      <c r="Y335" s="410">
        <v>2</v>
      </c>
      <c r="Z335" s="396">
        <v>1</v>
      </c>
      <c r="AA335" s="810">
        <v>70.531414868105514</v>
      </c>
      <c r="AB335" s="396">
        <v>6</v>
      </c>
      <c r="AC335" s="410">
        <v>3</v>
      </c>
      <c r="AD335" s="29">
        <v>7</v>
      </c>
      <c r="AE335" s="396">
        <v>8</v>
      </c>
      <c r="AF335" s="441" t="s">
        <v>2299</v>
      </c>
    </row>
    <row r="336" spans="1:33" s="285" customFormat="1" ht="27.6" customHeight="1" thickBot="1">
      <c r="A336" s="466" t="s">
        <v>1751</v>
      </c>
      <c r="B336" s="192">
        <v>13</v>
      </c>
      <c r="C336" s="466" t="s">
        <v>1752</v>
      </c>
      <c r="D336" s="193">
        <v>116</v>
      </c>
      <c r="E336" s="192" t="s">
        <v>479</v>
      </c>
      <c r="F336" s="478">
        <v>44856</v>
      </c>
      <c r="G336" s="543" t="s">
        <v>2298</v>
      </c>
      <c r="H336" s="583" t="s">
        <v>1905</v>
      </c>
      <c r="I336" s="503">
        <v>15</v>
      </c>
      <c r="J336" s="497">
        <v>30</v>
      </c>
      <c r="K336" s="497">
        <v>60</v>
      </c>
      <c r="L336" s="389">
        <v>-30</v>
      </c>
      <c r="M336" s="499">
        <v>87.5</v>
      </c>
      <c r="N336" s="499">
        <v>90</v>
      </c>
      <c r="O336" s="482">
        <v>30</v>
      </c>
      <c r="P336" s="482">
        <v>35</v>
      </c>
      <c r="Q336" s="193" t="s">
        <v>1707</v>
      </c>
      <c r="R336" s="482" t="s">
        <v>1992</v>
      </c>
      <c r="S336" s="795"/>
      <c r="T336" s="483">
        <v>80.5</v>
      </c>
      <c r="U336" s="484">
        <v>0</v>
      </c>
      <c r="V336" s="594" t="s">
        <v>749</v>
      </c>
      <c r="W336" s="583" t="s">
        <v>749</v>
      </c>
      <c r="X336" s="485">
        <v>0</v>
      </c>
      <c r="Y336" s="486">
        <v>2</v>
      </c>
      <c r="Z336" s="487">
        <v>1</v>
      </c>
      <c r="AA336" s="811"/>
      <c r="AB336" s="487"/>
      <c r="AC336" s="486">
        <v>1</v>
      </c>
      <c r="AD336" s="75">
        <v>0</v>
      </c>
      <c r="AE336" s="487">
        <v>26</v>
      </c>
      <c r="AF336" s="504" t="s">
        <v>2299</v>
      </c>
    </row>
    <row r="337" spans="1:33" s="285" customFormat="1" ht="27.6" customHeight="1" thickTop="1">
      <c r="A337" s="455" t="s">
        <v>1754</v>
      </c>
      <c r="B337" s="179">
        <v>14</v>
      </c>
      <c r="C337" s="455" t="s">
        <v>1755</v>
      </c>
      <c r="D337" s="180">
        <v>46</v>
      </c>
      <c r="E337" s="179" t="s">
        <v>480</v>
      </c>
      <c r="F337" s="458">
        <v>44879</v>
      </c>
      <c r="G337" s="459" t="s">
        <v>2298</v>
      </c>
      <c r="H337" s="141" t="s">
        <v>1905</v>
      </c>
      <c r="I337" s="464">
        <v>15</v>
      </c>
      <c r="J337" s="389">
        <v>10</v>
      </c>
      <c r="K337" s="389">
        <v>10</v>
      </c>
      <c r="L337" s="389">
        <v>0</v>
      </c>
      <c r="M337" s="509">
        <v>92.5</v>
      </c>
      <c r="N337" s="509">
        <v>97.5</v>
      </c>
      <c r="O337" s="461">
        <v>50</v>
      </c>
      <c r="P337" s="461">
        <v>70</v>
      </c>
      <c r="Q337" s="180" t="s">
        <v>1707</v>
      </c>
      <c r="R337" s="461" t="s">
        <v>1964</v>
      </c>
      <c r="S337" s="794"/>
      <c r="T337" s="471">
        <v>36.5</v>
      </c>
      <c r="U337" s="462">
        <v>0</v>
      </c>
      <c r="V337" s="138" t="s">
        <v>749</v>
      </c>
      <c r="W337" s="141" t="s">
        <v>749</v>
      </c>
      <c r="X337" s="472">
        <v>0</v>
      </c>
      <c r="Y337" s="463">
        <v>2</v>
      </c>
      <c r="Z337" s="460">
        <v>1</v>
      </c>
      <c r="AA337" s="816">
        <v>21.338550724637681</v>
      </c>
      <c r="AB337" s="460" t="s">
        <v>1738</v>
      </c>
      <c r="AC337" s="463">
        <v>1</v>
      </c>
      <c r="AD337" s="87">
        <v>0</v>
      </c>
      <c r="AE337" s="460">
        <v>19</v>
      </c>
      <c r="AF337" s="513" t="s">
        <v>2299</v>
      </c>
    </row>
    <row r="338" spans="1:33" s="285" customFormat="1" ht="27.6" customHeight="1">
      <c r="A338" s="346" t="s">
        <v>1754</v>
      </c>
      <c r="B338" s="182">
        <v>14</v>
      </c>
      <c r="C338" s="346" t="s">
        <v>1755</v>
      </c>
      <c r="D338" s="183">
        <v>47</v>
      </c>
      <c r="E338" s="182" t="s">
        <v>481</v>
      </c>
      <c r="F338" s="350">
        <v>44879</v>
      </c>
      <c r="G338" s="364" t="s">
        <v>2298</v>
      </c>
      <c r="H338" s="132" t="s">
        <v>1905</v>
      </c>
      <c r="I338" s="431">
        <v>15</v>
      </c>
      <c r="J338" s="390" t="s">
        <v>1711</v>
      </c>
      <c r="K338" s="390">
        <v>10</v>
      </c>
      <c r="L338" s="389" t="e">
        <v>#VALUE!</v>
      </c>
      <c r="M338" s="372">
        <v>80</v>
      </c>
      <c r="N338" s="372">
        <v>90</v>
      </c>
      <c r="O338" s="338">
        <v>22.5</v>
      </c>
      <c r="P338" s="338">
        <v>57.5</v>
      </c>
      <c r="Q338" s="183" t="s">
        <v>1882</v>
      </c>
      <c r="R338" s="338" t="s">
        <v>1965</v>
      </c>
      <c r="S338" s="767"/>
      <c r="T338" s="419">
        <v>11.666666666666666</v>
      </c>
      <c r="U338" s="391">
        <v>0</v>
      </c>
      <c r="V338" s="26" t="s">
        <v>749</v>
      </c>
      <c r="W338" s="132"/>
      <c r="X338" s="396">
        <v>0</v>
      </c>
      <c r="Y338" s="410">
        <v>2</v>
      </c>
      <c r="Z338" s="396">
        <v>1</v>
      </c>
      <c r="AA338" s="810">
        <v>23.49511811023622</v>
      </c>
      <c r="AB338" s="396" t="s">
        <v>1738</v>
      </c>
      <c r="AC338" s="410">
        <v>2</v>
      </c>
      <c r="AD338" s="29">
        <v>1</v>
      </c>
      <c r="AE338" s="396">
        <v>1</v>
      </c>
      <c r="AF338" s="441" t="s">
        <v>2299</v>
      </c>
    </row>
    <row r="339" spans="1:33" s="285" customFormat="1" ht="27.6" customHeight="1">
      <c r="A339" s="346" t="s">
        <v>1754</v>
      </c>
      <c r="B339" s="182">
        <v>14</v>
      </c>
      <c r="C339" s="346" t="s">
        <v>1755</v>
      </c>
      <c r="D339" s="183">
        <v>54</v>
      </c>
      <c r="E339" s="182" t="s">
        <v>482</v>
      </c>
      <c r="F339" s="350">
        <v>44869</v>
      </c>
      <c r="G339" s="364" t="s">
        <v>2298</v>
      </c>
      <c r="H339" s="132" t="s">
        <v>1905</v>
      </c>
      <c r="I339" s="431">
        <v>15</v>
      </c>
      <c r="J339" s="390">
        <v>10</v>
      </c>
      <c r="K339" s="390">
        <v>10</v>
      </c>
      <c r="L339" s="389">
        <v>0</v>
      </c>
      <c r="M339" s="372">
        <v>92.5</v>
      </c>
      <c r="N339" s="372">
        <v>92.5</v>
      </c>
      <c r="O339" s="338">
        <v>15</v>
      </c>
      <c r="P339" s="338">
        <v>22.5</v>
      </c>
      <c r="Q339" s="183" t="s">
        <v>1707</v>
      </c>
      <c r="R339" s="338" t="s">
        <v>1971</v>
      </c>
      <c r="S339" s="767"/>
      <c r="T339" s="419">
        <v>24</v>
      </c>
      <c r="U339" s="391">
        <v>0</v>
      </c>
      <c r="V339" s="129" t="s">
        <v>749</v>
      </c>
      <c r="W339" s="132" t="s">
        <v>749</v>
      </c>
      <c r="X339" s="427">
        <v>0</v>
      </c>
      <c r="Y339" s="410">
        <v>2</v>
      </c>
      <c r="Z339" s="396">
        <v>1</v>
      </c>
      <c r="AA339" s="810">
        <v>18.196744186046509</v>
      </c>
      <c r="AB339" s="396" t="s">
        <v>1738</v>
      </c>
      <c r="AC339" s="410">
        <v>1</v>
      </c>
      <c r="AD339" s="29">
        <v>0</v>
      </c>
      <c r="AE339" s="396">
        <v>0</v>
      </c>
      <c r="AF339" s="441" t="s">
        <v>2299</v>
      </c>
    </row>
    <row r="340" spans="1:33" ht="27.6" customHeight="1">
      <c r="A340" s="346" t="s">
        <v>1754</v>
      </c>
      <c r="B340" s="182">
        <v>14</v>
      </c>
      <c r="C340" s="346" t="s">
        <v>1755</v>
      </c>
      <c r="D340" s="183">
        <v>76</v>
      </c>
      <c r="E340" s="182" t="s">
        <v>483</v>
      </c>
      <c r="F340" s="350">
        <v>44882</v>
      </c>
      <c r="G340" s="364" t="s">
        <v>2298</v>
      </c>
      <c r="H340" s="132" t="s">
        <v>1905</v>
      </c>
      <c r="I340" s="431">
        <v>15</v>
      </c>
      <c r="J340" s="390">
        <v>10</v>
      </c>
      <c r="K340" s="390">
        <v>10</v>
      </c>
      <c r="L340" s="389">
        <v>0</v>
      </c>
      <c r="M340" s="372">
        <v>85</v>
      </c>
      <c r="N340" s="372">
        <v>97.5</v>
      </c>
      <c r="O340" s="338">
        <v>25</v>
      </c>
      <c r="P340" s="338">
        <v>45</v>
      </c>
      <c r="Q340" s="183" t="s">
        <v>1882</v>
      </c>
      <c r="R340" s="338" t="s">
        <v>1953</v>
      </c>
      <c r="S340" s="767"/>
      <c r="T340" s="419">
        <v>14</v>
      </c>
      <c r="U340" s="391">
        <v>0</v>
      </c>
      <c r="V340" s="129" t="s">
        <v>749</v>
      </c>
      <c r="W340" s="132" t="s">
        <v>749</v>
      </c>
      <c r="X340" s="427">
        <v>0</v>
      </c>
      <c r="Y340" s="410">
        <v>2</v>
      </c>
      <c r="Z340" s="396">
        <v>1</v>
      </c>
      <c r="AA340" s="810">
        <v>20.982857142857142</v>
      </c>
      <c r="AB340" s="396" t="s">
        <v>1738</v>
      </c>
      <c r="AC340" s="410">
        <v>1</v>
      </c>
      <c r="AD340" s="29">
        <v>0</v>
      </c>
      <c r="AE340" s="396">
        <v>0</v>
      </c>
      <c r="AF340" s="441" t="s">
        <v>2299</v>
      </c>
    </row>
    <row r="341" spans="1:33" s="285" customFormat="1" ht="27.6" customHeight="1">
      <c r="A341" s="346" t="s">
        <v>1754</v>
      </c>
      <c r="B341" s="182">
        <v>14</v>
      </c>
      <c r="C341" s="346" t="s">
        <v>1755</v>
      </c>
      <c r="D341" s="183">
        <v>77</v>
      </c>
      <c r="E341" s="182" t="s">
        <v>484</v>
      </c>
      <c r="F341" s="350">
        <v>44859</v>
      </c>
      <c r="G341" s="364" t="s">
        <v>2298</v>
      </c>
      <c r="H341" s="132" t="s">
        <v>1905</v>
      </c>
      <c r="I341" s="431">
        <v>15</v>
      </c>
      <c r="J341" s="390">
        <v>10</v>
      </c>
      <c r="K341" s="390">
        <v>10</v>
      </c>
      <c r="L341" s="389">
        <v>0</v>
      </c>
      <c r="M341" s="372">
        <v>87.5</v>
      </c>
      <c r="N341" s="372">
        <v>90</v>
      </c>
      <c r="O341" s="338">
        <v>25</v>
      </c>
      <c r="P341" s="338">
        <v>20</v>
      </c>
      <c r="Q341" s="183" t="s">
        <v>1707</v>
      </c>
      <c r="R341" s="338" t="s">
        <v>1953</v>
      </c>
      <c r="S341" s="767"/>
      <c r="T341" s="419">
        <v>40</v>
      </c>
      <c r="U341" s="391">
        <v>0</v>
      </c>
      <c r="V341" s="129" t="s">
        <v>749</v>
      </c>
      <c r="W341" s="132" t="s">
        <v>749</v>
      </c>
      <c r="X341" s="427">
        <v>0</v>
      </c>
      <c r="Y341" s="410">
        <v>2</v>
      </c>
      <c r="Z341" s="396">
        <v>1</v>
      </c>
      <c r="AA341" s="810">
        <v>14.71659574468085</v>
      </c>
      <c r="AB341" s="396" t="s">
        <v>1738</v>
      </c>
      <c r="AC341" s="410">
        <v>0</v>
      </c>
      <c r="AD341" s="29">
        <v>0</v>
      </c>
      <c r="AE341" s="396">
        <v>0</v>
      </c>
      <c r="AF341" s="441" t="s">
        <v>2299</v>
      </c>
    </row>
    <row r="342" spans="1:33" s="285" customFormat="1" ht="27.6" customHeight="1">
      <c r="A342" s="346" t="s">
        <v>1754</v>
      </c>
      <c r="B342" s="182">
        <v>14</v>
      </c>
      <c r="C342" s="346" t="s">
        <v>1755</v>
      </c>
      <c r="D342" s="183">
        <v>78</v>
      </c>
      <c r="E342" s="182" t="s">
        <v>485</v>
      </c>
      <c r="F342" s="350">
        <v>44859</v>
      </c>
      <c r="G342" s="364" t="s">
        <v>2298</v>
      </c>
      <c r="H342" s="132" t="s">
        <v>1905</v>
      </c>
      <c r="I342" s="431">
        <v>15</v>
      </c>
      <c r="J342" s="392" t="s">
        <v>1711</v>
      </c>
      <c r="K342" s="392">
        <v>2.5</v>
      </c>
      <c r="L342" s="389" t="e">
        <v>#VALUE!</v>
      </c>
      <c r="M342" s="372">
        <v>97.5</v>
      </c>
      <c r="N342" s="372">
        <v>95</v>
      </c>
      <c r="O342" s="338">
        <v>22.5</v>
      </c>
      <c r="P342" s="338">
        <v>30</v>
      </c>
      <c r="Q342" s="183" t="s">
        <v>1707</v>
      </c>
      <c r="R342" s="338" t="s">
        <v>1956</v>
      </c>
      <c r="S342" s="767"/>
      <c r="T342" s="419">
        <v>18.75</v>
      </c>
      <c r="U342" s="391">
        <v>0</v>
      </c>
      <c r="V342" s="129" t="s">
        <v>749</v>
      </c>
      <c r="W342" s="132" t="s">
        <v>749</v>
      </c>
      <c r="X342" s="427">
        <v>0</v>
      </c>
      <c r="Y342" s="410">
        <v>2</v>
      </c>
      <c r="Z342" s="396">
        <v>1</v>
      </c>
      <c r="AA342" s="810">
        <v>11.235151515151516</v>
      </c>
      <c r="AB342" s="396" t="s">
        <v>1738</v>
      </c>
      <c r="AC342" s="410">
        <v>0</v>
      </c>
      <c r="AD342" s="29">
        <v>0</v>
      </c>
      <c r="AE342" s="396">
        <v>13</v>
      </c>
      <c r="AF342" s="441" t="s">
        <v>2299</v>
      </c>
    </row>
    <row r="343" spans="1:33" s="285" customFormat="1" ht="27.6" customHeight="1">
      <c r="A343" s="346" t="s">
        <v>1754</v>
      </c>
      <c r="B343" s="182">
        <v>14</v>
      </c>
      <c r="C343" s="346" t="s">
        <v>1755</v>
      </c>
      <c r="D343" s="183">
        <v>79</v>
      </c>
      <c r="E343" s="182" t="s">
        <v>486</v>
      </c>
      <c r="F343" s="350">
        <v>44869</v>
      </c>
      <c r="G343" s="364" t="s">
        <v>2298</v>
      </c>
      <c r="H343" s="132" t="s">
        <v>1905</v>
      </c>
      <c r="I343" s="431">
        <v>15</v>
      </c>
      <c r="J343" s="392" t="s">
        <v>1711</v>
      </c>
      <c r="K343" s="392">
        <v>2.5</v>
      </c>
      <c r="L343" s="389" t="e">
        <v>#VALUE!</v>
      </c>
      <c r="M343" s="372">
        <v>92.5</v>
      </c>
      <c r="N343" s="372">
        <v>90</v>
      </c>
      <c r="O343" s="338">
        <v>17.5</v>
      </c>
      <c r="P343" s="338">
        <v>22.5</v>
      </c>
      <c r="Q343" s="183" t="s">
        <v>1707</v>
      </c>
      <c r="R343" s="338" t="s">
        <v>1981</v>
      </c>
      <c r="S343" s="767"/>
      <c r="T343" s="419">
        <v>22.857142857142858</v>
      </c>
      <c r="U343" s="391">
        <v>0</v>
      </c>
      <c r="V343" s="26" t="s">
        <v>749</v>
      </c>
      <c r="W343" s="132"/>
      <c r="X343" s="396">
        <v>0</v>
      </c>
      <c r="Y343" s="410">
        <v>2</v>
      </c>
      <c r="Z343" s="396">
        <v>1</v>
      </c>
      <c r="AA343" s="810"/>
      <c r="AB343" s="396"/>
      <c r="AC343" s="410">
        <v>0</v>
      </c>
      <c r="AD343" s="29">
        <v>0</v>
      </c>
      <c r="AE343" s="396">
        <v>7</v>
      </c>
      <c r="AF343" s="441" t="s">
        <v>2299</v>
      </c>
    </row>
    <row r="344" spans="1:33" s="285" customFormat="1" ht="27.6" customHeight="1">
      <c r="A344" s="346" t="s">
        <v>1754</v>
      </c>
      <c r="B344" s="182">
        <v>14</v>
      </c>
      <c r="C344" s="346" t="s">
        <v>1755</v>
      </c>
      <c r="D344" s="183">
        <v>80</v>
      </c>
      <c r="E344" s="182" t="s">
        <v>487</v>
      </c>
      <c r="F344" s="350">
        <v>44859</v>
      </c>
      <c r="G344" s="364" t="s">
        <v>2298</v>
      </c>
      <c r="H344" s="132" t="s">
        <v>1905</v>
      </c>
      <c r="I344" s="431">
        <v>15</v>
      </c>
      <c r="J344" s="390">
        <v>10</v>
      </c>
      <c r="K344" s="390">
        <v>10</v>
      </c>
      <c r="L344" s="389">
        <v>0</v>
      </c>
      <c r="M344" s="372">
        <v>90</v>
      </c>
      <c r="N344" s="372">
        <v>95</v>
      </c>
      <c r="O344" s="338">
        <v>15</v>
      </c>
      <c r="P344" s="338">
        <v>30</v>
      </c>
      <c r="Q344" s="183" t="s">
        <v>1876</v>
      </c>
      <c r="R344" s="338" t="s">
        <v>1950</v>
      </c>
      <c r="S344" s="767"/>
      <c r="T344" s="419">
        <v>23.571428571428573</v>
      </c>
      <c r="U344" s="391">
        <v>0</v>
      </c>
      <c r="V344" s="129" t="s">
        <v>749</v>
      </c>
      <c r="W344" s="132" t="s">
        <v>749</v>
      </c>
      <c r="X344" s="427">
        <v>0</v>
      </c>
      <c r="Y344" s="410">
        <v>2</v>
      </c>
      <c r="Z344" s="396">
        <v>1</v>
      </c>
      <c r="AA344" s="810">
        <v>35.83</v>
      </c>
      <c r="AB344" s="396" t="s">
        <v>1753</v>
      </c>
      <c r="AC344" s="410">
        <v>2</v>
      </c>
      <c r="AD344" s="29">
        <v>0</v>
      </c>
      <c r="AE344" s="396">
        <v>2</v>
      </c>
      <c r="AF344" s="441" t="s">
        <v>2299</v>
      </c>
      <c r="AG344" s="306"/>
    </row>
    <row r="345" spans="1:33" ht="27.6" customHeight="1">
      <c r="A345" s="346" t="s">
        <v>1754</v>
      </c>
      <c r="B345" s="182">
        <v>14</v>
      </c>
      <c r="C345" s="346" t="s">
        <v>1755</v>
      </c>
      <c r="D345" s="183">
        <v>81</v>
      </c>
      <c r="E345" s="182" t="s">
        <v>488</v>
      </c>
      <c r="F345" s="350">
        <v>44859</v>
      </c>
      <c r="G345" s="364" t="s">
        <v>2298</v>
      </c>
      <c r="H345" s="132" t="s">
        <v>1905</v>
      </c>
      <c r="I345" s="431">
        <v>15</v>
      </c>
      <c r="J345" s="392" t="s">
        <v>1711</v>
      </c>
      <c r="K345" s="392">
        <v>2.5</v>
      </c>
      <c r="L345" s="389" t="e">
        <v>#VALUE!</v>
      </c>
      <c r="M345" s="372">
        <v>90</v>
      </c>
      <c r="N345" s="372">
        <v>95</v>
      </c>
      <c r="O345" s="338">
        <v>25</v>
      </c>
      <c r="P345" s="338">
        <v>50</v>
      </c>
      <c r="Q345" s="183" t="s">
        <v>1707</v>
      </c>
      <c r="R345" s="338" t="s">
        <v>1952</v>
      </c>
      <c r="S345" s="767"/>
      <c r="T345" s="419">
        <v>10</v>
      </c>
      <c r="U345" s="391">
        <v>0</v>
      </c>
      <c r="V345" s="129" t="s">
        <v>749</v>
      </c>
      <c r="W345" s="132" t="s">
        <v>749</v>
      </c>
      <c r="X345" s="427">
        <v>0</v>
      </c>
      <c r="Y345" s="410">
        <v>2</v>
      </c>
      <c r="Z345" s="396">
        <v>1</v>
      </c>
      <c r="AA345" s="810">
        <v>22.470303030303032</v>
      </c>
      <c r="AB345" s="396" t="s">
        <v>1738</v>
      </c>
      <c r="AC345" s="410">
        <v>0</v>
      </c>
      <c r="AD345" s="29">
        <v>0</v>
      </c>
      <c r="AE345" s="396">
        <v>4</v>
      </c>
      <c r="AF345" s="441" t="s">
        <v>2299</v>
      </c>
    </row>
    <row r="346" spans="1:33" s="285" customFormat="1" ht="27.6" customHeight="1">
      <c r="A346" s="346" t="s">
        <v>1754</v>
      </c>
      <c r="B346" s="182">
        <v>14</v>
      </c>
      <c r="C346" s="346" t="s">
        <v>1755</v>
      </c>
      <c r="D346" s="183">
        <v>82</v>
      </c>
      <c r="E346" s="182" t="s">
        <v>489</v>
      </c>
      <c r="F346" s="350">
        <v>44859</v>
      </c>
      <c r="G346" s="364" t="s">
        <v>2298</v>
      </c>
      <c r="H346" s="132" t="s">
        <v>1905</v>
      </c>
      <c r="I346" s="431">
        <v>15</v>
      </c>
      <c r="J346" s="390">
        <v>10</v>
      </c>
      <c r="K346" s="390">
        <v>20</v>
      </c>
      <c r="L346" s="389">
        <v>-10</v>
      </c>
      <c r="M346" s="372">
        <v>92.5</v>
      </c>
      <c r="N346" s="372">
        <v>95</v>
      </c>
      <c r="O346" s="338">
        <v>17.5</v>
      </c>
      <c r="P346" s="338">
        <v>22.5</v>
      </c>
      <c r="Q346" s="183" t="s">
        <v>1707</v>
      </c>
      <c r="R346" s="338" t="s">
        <v>1952</v>
      </c>
      <c r="S346" s="767"/>
      <c r="T346" s="419">
        <v>60.5</v>
      </c>
      <c r="U346" s="391">
        <v>0</v>
      </c>
      <c r="V346" s="129" t="s">
        <v>749</v>
      </c>
      <c r="W346" s="132" t="s">
        <v>749</v>
      </c>
      <c r="X346" s="427">
        <v>0</v>
      </c>
      <c r="Y346" s="410">
        <v>2</v>
      </c>
      <c r="Z346" s="396">
        <v>1</v>
      </c>
      <c r="AA346" s="810">
        <v>22.27458646616541</v>
      </c>
      <c r="AB346" s="396" t="s">
        <v>1738</v>
      </c>
      <c r="AC346" s="410">
        <v>2</v>
      </c>
      <c r="AD346" s="29">
        <v>0</v>
      </c>
      <c r="AE346" s="396">
        <v>0</v>
      </c>
      <c r="AF346" s="441" t="s">
        <v>2299</v>
      </c>
      <c r="AG346" s="306"/>
    </row>
    <row r="347" spans="1:33" s="285" customFormat="1" ht="27.6" customHeight="1">
      <c r="A347" s="346" t="s">
        <v>1754</v>
      </c>
      <c r="B347" s="182">
        <v>14</v>
      </c>
      <c r="C347" s="346" t="s">
        <v>1755</v>
      </c>
      <c r="D347" s="183">
        <v>83</v>
      </c>
      <c r="E347" s="182" t="s">
        <v>490</v>
      </c>
      <c r="F347" s="350">
        <v>44859</v>
      </c>
      <c r="G347" s="364" t="s">
        <v>2298</v>
      </c>
      <c r="H347" s="132" t="s">
        <v>1905</v>
      </c>
      <c r="I347" s="431">
        <v>15</v>
      </c>
      <c r="J347" s="392" t="s">
        <v>1711</v>
      </c>
      <c r="K347" s="392">
        <v>2.5</v>
      </c>
      <c r="L347" s="389" t="e">
        <v>#VALUE!</v>
      </c>
      <c r="M347" s="372">
        <v>95</v>
      </c>
      <c r="N347" s="372">
        <v>95</v>
      </c>
      <c r="O347" s="338">
        <v>40</v>
      </c>
      <c r="P347" s="338">
        <v>52.5</v>
      </c>
      <c r="Q347" s="183" t="s">
        <v>1707</v>
      </c>
      <c r="R347" s="338" t="s">
        <v>1952</v>
      </c>
      <c r="S347" s="767"/>
      <c r="T347" s="419">
        <v>32.5</v>
      </c>
      <c r="U347" s="391">
        <v>0</v>
      </c>
      <c r="V347" s="26" t="s">
        <v>749</v>
      </c>
      <c r="W347" s="132"/>
      <c r="X347" s="396">
        <v>0</v>
      </c>
      <c r="Y347" s="410">
        <v>2</v>
      </c>
      <c r="Z347" s="396">
        <v>1</v>
      </c>
      <c r="AA347" s="810">
        <v>11.314458874458873</v>
      </c>
      <c r="AB347" s="396" t="s">
        <v>1738</v>
      </c>
      <c r="AC347" s="410">
        <v>1</v>
      </c>
      <c r="AD347" s="29">
        <v>0</v>
      </c>
      <c r="AE347" s="396">
        <v>8</v>
      </c>
      <c r="AF347" s="441" t="s">
        <v>2299</v>
      </c>
      <c r="AG347" s="306"/>
    </row>
    <row r="348" spans="1:33" s="285" customFormat="1" ht="27.6" customHeight="1">
      <c r="A348" s="346" t="s">
        <v>1754</v>
      </c>
      <c r="B348" s="182">
        <v>14</v>
      </c>
      <c r="C348" s="346" t="s">
        <v>1755</v>
      </c>
      <c r="D348" s="183">
        <v>84</v>
      </c>
      <c r="E348" s="182" t="s">
        <v>491</v>
      </c>
      <c r="F348" s="350">
        <v>44869</v>
      </c>
      <c r="G348" s="364" t="s">
        <v>2298</v>
      </c>
      <c r="H348" s="132" t="s">
        <v>1905</v>
      </c>
      <c r="I348" s="431">
        <v>15</v>
      </c>
      <c r="J348" s="390">
        <v>30</v>
      </c>
      <c r="K348" s="390">
        <v>30</v>
      </c>
      <c r="L348" s="389">
        <v>0</v>
      </c>
      <c r="M348" s="372">
        <v>87.5</v>
      </c>
      <c r="N348" s="372">
        <v>80</v>
      </c>
      <c r="O348" s="338">
        <v>12.5</v>
      </c>
      <c r="P348" s="338">
        <v>12.5</v>
      </c>
      <c r="Q348" s="183" t="s">
        <v>1707</v>
      </c>
      <c r="R348" s="338" t="s">
        <v>1982</v>
      </c>
      <c r="S348" s="767"/>
      <c r="T348" s="419">
        <v>40.5</v>
      </c>
      <c r="U348" s="391">
        <v>0</v>
      </c>
      <c r="V348" s="26" t="s">
        <v>749</v>
      </c>
      <c r="W348" s="132"/>
      <c r="X348" s="396">
        <v>0</v>
      </c>
      <c r="Y348" s="410">
        <v>2</v>
      </c>
      <c r="Z348" s="396">
        <v>1</v>
      </c>
      <c r="AA348" s="810"/>
      <c r="AB348" s="396"/>
      <c r="AC348" s="410">
        <v>2</v>
      </c>
      <c r="AD348" s="29">
        <v>2</v>
      </c>
      <c r="AE348" s="396">
        <v>70</v>
      </c>
      <c r="AF348" s="441" t="s">
        <v>2299</v>
      </c>
    </row>
    <row r="349" spans="1:33" s="285" customFormat="1" ht="27.6" customHeight="1">
      <c r="A349" s="346" t="s">
        <v>1754</v>
      </c>
      <c r="B349" s="182">
        <v>14</v>
      </c>
      <c r="C349" s="346" t="s">
        <v>1755</v>
      </c>
      <c r="D349" s="183">
        <v>87</v>
      </c>
      <c r="E349" s="182" t="s">
        <v>492</v>
      </c>
      <c r="F349" s="350">
        <v>44869</v>
      </c>
      <c r="G349" s="364" t="s">
        <v>2298</v>
      </c>
      <c r="H349" s="132" t="s">
        <v>1905</v>
      </c>
      <c r="I349" s="431">
        <v>15</v>
      </c>
      <c r="J349" s="390">
        <v>10</v>
      </c>
      <c r="K349" s="390">
        <v>20</v>
      </c>
      <c r="L349" s="389">
        <v>-10</v>
      </c>
      <c r="M349" s="372">
        <v>75</v>
      </c>
      <c r="N349" s="372">
        <v>90</v>
      </c>
      <c r="O349" s="338">
        <v>15</v>
      </c>
      <c r="P349" s="338">
        <v>20</v>
      </c>
      <c r="Q349" s="183" t="s">
        <v>1882</v>
      </c>
      <c r="R349" s="338" t="s">
        <v>1950</v>
      </c>
      <c r="S349" s="767"/>
      <c r="T349" s="419">
        <v>15.714285714285714</v>
      </c>
      <c r="U349" s="391">
        <v>0</v>
      </c>
      <c r="V349" s="129" t="s">
        <v>749</v>
      </c>
      <c r="W349" s="132" t="s">
        <v>749</v>
      </c>
      <c r="X349" s="427">
        <v>0</v>
      </c>
      <c r="Y349" s="410">
        <v>2</v>
      </c>
      <c r="Z349" s="396">
        <v>1</v>
      </c>
      <c r="AA349" s="810">
        <v>9.2158823529411755</v>
      </c>
      <c r="AB349" s="396">
        <v>4</v>
      </c>
      <c r="AC349" s="410">
        <v>1</v>
      </c>
      <c r="AD349" s="29">
        <v>3</v>
      </c>
      <c r="AE349" s="396">
        <v>0</v>
      </c>
      <c r="AF349" s="441" t="s">
        <v>2299</v>
      </c>
    </row>
    <row r="350" spans="1:33" s="285" customFormat="1" ht="27.6" customHeight="1">
      <c r="A350" s="346" t="s">
        <v>1754</v>
      </c>
      <c r="B350" s="182">
        <v>14</v>
      </c>
      <c r="C350" s="346" t="s">
        <v>1755</v>
      </c>
      <c r="D350" s="183">
        <v>88</v>
      </c>
      <c r="E350" s="182" t="s">
        <v>493</v>
      </c>
      <c r="F350" s="350">
        <v>44882</v>
      </c>
      <c r="G350" s="364" t="s">
        <v>2298</v>
      </c>
      <c r="H350" s="132" t="s">
        <v>1905</v>
      </c>
      <c r="I350" s="431">
        <v>15</v>
      </c>
      <c r="J350" s="390">
        <v>10</v>
      </c>
      <c r="K350" s="390">
        <v>10</v>
      </c>
      <c r="L350" s="389">
        <v>0</v>
      </c>
      <c r="M350" s="372">
        <v>92.5</v>
      </c>
      <c r="N350" s="372">
        <v>97.5</v>
      </c>
      <c r="O350" s="338">
        <v>12.5</v>
      </c>
      <c r="P350" s="338">
        <v>70</v>
      </c>
      <c r="Q350" s="183" t="s">
        <v>1707</v>
      </c>
      <c r="R350" s="338" t="s">
        <v>1952</v>
      </c>
      <c r="S350" s="767"/>
      <c r="T350" s="419">
        <v>10</v>
      </c>
      <c r="U350" s="391">
        <v>0</v>
      </c>
      <c r="V350" s="129" t="s">
        <v>749</v>
      </c>
      <c r="W350" s="132" t="s">
        <v>749</v>
      </c>
      <c r="X350" s="427">
        <v>0</v>
      </c>
      <c r="Y350" s="410">
        <v>2</v>
      </c>
      <c r="Z350" s="396">
        <v>1</v>
      </c>
      <c r="AA350" s="810">
        <v>8.9574999999999996</v>
      </c>
      <c r="AB350" s="396">
        <v>4</v>
      </c>
      <c r="AC350" s="410">
        <v>0</v>
      </c>
      <c r="AD350" s="29">
        <v>2</v>
      </c>
      <c r="AE350" s="396">
        <v>1</v>
      </c>
      <c r="AF350" s="441" t="s">
        <v>2299</v>
      </c>
      <c r="AG350" s="306"/>
    </row>
    <row r="351" spans="1:33" s="285" customFormat="1" ht="27.6" customHeight="1">
      <c r="A351" s="346" t="s">
        <v>1754</v>
      </c>
      <c r="B351" s="182">
        <v>14</v>
      </c>
      <c r="C351" s="346" t="s">
        <v>1755</v>
      </c>
      <c r="D351" s="183">
        <v>89</v>
      </c>
      <c r="E351" s="182" t="s">
        <v>494</v>
      </c>
      <c r="F351" s="350">
        <v>44879</v>
      </c>
      <c r="G351" s="364" t="s">
        <v>2298</v>
      </c>
      <c r="H351" s="132" t="s">
        <v>1905</v>
      </c>
      <c r="I351" s="431">
        <v>15</v>
      </c>
      <c r="J351" s="392" t="s">
        <v>1711</v>
      </c>
      <c r="K351" s="392">
        <v>2.5</v>
      </c>
      <c r="L351" s="389" t="e">
        <v>#VALUE!</v>
      </c>
      <c r="M351" s="372">
        <v>95</v>
      </c>
      <c r="N351" s="372">
        <v>92.5</v>
      </c>
      <c r="O351" s="338">
        <v>20</v>
      </c>
      <c r="P351" s="338">
        <v>67.5</v>
      </c>
      <c r="Q351" s="183" t="s">
        <v>1707</v>
      </c>
      <c r="R351" s="338" t="s">
        <v>1953</v>
      </c>
      <c r="S351" s="767"/>
      <c r="T351" s="419"/>
      <c r="U351" s="391">
        <v>0</v>
      </c>
      <c r="V351" s="26" t="s">
        <v>749</v>
      </c>
      <c r="W351" s="132"/>
      <c r="X351" s="396">
        <v>0</v>
      </c>
      <c r="Y351" s="410">
        <v>2</v>
      </c>
      <c r="Z351" s="396">
        <v>1</v>
      </c>
      <c r="AA351" s="810">
        <v>20.982857142857142</v>
      </c>
      <c r="AB351" s="396" t="s">
        <v>1738</v>
      </c>
      <c r="AC351" s="410">
        <v>1</v>
      </c>
      <c r="AD351" s="29">
        <v>0</v>
      </c>
      <c r="AE351" s="396">
        <v>1</v>
      </c>
      <c r="AF351" s="441" t="s">
        <v>2299</v>
      </c>
    </row>
    <row r="352" spans="1:33" s="285" customFormat="1" ht="27.6" customHeight="1">
      <c r="A352" s="346" t="s">
        <v>1754</v>
      </c>
      <c r="B352" s="182">
        <v>14</v>
      </c>
      <c r="C352" s="346" t="s">
        <v>1755</v>
      </c>
      <c r="D352" s="183">
        <v>90</v>
      </c>
      <c r="E352" s="182" t="s">
        <v>495</v>
      </c>
      <c r="F352" s="350">
        <v>44881</v>
      </c>
      <c r="G352" s="364" t="s">
        <v>2298</v>
      </c>
      <c r="H352" s="132" t="s">
        <v>1905</v>
      </c>
      <c r="I352" s="431">
        <v>15</v>
      </c>
      <c r="J352" s="390">
        <v>10</v>
      </c>
      <c r="K352" s="390">
        <v>10</v>
      </c>
      <c r="L352" s="389">
        <v>0</v>
      </c>
      <c r="M352" s="372">
        <v>80</v>
      </c>
      <c r="N352" s="372">
        <v>96</v>
      </c>
      <c r="O352" s="338">
        <v>30</v>
      </c>
      <c r="P352" s="338">
        <v>52.5</v>
      </c>
      <c r="Q352" s="183" t="s">
        <v>1707</v>
      </c>
      <c r="R352" s="338" t="s">
        <v>1952</v>
      </c>
      <c r="S352" s="767"/>
      <c r="T352" s="419">
        <v>31.666666666666668</v>
      </c>
      <c r="U352" s="391">
        <v>0</v>
      </c>
      <c r="V352" s="129" t="s">
        <v>749</v>
      </c>
      <c r="W352" s="132" t="s">
        <v>749</v>
      </c>
      <c r="X352" s="427">
        <v>0</v>
      </c>
      <c r="Y352" s="410">
        <v>2</v>
      </c>
      <c r="Z352" s="396">
        <v>1</v>
      </c>
      <c r="AA352" s="810">
        <v>26.847079646017693</v>
      </c>
      <c r="AB352" s="396" t="s">
        <v>1738</v>
      </c>
      <c r="AC352" s="410">
        <v>2</v>
      </c>
      <c r="AD352" s="29">
        <v>4</v>
      </c>
      <c r="AE352" s="396">
        <v>0</v>
      </c>
      <c r="AF352" s="441" t="s">
        <v>2299</v>
      </c>
    </row>
    <row r="353" spans="1:33" s="285" customFormat="1" ht="27.6" customHeight="1">
      <c r="A353" s="346" t="s">
        <v>1754</v>
      </c>
      <c r="B353" s="182">
        <v>14</v>
      </c>
      <c r="C353" s="346" t="s">
        <v>1755</v>
      </c>
      <c r="D353" s="183">
        <v>93</v>
      </c>
      <c r="E353" s="182" t="s">
        <v>496</v>
      </c>
      <c r="F353" s="350">
        <v>44869</v>
      </c>
      <c r="G353" s="364" t="s">
        <v>2298</v>
      </c>
      <c r="H353" s="132" t="s">
        <v>1905</v>
      </c>
      <c r="I353" s="431">
        <v>15</v>
      </c>
      <c r="J353" s="392">
        <v>10</v>
      </c>
      <c r="K353" s="392">
        <v>2.5</v>
      </c>
      <c r="L353" s="389">
        <v>7.5</v>
      </c>
      <c r="M353" s="372">
        <v>92.5</v>
      </c>
      <c r="N353" s="372">
        <v>92.5</v>
      </c>
      <c r="O353" s="338">
        <v>5</v>
      </c>
      <c r="P353" s="338">
        <v>7.5</v>
      </c>
      <c r="Q353" s="314" t="s">
        <v>1740</v>
      </c>
      <c r="R353" s="338" t="s">
        <v>1983</v>
      </c>
      <c r="S353" s="767"/>
      <c r="T353" s="419">
        <v>17.5</v>
      </c>
      <c r="U353" s="391">
        <v>0</v>
      </c>
      <c r="V353" s="129" t="s">
        <v>749</v>
      </c>
      <c r="W353" s="132" t="s">
        <v>749</v>
      </c>
      <c r="X353" s="427">
        <v>0</v>
      </c>
      <c r="Y353" s="410">
        <v>2</v>
      </c>
      <c r="Z353" s="396">
        <v>1</v>
      </c>
      <c r="AA353" s="810"/>
      <c r="AB353" s="396"/>
      <c r="AC353" s="410">
        <v>0</v>
      </c>
      <c r="AD353" s="29">
        <v>0</v>
      </c>
      <c r="AE353" s="396">
        <v>6</v>
      </c>
      <c r="AF353" s="441" t="s">
        <v>2299</v>
      </c>
    </row>
    <row r="354" spans="1:33" s="285" customFormat="1" ht="27.6" customHeight="1">
      <c r="A354" s="346" t="s">
        <v>1754</v>
      </c>
      <c r="B354" s="182">
        <v>14</v>
      </c>
      <c r="C354" s="346" t="s">
        <v>1755</v>
      </c>
      <c r="D354" s="183">
        <v>109</v>
      </c>
      <c r="E354" s="182" t="s">
        <v>497</v>
      </c>
      <c r="F354" s="350">
        <v>44879</v>
      </c>
      <c r="G354" s="364" t="s">
        <v>2298</v>
      </c>
      <c r="H354" s="132" t="s">
        <v>1905</v>
      </c>
      <c r="I354" s="431">
        <v>15</v>
      </c>
      <c r="J354" s="390">
        <v>20</v>
      </c>
      <c r="K354" s="390">
        <v>20</v>
      </c>
      <c r="L354" s="389">
        <v>0</v>
      </c>
      <c r="M354" s="372">
        <v>92.5</v>
      </c>
      <c r="N354" s="372">
        <v>90</v>
      </c>
      <c r="O354" s="338">
        <v>42.5</v>
      </c>
      <c r="P354" s="338">
        <v>45</v>
      </c>
      <c r="Q354" s="183" t="s">
        <v>1707</v>
      </c>
      <c r="R354" s="338" t="s">
        <v>1989</v>
      </c>
      <c r="S354" s="767"/>
      <c r="T354" s="419">
        <v>75</v>
      </c>
      <c r="U354" s="391">
        <v>0</v>
      </c>
      <c r="V354" s="129" t="s">
        <v>749</v>
      </c>
      <c r="W354" s="132" t="s">
        <v>749</v>
      </c>
      <c r="X354" s="427">
        <v>0</v>
      </c>
      <c r="Y354" s="410">
        <v>2</v>
      </c>
      <c r="Z354" s="396">
        <v>1</v>
      </c>
      <c r="AA354" s="810">
        <v>15.113913043478263</v>
      </c>
      <c r="AB354" s="396" t="s">
        <v>1738</v>
      </c>
      <c r="AC354" s="410">
        <v>4</v>
      </c>
      <c r="AD354" s="29">
        <v>1</v>
      </c>
      <c r="AE354" s="396">
        <v>35</v>
      </c>
      <c r="AF354" s="441" t="s">
        <v>2299</v>
      </c>
    </row>
    <row r="355" spans="1:33" s="285" customFormat="1" ht="27.6" customHeight="1">
      <c r="A355" s="346" t="s">
        <v>1754</v>
      </c>
      <c r="B355" s="182">
        <v>14</v>
      </c>
      <c r="C355" s="346" t="s">
        <v>1755</v>
      </c>
      <c r="D355" s="183">
        <v>114</v>
      </c>
      <c r="E355" s="182" t="s">
        <v>498</v>
      </c>
      <c r="F355" s="350">
        <v>44879</v>
      </c>
      <c r="G355" s="364" t="s">
        <v>2298</v>
      </c>
      <c r="H355" s="132" t="s">
        <v>1905</v>
      </c>
      <c r="I355" s="431">
        <v>15</v>
      </c>
      <c r="J355" s="390">
        <v>10</v>
      </c>
      <c r="K355" s="390">
        <v>10</v>
      </c>
      <c r="L355" s="389">
        <v>0</v>
      </c>
      <c r="M355" s="372">
        <v>82.5</v>
      </c>
      <c r="N355" s="372">
        <v>85</v>
      </c>
      <c r="O355" s="338">
        <v>20</v>
      </c>
      <c r="P355" s="338">
        <v>20</v>
      </c>
      <c r="Q355" s="183" t="s">
        <v>1707</v>
      </c>
      <c r="R355" s="338" t="s">
        <v>1990</v>
      </c>
      <c r="S355" s="767"/>
      <c r="T355" s="419">
        <v>38.5</v>
      </c>
      <c r="U355" s="391">
        <v>0</v>
      </c>
      <c r="V355" s="26" t="s">
        <v>749</v>
      </c>
      <c r="W355" s="132"/>
      <c r="X355" s="396">
        <v>0</v>
      </c>
      <c r="Y355" s="410">
        <v>2</v>
      </c>
      <c r="Z355" s="396">
        <v>1</v>
      </c>
      <c r="AA355" s="810"/>
      <c r="AB355" s="396"/>
      <c r="AC355" s="410">
        <v>4</v>
      </c>
      <c r="AD355" s="29">
        <v>0</v>
      </c>
      <c r="AE355" s="396">
        <v>6</v>
      </c>
      <c r="AF355" s="441" t="s">
        <v>2299</v>
      </c>
    </row>
    <row r="356" spans="1:33" ht="27.6" customHeight="1" thickBot="1">
      <c r="A356" s="466" t="s">
        <v>1754</v>
      </c>
      <c r="B356" s="192">
        <v>14</v>
      </c>
      <c r="C356" s="466" t="s">
        <v>1755</v>
      </c>
      <c r="D356" s="193">
        <v>115</v>
      </c>
      <c r="E356" s="192" t="s">
        <v>499</v>
      </c>
      <c r="F356" s="478">
        <v>44879</v>
      </c>
      <c r="G356" s="543" t="s">
        <v>2298</v>
      </c>
      <c r="H356" s="583" t="s">
        <v>1905</v>
      </c>
      <c r="I356" s="503">
        <v>15</v>
      </c>
      <c r="J356" s="497">
        <v>10</v>
      </c>
      <c r="K356" s="497">
        <v>10</v>
      </c>
      <c r="L356" s="389">
        <v>0</v>
      </c>
      <c r="M356" s="499">
        <v>97.5</v>
      </c>
      <c r="N356" s="499">
        <v>95</v>
      </c>
      <c r="O356" s="482">
        <v>42.5</v>
      </c>
      <c r="P356" s="482">
        <v>62.5</v>
      </c>
      <c r="Q356" s="193" t="s">
        <v>1707</v>
      </c>
      <c r="R356" s="482" t="s">
        <v>1991</v>
      </c>
      <c r="S356" s="795"/>
      <c r="T356" s="483">
        <v>45</v>
      </c>
      <c r="U356" s="484">
        <v>0</v>
      </c>
      <c r="V356" s="594" t="s">
        <v>749</v>
      </c>
      <c r="W356" s="583" t="s">
        <v>749</v>
      </c>
      <c r="X356" s="485">
        <v>0</v>
      </c>
      <c r="Y356" s="486">
        <v>2</v>
      </c>
      <c r="Z356" s="487">
        <v>1</v>
      </c>
      <c r="AA356" s="811">
        <v>17.264242424242425</v>
      </c>
      <c r="AB356" s="487" t="s">
        <v>1738</v>
      </c>
      <c r="AC356" s="486">
        <v>1</v>
      </c>
      <c r="AD356" s="75">
        <v>0</v>
      </c>
      <c r="AE356" s="487">
        <v>1</v>
      </c>
      <c r="AF356" s="504" t="s">
        <v>2299</v>
      </c>
    </row>
    <row r="357" spans="1:33" s="285" customFormat="1" ht="27.6" customHeight="1" thickTop="1">
      <c r="A357" s="455" t="s">
        <v>1756</v>
      </c>
      <c r="B357" s="179">
        <v>15</v>
      </c>
      <c r="C357" s="455" t="s">
        <v>1757</v>
      </c>
      <c r="D357" s="180">
        <v>4</v>
      </c>
      <c r="E357" s="179" t="s">
        <v>500</v>
      </c>
      <c r="F357" s="458">
        <v>44880</v>
      </c>
      <c r="G357" s="459" t="s">
        <v>2298</v>
      </c>
      <c r="H357" s="141" t="s">
        <v>1905</v>
      </c>
      <c r="I357" s="464">
        <v>15</v>
      </c>
      <c r="J357" s="389">
        <v>10</v>
      </c>
      <c r="K357" s="389">
        <v>10</v>
      </c>
      <c r="L357" s="389">
        <v>0</v>
      </c>
      <c r="M357" s="509">
        <v>92.5</v>
      </c>
      <c r="N357" s="509">
        <v>97.5</v>
      </c>
      <c r="O357" s="461">
        <v>35</v>
      </c>
      <c r="P357" s="461">
        <v>67.5</v>
      </c>
      <c r="Q357" s="180" t="s">
        <v>1707</v>
      </c>
      <c r="R357" s="461" t="s">
        <v>1949</v>
      </c>
      <c r="S357" s="794"/>
      <c r="T357" s="471">
        <v>26</v>
      </c>
      <c r="U357" s="462">
        <v>0</v>
      </c>
      <c r="V357" s="84" t="s">
        <v>749</v>
      </c>
      <c r="W357" s="141"/>
      <c r="X357" s="460">
        <v>0</v>
      </c>
      <c r="Y357" s="463">
        <v>2</v>
      </c>
      <c r="Z357" s="460">
        <v>1</v>
      </c>
      <c r="AA357" s="816">
        <v>29.478461538461534</v>
      </c>
      <c r="AB357" s="460" t="s">
        <v>1738</v>
      </c>
      <c r="AC357" s="463">
        <v>0</v>
      </c>
      <c r="AD357" s="87">
        <v>0</v>
      </c>
      <c r="AE357" s="460">
        <v>4</v>
      </c>
      <c r="AF357" s="513" t="s">
        <v>2299</v>
      </c>
      <c r="AG357" s="306"/>
    </row>
    <row r="358" spans="1:33" s="285" customFormat="1" ht="27.6" customHeight="1">
      <c r="A358" s="346" t="s">
        <v>1756</v>
      </c>
      <c r="B358" s="182">
        <v>15</v>
      </c>
      <c r="C358" s="346" t="s">
        <v>1757</v>
      </c>
      <c r="D358" s="183">
        <v>5</v>
      </c>
      <c r="E358" s="182" t="s">
        <v>501</v>
      </c>
      <c r="F358" s="350">
        <v>44880</v>
      </c>
      <c r="G358" s="364" t="s">
        <v>2298</v>
      </c>
      <c r="H358" s="132" t="s">
        <v>1905</v>
      </c>
      <c r="I358" s="431">
        <v>15</v>
      </c>
      <c r="J358" s="390" t="s">
        <v>1711</v>
      </c>
      <c r="K358" s="390">
        <v>10</v>
      </c>
      <c r="L358" s="389" t="e">
        <v>#VALUE!</v>
      </c>
      <c r="M358" s="372">
        <v>82.5</v>
      </c>
      <c r="N358" s="372">
        <v>95</v>
      </c>
      <c r="O358" s="338">
        <v>17.5</v>
      </c>
      <c r="P358" s="338">
        <v>60</v>
      </c>
      <c r="Q358" s="183" t="s">
        <v>1707</v>
      </c>
      <c r="R358" s="338" t="s">
        <v>1950</v>
      </c>
      <c r="S358" s="767"/>
      <c r="T358" s="419">
        <v>16</v>
      </c>
      <c r="U358" s="391">
        <v>0</v>
      </c>
      <c r="V358" s="129" t="s">
        <v>749</v>
      </c>
      <c r="W358" s="132" t="s">
        <v>749</v>
      </c>
      <c r="X358" s="427">
        <v>0</v>
      </c>
      <c r="Y358" s="410">
        <v>2</v>
      </c>
      <c r="Z358" s="396">
        <v>1</v>
      </c>
      <c r="AA358" s="810">
        <v>14.619894179894183</v>
      </c>
      <c r="AB358" s="396" t="s">
        <v>1738</v>
      </c>
      <c r="AC358" s="410">
        <v>0</v>
      </c>
      <c r="AD358" s="29">
        <v>0</v>
      </c>
      <c r="AE358" s="396">
        <v>6</v>
      </c>
      <c r="AF358" s="441" t="s">
        <v>2299</v>
      </c>
    </row>
    <row r="359" spans="1:33" s="285" customFormat="1" ht="27.6" customHeight="1">
      <c r="A359" s="346" t="s">
        <v>1756</v>
      </c>
      <c r="B359" s="182">
        <v>15</v>
      </c>
      <c r="C359" s="346" t="s">
        <v>1757</v>
      </c>
      <c r="D359" s="183">
        <v>19</v>
      </c>
      <c r="E359" s="182" t="s">
        <v>502</v>
      </c>
      <c r="F359" s="350">
        <v>44883</v>
      </c>
      <c r="G359" s="364" t="s">
        <v>2298</v>
      </c>
      <c r="H359" s="132" t="s">
        <v>1905</v>
      </c>
      <c r="I359" s="431">
        <v>15</v>
      </c>
      <c r="J359" s="390">
        <v>10</v>
      </c>
      <c r="K359" s="390">
        <v>20</v>
      </c>
      <c r="L359" s="389">
        <v>-10</v>
      </c>
      <c r="M359" s="372">
        <v>92.5</v>
      </c>
      <c r="N359" s="372">
        <v>95</v>
      </c>
      <c r="O359" s="338">
        <v>37.5</v>
      </c>
      <c r="P359" s="338">
        <v>67.5</v>
      </c>
      <c r="Q359" s="183" t="s">
        <v>1707</v>
      </c>
      <c r="R359" s="338" t="s">
        <v>1958</v>
      </c>
      <c r="S359" s="767"/>
      <c r="T359" s="419">
        <v>51.5</v>
      </c>
      <c r="U359" s="391">
        <v>0</v>
      </c>
      <c r="V359" s="129" t="s">
        <v>749</v>
      </c>
      <c r="W359" s="132" t="s">
        <v>749</v>
      </c>
      <c r="X359" s="427">
        <v>0</v>
      </c>
      <c r="Y359" s="410">
        <v>2</v>
      </c>
      <c r="Z359" s="396">
        <v>1</v>
      </c>
      <c r="AA359" s="810">
        <v>5.7710188679245276</v>
      </c>
      <c r="AB359" s="396">
        <v>4</v>
      </c>
      <c r="AC359" s="410">
        <v>2</v>
      </c>
      <c r="AD359" s="29">
        <v>0</v>
      </c>
      <c r="AE359" s="396">
        <v>24</v>
      </c>
      <c r="AF359" s="441" t="s">
        <v>2299</v>
      </c>
    </row>
    <row r="360" spans="1:33" s="285" customFormat="1" ht="27.6" customHeight="1">
      <c r="A360" s="346" t="s">
        <v>1756</v>
      </c>
      <c r="B360" s="182">
        <v>15</v>
      </c>
      <c r="C360" s="346" t="s">
        <v>1757</v>
      </c>
      <c r="D360" s="183">
        <v>20</v>
      </c>
      <c r="E360" s="182" t="s">
        <v>503</v>
      </c>
      <c r="F360" s="350">
        <v>44880</v>
      </c>
      <c r="G360" s="364" t="s">
        <v>2298</v>
      </c>
      <c r="H360" s="132" t="s">
        <v>1905</v>
      </c>
      <c r="I360" s="431">
        <v>15</v>
      </c>
      <c r="J360" s="390">
        <v>20</v>
      </c>
      <c r="K360" s="390">
        <v>20</v>
      </c>
      <c r="L360" s="389">
        <v>0</v>
      </c>
      <c r="M360" s="372">
        <v>80</v>
      </c>
      <c r="N360" s="372">
        <v>90</v>
      </c>
      <c r="O360" s="338">
        <v>25</v>
      </c>
      <c r="P360" s="338">
        <v>45</v>
      </c>
      <c r="Q360" s="183" t="s">
        <v>1707</v>
      </c>
      <c r="R360" s="338" t="s">
        <v>1959</v>
      </c>
      <c r="S360" s="767"/>
      <c r="T360" s="419">
        <v>42</v>
      </c>
      <c r="U360" s="391">
        <v>0</v>
      </c>
      <c r="V360" s="26" t="s">
        <v>749</v>
      </c>
      <c r="W360" s="132"/>
      <c r="X360" s="396">
        <v>0</v>
      </c>
      <c r="Y360" s="410">
        <v>2</v>
      </c>
      <c r="Z360" s="396">
        <v>1</v>
      </c>
      <c r="AA360" s="810">
        <v>16.304210526315792</v>
      </c>
      <c r="AB360" s="396" t="s">
        <v>1738</v>
      </c>
      <c r="AC360" s="410">
        <v>1</v>
      </c>
      <c r="AD360" s="29">
        <v>0</v>
      </c>
      <c r="AE360" s="396">
        <v>6</v>
      </c>
      <c r="AF360" s="441" t="s">
        <v>2299</v>
      </c>
      <c r="AG360" s="306"/>
    </row>
    <row r="361" spans="1:33" s="285" customFormat="1" ht="27.6" customHeight="1">
      <c r="A361" s="346" t="s">
        <v>1756</v>
      </c>
      <c r="B361" s="182">
        <v>15</v>
      </c>
      <c r="C361" s="346" t="s">
        <v>1757</v>
      </c>
      <c r="D361" s="183">
        <v>22</v>
      </c>
      <c r="E361" s="182" t="s">
        <v>504</v>
      </c>
      <c r="F361" s="350">
        <v>44858</v>
      </c>
      <c r="G361" s="364" t="s">
        <v>2298</v>
      </c>
      <c r="H361" s="132" t="s">
        <v>1905</v>
      </c>
      <c r="I361" s="431">
        <v>15</v>
      </c>
      <c r="J361" s="390">
        <v>10</v>
      </c>
      <c r="K361" s="390">
        <v>20</v>
      </c>
      <c r="L361" s="389">
        <v>-10</v>
      </c>
      <c r="M361" s="372">
        <v>92.5</v>
      </c>
      <c r="N361" s="372">
        <v>97.5</v>
      </c>
      <c r="O361" s="338">
        <v>27.5</v>
      </c>
      <c r="P361" s="338">
        <v>35</v>
      </c>
      <c r="Q361" s="183" t="s">
        <v>1707</v>
      </c>
      <c r="R361" s="338" t="s">
        <v>1960</v>
      </c>
      <c r="S361" s="767"/>
      <c r="T361" s="419">
        <v>85.5</v>
      </c>
      <c r="U361" s="391">
        <v>0</v>
      </c>
      <c r="V361" s="129" t="s">
        <v>749</v>
      </c>
      <c r="W361" s="132" t="s">
        <v>749</v>
      </c>
      <c r="X361" s="427">
        <v>0</v>
      </c>
      <c r="Y361" s="410">
        <v>2</v>
      </c>
      <c r="Z361" s="396">
        <v>1</v>
      </c>
      <c r="AA361" s="810">
        <v>63.484210526315792</v>
      </c>
      <c r="AB361" s="396">
        <v>6</v>
      </c>
      <c r="AC361" s="410">
        <v>0</v>
      </c>
      <c r="AD361" s="29">
        <v>0</v>
      </c>
      <c r="AE361" s="396">
        <v>2</v>
      </c>
      <c r="AF361" s="441" t="s">
        <v>2299</v>
      </c>
    </row>
    <row r="362" spans="1:33" ht="27.6" customHeight="1">
      <c r="A362" s="346" t="s">
        <v>1756</v>
      </c>
      <c r="B362" s="182">
        <v>15</v>
      </c>
      <c r="C362" s="346" t="s">
        <v>1757</v>
      </c>
      <c r="D362" s="183">
        <v>23</v>
      </c>
      <c r="E362" s="182" t="s">
        <v>505</v>
      </c>
      <c r="F362" s="350">
        <v>44858</v>
      </c>
      <c r="G362" s="364" t="s">
        <v>2298</v>
      </c>
      <c r="H362" s="132" t="s">
        <v>1905</v>
      </c>
      <c r="I362" s="431">
        <v>15</v>
      </c>
      <c r="J362" s="392" t="s">
        <v>1711</v>
      </c>
      <c r="K362" s="392">
        <v>2.5</v>
      </c>
      <c r="L362" s="389" t="e">
        <v>#VALUE!</v>
      </c>
      <c r="M362" s="372">
        <v>77.5</v>
      </c>
      <c r="N362" s="372">
        <v>80</v>
      </c>
      <c r="O362" s="338">
        <v>12.5</v>
      </c>
      <c r="P362" s="338">
        <v>25</v>
      </c>
      <c r="Q362" s="183" t="s">
        <v>1707</v>
      </c>
      <c r="R362" s="338">
        <v>0</v>
      </c>
      <c r="S362" s="767"/>
      <c r="T362" s="419"/>
      <c r="U362" s="391">
        <v>0</v>
      </c>
      <c r="V362" s="129" t="s">
        <v>749</v>
      </c>
      <c r="W362" s="132" t="s">
        <v>749</v>
      </c>
      <c r="X362" s="427">
        <v>0</v>
      </c>
      <c r="Y362" s="410">
        <v>1</v>
      </c>
      <c r="Z362" s="396">
        <v>0</v>
      </c>
      <c r="AA362" s="810">
        <v>8.3465591397849455</v>
      </c>
      <c r="AB362" s="396">
        <v>4</v>
      </c>
      <c r="AC362" s="410">
        <v>0</v>
      </c>
      <c r="AD362" s="29">
        <v>0</v>
      </c>
      <c r="AE362" s="396">
        <v>0</v>
      </c>
      <c r="AF362" s="441" t="s">
        <v>2299</v>
      </c>
    </row>
    <row r="363" spans="1:33" s="285" customFormat="1" ht="27.6" customHeight="1">
      <c r="A363" s="346" t="s">
        <v>1756</v>
      </c>
      <c r="B363" s="182">
        <v>15</v>
      </c>
      <c r="C363" s="346" t="s">
        <v>1757</v>
      </c>
      <c r="D363" s="183">
        <v>24</v>
      </c>
      <c r="E363" s="182" t="s">
        <v>506</v>
      </c>
      <c r="F363" s="350">
        <v>44854</v>
      </c>
      <c r="G363" s="364" t="s">
        <v>2298</v>
      </c>
      <c r="H363" s="132" t="s">
        <v>1905</v>
      </c>
      <c r="I363" s="431">
        <v>15</v>
      </c>
      <c r="J363" s="390">
        <v>20</v>
      </c>
      <c r="K363" s="390">
        <v>20</v>
      </c>
      <c r="L363" s="389">
        <v>0</v>
      </c>
      <c r="M363" s="372">
        <v>95</v>
      </c>
      <c r="N363" s="372">
        <v>97.5</v>
      </c>
      <c r="O363" s="338">
        <v>27.5</v>
      </c>
      <c r="P363" s="338">
        <v>42.5</v>
      </c>
      <c r="Q363" s="183" t="s">
        <v>1707</v>
      </c>
      <c r="R363" s="338" t="s">
        <v>1951</v>
      </c>
      <c r="S363" s="767"/>
      <c r="T363" s="419">
        <v>25</v>
      </c>
      <c r="U363" s="391">
        <v>0</v>
      </c>
      <c r="V363" s="129" t="s">
        <v>749</v>
      </c>
      <c r="W363" s="132" t="s">
        <v>749</v>
      </c>
      <c r="X363" s="427">
        <v>0</v>
      </c>
      <c r="Y363" s="410">
        <v>1</v>
      </c>
      <c r="Z363" s="396">
        <v>0</v>
      </c>
      <c r="AA363" s="810"/>
      <c r="AB363" s="396"/>
      <c r="AC363" s="410">
        <v>0</v>
      </c>
      <c r="AD363" s="29">
        <v>0</v>
      </c>
      <c r="AE363" s="396">
        <v>0</v>
      </c>
      <c r="AF363" s="441" t="s">
        <v>2299</v>
      </c>
    </row>
    <row r="364" spans="1:33" ht="27.6" customHeight="1">
      <c r="A364" s="346" t="s">
        <v>1756</v>
      </c>
      <c r="B364" s="182">
        <v>15</v>
      </c>
      <c r="C364" s="346" t="s">
        <v>1757</v>
      </c>
      <c r="D364" s="183">
        <v>25</v>
      </c>
      <c r="E364" s="182" t="s">
        <v>507</v>
      </c>
      <c r="F364" s="350">
        <v>44854</v>
      </c>
      <c r="G364" s="364" t="s">
        <v>2298</v>
      </c>
      <c r="H364" s="132" t="s">
        <v>1905</v>
      </c>
      <c r="I364" s="431">
        <v>15</v>
      </c>
      <c r="J364" s="390">
        <v>10</v>
      </c>
      <c r="K364" s="390">
        <v>10</v>
      </c>
      <c r="L364" s="389">
        <v>0</v>
      </c>
      <c r="M364" s="372">
        <v>95</v>
      </c>
      <c r="N364" s="372">
        <v>92.5</v>
      </c>
      <c r="O364" s="338">
        <v>25</v>
      </c>
      <c r="P364" s="338">
        <v>42.5</v>
      </c>
      <c r="Q364" s="183" t="s">
        <v>1707</v>
      </c>
      <c r="R364" s="338" t="s">
        <v>1952</v>
      </c>
      <c r="S364" s="767"/>
      <c r="T364" s="419"/>
      <c r="U364" s="391">
        <v>0</v>
      </c>
      <c r="V364" s="129" t="s">
        <v>749</v>
      </c>
      <c r="W364" s="132" t="s">
        <v>749</v>
      </c>
      <c r="X364" s="427">
        <v>0</v>
      </c>
      <c r="Y364" s="410">
        <v>1</v>
      </c>
      <c r="Z364" s="396">
        <v>0</v>
      </c>
      <c r="AA364" s="810">
        <v>23.834954954954959</v>
      </c>
      <c r="AB364" s="396" t="s">
        <v>1738</v>
      </c>
      <c r="AC364" s="410">
        <v>0</v>
      </c>
      <c r="AD364" s="29">
        <v>0</v>
      </c>
      <c r="AE364" s="396">
        <v>0</v>
      </c>
      <c r="AF364" s="441" t="s">
        <v>2299</v>
      </c>
      <c r="AG364" s="285"/>
    </row>
    <row r="365" spans="1:33" s="285" customFormat="1" ht="27.6" customHeight="1">
      <c r="A365" s="346" t="s">
        <v>1756</v>
      </c>
      <c r="B365" s="182">
        <v>15</v>
      </c>
      <c r="C365" s="346" t="s">
        <v>1757</v>
      </c>
      <c r="D365" s="183">
        <v>37</v>
      </c>
      <c r="E365" s="182" t="s">
        <v>508</v>
      </c>
      <c r="F365" s="350">
        <v>44860</v>
      </c>
      <c r="G365" s="364" t="s">
        <v>2298</v>
      </c>
      <c r="H365" s="132" t="s">
        <v>1905</v>
      </c>
      <c r="I365" s="431">
        <v>15</v>
      </c>
      <c r="J365" s="390">
        <v>30</v>
      </c>
      <c r="K365" s="390">
        <v>50</v>
      </c>
      <c r="L365" s="389">
        <v>-20</v>
      </c>
      <c r="M365" s="372">
        <v>92.5</v>
      </c>
      <c r="N365" s="372">
        <v>95</v>
      </c>
      <c r="O365" s="338">
        <v>22.5</v>
      </c>
      <c r="P365" s="338">
        <v>25</v>
      </c>
      <c r="Q365" s="183" t="s">
        <v>1707</v>
      </c>
      <c r="R365" s="338" t="s">
        <v>1956</v>
      </c>
      <c r="S365" s="767"/>
      <c r="T365" s="419">
        <v>176.5</v>
      </c>
      <c r="U365" s="391">
        <v>0</v>
      </c>
      <c r="V365" s="129" t="s">
        <v>749</v>
      </c>
      <c r="W365" s="132" t="s">
        <v>749</v>
      </c>
      <c r="X365" s="427">
        <v>0</v>
      </c>
      <c r="Y365" s="410">
        <v>2</v>
      </c>
      <c r="Z365" s="396">
        <v>1</v>
      </c>
      <c r="AA365" s="810">
        <v>13.119611650485435</v>
      </c>
      <c r="AB365" s="396" t="s">
        <v>1738</v>
      </c>
      <c r="AC365" s="410">
        <v>1</v>
      </c>
      <c r="AD365" s="29">
        <v>0</v>
      </c>
      <c r="AE365" s="396">
        <v>1</v>
      </c>
      <c r="AF365" s="441" t="s">
        <v>2299</v>
      </c>
    </row>
    <row r="366" spans="1:33" ht="27.6" customHeight="1">
      <c r="A366" s="346" t="s">
        <v>1756</v>
      </c>
      <c r="B366" s="182">
        <v>15</v>
      </c>
      <c r="C366" s="346" t="s">
        <v>1757</v>
      </c>
      <c r="D366" s="183">
        <v>38</v>
      </c>
      <c r="E366" s="182" t="s">
        <v>509</v>
      </c>
      <c r="F366" s="350">
        <v>44860</v>
      </c>
      <c r="G366" s="364" t="s">
        <v>2298</v>
      </c>
      <c r="H366" s="132" t="s">
        <v>1905</v>
      </c>
      <c r="I366" s="431">
        <v>15</v>
      </c>
      <c r="J366" s="390">
        <v>10</v>
      </c>
      <c r="K366" s="390">
        <v>10</v>
      </c>
      <c r="L366" s="389">
        <v>0</v>
      </c>
      <c r="M366" s="372">
        <v>97.5</v>
      </c>
      <c r="N366" s="372">
        <v>97.5</v>
      </c>
      <c r="O366" s="338">
        <v>22.5</v>
      </c>
      <c r="P366" s="338">
        <v>25</v>
      </c>
      <c r="Q366" s="183" t="s">
        <v>1707</v>
      </c>
      <c r="R366" s="338" t="s">
        <v>1953</v>
      </c>
      <c r="S366" s="767"/>
      <c r="T366" s="419">
        <v>124.5</v>
      </c>
      <c r="U366" s="391">
        <v>0</v>
      </c>
      <c r="V366" s="129" t="s">
        <v>749</v>
      </c>
      <c r="W366" s="132" t="s">
        <v>749</v>
      </c>
      <c r="X366" s="427">
        <v>0</v>
      </c>
      <c r="Y366" s="410">
        <v>2</v>
      </c>
      <c r="Z366" s="396">
        <v>1</v>
      </c>
      <c r="AA366" s="810">
        <v>13.697477477477477</v>
      </c>
      <c r="AB366" s="396" t="s">
        <v>1738</v>
      </c>
      <c r="AC366" s="410">
        <v>1</v>
      </c>
      <c r="AD366" s="29">
        <v>0</v>
      </c>
      <c r="AE366" s="396">
        <v>10</v>
      </c>
      <c r="AF366" s="441" t="s">
        <v>2299</v>
      </c>
      <c r="AG366" s="285"/>
    </row>
    <row r="367" spans="1:33" s="285" customFormat="1" ht="27.6" customHeight="1">
      <c r="A367" s="346" t="s">
        <v>1756</v>
      </c>
      <c r="B367" s="182">
        <v>15</v>
      </c>
      <c r="C367" s="346" t="s">
        <v>1757</v>
      </c>
      <c r="D367" s="183">
        <v>39</v>
      </c>
      <c r="E367" s="182" t="s">
        <v>510</v>
      </c>
      <c r="F367" s="350">
        <v>44854</v>
      </c>
      <c r="G367" s="364" t="s">
        <v>2298</v>
      </c>
      <c r="H367" s="132" t="s">
        <v>1905</v>
      </c>
      <c r="I367" s="431">
        <v>15</v>
      </c>
      <c r="J367" s="390">
        <v>20</v>
      </c>
      <c r="K367" s="390">
        <v>20</v>
      </c>
      <c r="L367" s="389">
        <v>0</v>
      </c>
      <c r="M367" s="372">
        <v>87.5</v>
      </c>
      <c r="N367" s="372">
        <v>97.5</v>
      </c>
      <c r="O367" s="338">
        <v>12.5</v>
      </c>
      <c r="P367" s="338">
        <v>20</v>
      </c>
      <c r="Q367" s="183" t="s">
        <v>1882</v>
      </c>
      <c r="R367" s="338" t="s">
        <v>1952</v>
      </c>
      <c r="S367" s="767"/>
      <c r="T367" s="419">
        <v>48.5</v>
      </c>
      <c r="U367" s="391">
        <v>1</v>
      </c>
      <c r="V367" s="129" t="s">
        <v>1719</v>
      </c>
      <c r="W367" s="132" t="s">
        <v>749</v>
      </c>
      <c r="X367" s="427">
        <v>1</v>
      </c>
      <c r="Y367" s="410">
        <v>2</v>
      </c>
      <c r="Z367" s="396">
        <v>1</v>
      </c>
      <c r="AA367" s="810">
        <v>37.503376623376624</v>
      </c>
      <c r="AB367" s="396" t="s">
        <v>1753</v>
      </c>
      <c r="AC367" s="410">
        <v>0</v>
      </c>
      <c r="AD367" s="29">
        <v>0</v>
      </c>
      <c r="AE367" s="396">
        <v>2</v>
      </c>
      <c r="AF367" s="441" t="s">
        <v>2299</v>
      </c>
      <c r="AG367" s="306"/>
    </row>
    <row r="368" spans="1:33" s="285" customFormat="1" ht="27.6" customHeight="1">
      <c r="A368" s="346" t="s">
        <v>1756</v>
      </c>
      <c r="B368" s="182">
        <v>15</v>
      </c>
      <c r="C368" s="346" t="s">
        <v>1757</v>
      </c>
      <c r="D368" s="183">
        <v>40</v>
      </c>
      <c r="E368" s="182" t="s">
        <v>511</v>
      </c>
      <c r="F368" s="350">
        <v>44854</v>
      </c>
      <c r="G368" s="364" t="s">
        <v>2298</v>
      </c>
      <c r="H368" s="132" t="s">
        <v>1905</v>
      </c>
      <c r="I368" s="431">
        <v>15</v>
      </c>
      <c r="J368" s="390">
        <v>20</v>
      </c>
      <c r="K368" s="390">
        <v>30</v>
      </c>
      <c r="L368" s="389">
        <v>-10</v>
      </c>
      <c r="M368" s="372">
        <v>95</v>
      </c>
      <c r="N368" s="372">
        <v>95</v>
      </c>
      <c r="O368" s="338">
        <v>35</v>
      </c>
      <c r="P368" s="338">
        <v>40</v>
      </c>
      <c r="Q368" s="183" t="s">
        <v>1707</v>
      </c>
      <c r="R368" s="338" t="s">
        <v>1950</v>
      </c>
      <c r="S368" s="767"/>
      <c r="T368" s="419">
        <v>27.5</v>
      </c>
      <c r="U368" s="391">
        <v>0</v>
      </c>
      <c r="V368" s="129" t="s">
        <v>749</v>
      </c>
      <c r="W368" s="132" t="s">
        <v>749</v>
      </c>
      <c r="X368" s="427">
        <v>0</v>
      </c>
      <c r="Y368" s="410">
        <v>2</v>
      </c>
      <c r="Z368" s="396">
        <v>1</v>
      </c>
      <c r="AA368" s="810">
        <v>42.677101449275362</v>
      </c>
      <c r="AB368" s="396" t="s">
        <v>1753</v>
      </c>
      <c r="AC368" s="410">
        <v>0</v>
      </c>
      <c r="AD368" s="29">
        <v>0</v>
      </c>
      <c r="AE368" s="396">
        <v>0</v>
      </c>
      <c r="AF368" s="441" t="s">
        <v>2299</v>
      </c>
    </row>
    <row r="369" spans="1:33" ht="27.6" customHeight="1">
      <c r="A369" s="346" t="s">
        <v>1756</v>
      </c>
      <c r="B369" s="182">
        <v>15</v>
      </c>
      <c r="C369" s="346" t="s">
        <v>1757</v>
      </c>
      <c r="D369" s="183">
        <v>41</v>
      </c>
      <c r="E369" s="182" t="s">
        <v>512</v>
      </c>
      <c r="F369" s="350">
        <v>44854</v>
      </c>
      <c r="G369" s="364" t="s">
        <v>2298</v>
      </c>
      <c r="H369" s="132" t="s">
        <v>1905</v>
      </c>
      <c r="I369" s="431">
        <v>15</v>
      </c>
      <c r="J369" s="390">
        <v>20</v>
      </c>
      <c r="K369" s="390">
        <v>20</v>
      </c>
      <c r="L369" s="389">
        <v>0</v>
      </c>
      <c r="M369" s="372">
        <v>95</v>
      </c>
      <c r="N369" s="372">
        <v>95</v>
      </c>
      <c r="O369" s="338">
        <v>32.5</v>
      </c>
      <c r="P369" s="338">
        <v>40</v>
      </c>
      <c r="Q369" s="183" t="s">
        <v>1707</v>
      </c>
      <c r="R369" s="338" t="s">
        <v>1953</v>
      </c>
      <c r="S369" s="767"/>
      <c r="T369" s="419">
        <v>40</v>
      </c>
      <c r="U369" s="391">
        <v>0</v>
      </c>
      <c r="V369" s="129" t="s">
        <v>749</v>
      </c>
      <c r="W369" s="132" t="s">
        <v>749</v>
      </c>
      <c r="X369" s="427">
        <v>0</v>
      </c>
      <c r="Y369" s="410">
        <v>2</v>
      </c>
      <c r="Z369" s="396">
        <v>1</v>
      </c>
      <c r="AA369" s="810"/>
      <c r="AB369" s="396"/>
      <c r="AC369" s="410">
        <v>0</v>
      </c>
      <c r="AD369" s="29">
        <v>0</v>
      </c>
      <c r="AE369" s="396">
        <v>0</v>
      </c>
      <c r="AF369" s="441" t="s">
        <v>2299</v>
      </c>
      <c r="AG369" s="285"/>
    </row>
    <row r="370" spans="1:33" s="285" customFormat="1" ht="27.6" customHeight="1">
      <c r="A370" s="346" t="s">
        <v>1756</v>
      </c>
      <c r="B370" s="182">
        <v>15</v>
      </c>
      <c r="C370" s="346" t="s">
        <v>1757</v>
      </c>
      <c r="D370" s="183">
        <v>58</v>
      </c>
      <c r="E370" s="182" t="s">
        <v>513</v>
      </c>
      <c r="F370" s="350">
        <v>44860</v>
      </c>
      <c r="G370" s="364" t="s">
        <v>2298</v>
      </c>
      <c r="H370" s="132" t="s">
        <v>1905</v>
      </c>
      <c r="I370" s="431">
        <v>15</v>
      </c>
      <c r="J370" s="390">
        <v>50</v>
      </c>
      <c r="K370" s="390">
        <v>70</v>
      </c>
      <c r="L370" s="389">
        <v>-20</v>
      </c>
      <c r="M370" s="372">
        <v>85</v>
      </c>
      <c r="N370" s="372">
        <v>87.5</v>
      </c>
      <c r="O370" s="338">
        <v>37.5</v>
      </c>
      <c r="P370" s="338">
        <v>37.5</v>
      </c>
      <c r="Q370" s="183" t="s">
        <v>1706</v>
      </c>
      <c r="R370" s="338" t="s">
        <v>1952</v>
      </c>
      <c r="S370" s="767"/>
      <c r="T370" s="419">
        <v>45</v>
      </c>
      <c r="U370" s="391">
        <v>0</v>
      </c>
      <c r="V370" s="129" t="s">
        <v>749</v>
      </c>
      <c r="W370" s="132" t="s">
        <v>749</v>
      </c>
      <c r="X370" s="427">
        <v>0</v>
      </c>
      <c r="Y370" s="410">
        <v>3</v>
      </c>
      <c r="Z370" s="396">
        <v>1</v>
      </c>
      <c r="AA370" s="810"/>
      <c r="AB370" s="396"/>
      <c r="AC370" s="410">
        <v>1</v>
      </c>
      <c r="AD370" s="29">
        <v>0</v>
      </c>
      <c r="AE370" s="396">
        <v>1</v>
      </c>
      <c r="AF370" s="441" t="s">
        <v>2299</v>
      </c>
    </row>
    <row r="371" spans="1:33" s="285" customFormat="1" ht="27.6" customHeight="1">
      <c r="A371" s="346" t="s">
        <v>1756</v>
      </c>
      <c r="B371" s="182">
        <v>15</v>
      </c>
      <c r="C371" s="346" t="s">
        <v>1757</v>
      </c>
      <c r="D371" s="183">
        <v>59</v>
      </c>
      <c r="E371" s="182" t="s">
        <v>514</v>
      </c>
      <c r="F371" s="350">
        <v>44860</v>
      </c>
      <c r="G371" s="364" t="s">
        <v>2298</v>
      </c>
      <c r="H371" s="132" t="s">
        <v>1905</v>
      </c>
      <c r="I371" s="431">
        <v>15</v>
      </c>
      <c r="J371" s="390">
        <v>60</v>
      </c>
      <c r="K371" s="390">
        <v>50</v>
      </c>
      <c r="L371" s="389">
        <v>10</v>
      </c>
      <c r="M371" s="372">
        <v>72.5</v>
      </c>
      <c r="N371" s="372">
        <v>72.5</v>
      </c>
      <c r="O371" s="338">
        <v>5</v>
      </c>
      <c r="P371" s="338">
        <v>5</v>
      </c>
      <c r="Q371" s="183" t="s">
        <v>1706</v>
      </c>
      <c r="R371" s="338" t="s">
        <v>1952</v>
      </c>
      <c r="S371" s="767"/>
      <c r="T371" s="419"/>
      <c r="U371" s="391">
        <v>0</v>
      </c>
      <c r="V371" s="129" t="s">
        <v>749</v>
      </c>
      <c r="W371" s="132" t="s">
        <v>749</v>
      </c>
      <c r="X371" s="427">
        <v>0</v>
      </c>
      <c r="Y371" s="410">
        <v>3</v>
      </c>
      <c r="Z371" s="396">
        <v>1</v>
      </c>
      <c r="AA371" s="810">
        <v>96.183647798742129</v>
      </c>
      <c r="AB371" s="396">
        <v>6</v>
      </c>
      <c r="AC371" s="410">
        <v>0</v>
      </c>
      <c r="AD371" s="29">
        <v>0</v>
      </c>
      <c r="AE371" s="396">
        <v>1</v>
      </c>
      <c r="AF371" s="441" t="s">
        <v>2299</v>
      </c>
      <c r="AG371" s="306"/>
    </row>
    <row r="372" spans="1:33" s="285" customFormat="1" ht="27.6" customHeight="1">
      <c r="A372" s="346" t="s">
        <v>1756</v>
      </c>
      <c r="B372" s="182">
        <v>15</v>
      </c>
      <c r="C372" s="346" t="s">
        <v>1757</v>
      </c>
      <c r="D372" s="183">
        <v>60</v>
      </c>
      <c r="E372" s="182" t="s">
        <v>515</v>
      </c>
      <c r="F372" s="350">
        <v>44860</v>
      </c>
      <c r="G372" s="364" t="s">
        <v>2298</v>
      </c>
      <c r="H372" s="132" t="s">
        <v>1905</v>
      </c>
      <c r="I372" s="431">
        <v>15</v>
      </c>
      <c r="J372" s="390">
        <v>60</v>
      </c>
      <c r="K372" s="390">
        <v>70</v>
      </c>
      <c r="L372" s="389">
        <v>-10</v>
      </c>
      <c r="M372" s="372">
        <v>77.5</v>
      </c>
      <c r="N372" s="372">
        <v>72.5</v>
      </c>
      <c r="O372" s="338">
        <v>10</v>
      </c>
      <c r="P372" s="338">
        <v>6.5</v>
      </c>
      <c r="Q372" s="183" t="s">
        <v>1706</v>
      </c>
      <c r="R372" s="338" t="s">
        <v>1952</v>
      </c>
      <c r="S372" s="767"/>
      <c r="T372" s="419"/>
      <c r="U372" s="391">
        <v>0</v>
      </c>
      <c r="V372" s="129" t="s">
        <v>749</v>
      </c>
      <c r="W372" s="132" t="s">
        <v>749</v>
      </c>
      <c r="X372" s="427">
        <v>0</v>
      </c>
      <c r="Y372" s="410">
        <v>2</v>
      </c>
      <c r="Z372" s="396">
        <v>1</v>
      </c>
      <c r="AA372" s="810">
        <v>73.727058823529404</v>
      </c>
      <c r="AB372" s="396">
        <v>6</v>
      </c>
      <c r="AC372" s="410">
        <v>0</v>
      </c>
      <c r="AD372" s="29">
        <v>0</v>
      </c>
      <c r="AE372" s="396">
        <v>0</v>
      </c>
      <c r="AF372" s="441" t="s">
        <v>2299</v>
      </c>
    </row>
    <row r="373" spans="1:33" ht="27.6" customHeight="1">
      <c r="A373" s="346" t="s">
        <v>1756</v>
      </c>
      <c r="B373" s="182">
        <v>15</v>
      </c>
      <c r="C373" s="346" t="s">
        <v>1757</v>
      </c>
      <c r="D373" s="183">
        <v>61</v>
      </c>
      <c r="E373" s="182" t="s">
        <v>516</v>
      </c>
      <c r="F373" s="350">
        <v>44860</v>
      </c>
      <c r="G373" s="364" t="s">
        <v>2298</v>
      </c>
      <c r="H373" s="132" t="s">
        <v>1905</v>
      </c>
      <c r="I373" s="431">
        <v>15</v>
      </c>
      <c r="J373" s="390">
        <v>10</v>
      </c>
      <c r="K373" s="390">
        <v>10</v>
      </c>
      <c r="L373" s="389">
        <v>0</v>
      </c>
      <c r="M373" s="372">
        <v>65</v>
      </c>
      <c r="N373" s="372">
        <v>0</v>
      </c>
      <c r="O373" s="338">
        <v>0</v>
      </c>
      <c r="P373" s="338"/>
      <c r="Q373" s="183" t="s">
        <v>1883</v>
      </c>
      <c r="R373" s="338">
        <v>0</v>
      </c>
      <c r="S373" s="767"/>
      <c r="T373" s="419"/>
      <c r="U373" s="391">
        <v>0</v>
      </c>
      <c r="V373" s="129" t="s">
        <v>749</v>
      </c>
      <c r="W373" s="132" t="s">
        <v>749</v>
      </c>
      <c r="X373" s="427">
        <v>0</v>
      </c>
      <c r="Y373" s="410">
        <v>1</v>
      </c>
      <c r="Z373" s="396">
        <v>0</v>
      </c>
      <c r="AA373" s="810">
        <v>181.9674418604651</v>
      </c>
      <c r="AB373" s="396">
        <v>6</v>
      </c>
      <c r="AC373" s="410">
        <v>0</v>
      </c>
      <c r="AD373" s="29">
        <v>0</v>
      </c>
      <c r="AE373" s="396">
        <v>0</v>
      </c>
      <c r="AF373" s="442" t="s">
        <v>1804</v>
      </c>
      <c r="AG373" s="285"/>
    </row>
    <row r="374" spans="1:33" s="285" customFormat="1" ht="27.6" customHeight="1">
      <c r="A374" s="346" t="s">
        <v>1756</v>
      </c>
      <c r="B374" s="182">
        <v>15</v>
      </c>
      <c r="C374" s="346" t="s">
        <v>1757</v>
      </c>
      <c r="D374" s="183">
        <v>66</v>
      </c>
      <c r="E374" s="182" t="s">
        <v>518</v>
      </c>
      <c r="F374" s="350">
        <v>44855</v>
      </c>
      <c r="G374" s="364" t="s">
        <v>2298</v>
      </c>
      <c r="H374" s="132" t="s">
        <v>1905</v>
      </c>
      <c r="I374" s="431">
        <v>15</v>
      </c>
      <c r="J374" s="390">
        <v>10</v>
      </c>
      <c r="K374" s="390">
        <v>20</v>
      </c>
      <c r="L374" s="389">
        <v>-10</v>
      </c>
      <c r="M374" s="372">
        <v>95</v>
      </c>
      <c r="N374" s="372">
        <v>90</v>
      </c>
      <c r="O374" s="338">
        <v>45</v>
      </c>
      <c r="P374" s="338">
        <v>20</v>
      </c>
      <c r="Q374" s="183" t="s">
        <v>1707</v>
      </c>
      <c r="R374" s="338">
        <v>0</v>
      </c>
      <c r="S374" s="767"/>
      <c r="T374" s="419">
        <v>50</v>
      </c>
      <c r="U374" s="391">
        <v>0</v>
      </c>
      <c r="V374" s="129" t="s">
        <v>749</v>
      </c>
      <c r="W374" s="132" t="s">
        <v>749</v>
      </c>
      <c r="X374" s="427">
        <v>0</v>
      </c>
      <c r="Y374" s="410">
        <v>2</v>
      </c>
      <c r="Z374" s="396">
        <v>1</v>
      </c>
      <c r="AA374" s="810">
        <v>38.389933774834439</v>
      </c>
      <c r="AB374" s="396" t="s">
        <v>1753</v>
      </c>
      <c r="AC374" s="410">
        <v>0</v>
      </c>
      <c r="AD374" s="29">
        <v>0</v>
      </c>
      <c r="AE374" s="396">
        <v>0</v>
      </c>
      <c r="AF374" s="441" t="s">
        <v>2299</v>
      </c>
    </row>
    <row r="375" spans="1:33" s="285" customFormat="1" ht="27.6" customHeight="1">
      <c r="A375" s="346" t="s">
        <v>1756</v>
      </c>
      <c r="B375" s="182">
        <v>15</v>
      </c>
      <c r="C375" s="346" t="s">
        <v>1757</v>
      </c>
      <c r="D375" s="183">
        <v>104</v>
      </c>
      <c r="E375" s="182" t="s">
        <v>519</v>
      </c>
      <c r="F375" s="350">
        <v>44880</v>
      </c>
      <c r="G375" s="364" t="s">
        <v>2298</v>
      </c>
      <c r="H375" s="132" t="s">
        <v>1905</v>
      </c>
      <c r="I375" s="431">
        <v>15</v>
      </c>
      <c r="J375" s="390">
        <v>10</v>
      </c>
      <c r="K375" s="390">
        <v>10</v>
      </c>
      <c r="L375" s="389">
        <v>0</v>
      </c>
      <c r="M375" s="372">
        <v>92.5</v>
      </c>
      <c r="N375" s="372">
        <v>97.5</v>
      </c>
      <c r="O375" s="338">
        <v>27.5</v>
      </c>
      <c r="P375" s="338">
        <v>65</v>
      </c>
      <c r="Q375" s="183" t="s">
        <v>1707</v>
      </c>
      <c r="R375" s="338" t="s">
        <v>1953</v>
      </c>
      <c r="S375" s="767"/>
      <c r="T375" s="419">
        <v>32</v>
      </c>
      <c r="U375" s="391">
        <v>0</v>
      </c>
      <c r="V375" s="129" t="s">
        <v>749</v>
      </c>
      <c r="W375" s="132" t="s">
        <v>749</v>
      </c>
      <c r="X375" s="427">
        <v>0</v>
      </c>
      <c r="Y375" s="410">
        <v>2</v>
      </c>
      <c r="Z375" s="396">
        <v>1</v>
      </c>
      <c r="AA375" s="810">
        <v>155.73535353535348</v>
      </c>
      <c r="AB375" s="396">
        <v>6</v>
      </c>
      <c r="AC375" s="410">
        <v>2</v>
      </c>
      <c r="AD375" s="29">
        <v>0</v>
      </c>
      <c r="AE375" s="396">
        <v>1</v>
      </c>
      <c r="AF375" s="441" t="s">
        <v>2299</v>
      </c>
    </row>
    <row r="376" spans="1:33" s="285" customFormat="1" ht="27.6" customHeight="1">
      <c r="A376" s="346" t="s">
        <v>1756</v>
      </c>
      <c r="B376" s="182">
        <v>15</v>
      </c>
      <c r="C376" s="346" t="s">
        <v>1757</v>
      </c>
      <c r="D376" s="183">
        <v>106</v>
      </c>
      <c r="E376" s="182" t="s">
        <v>520</v>
      </c>
      <c r="F376" s="350">
        <v>44880</v>
      </c>
      <c r="G376" s="364" t="s">
        <v>2298</v>
      </c>
      <c r="H376" s="132" t="s">
        <v>1905</v>
      </c>
      <c r="I376" s="431">
        <v>15</v>
      </c>
      <c r="J376" s="390">
        <v>20</v>
      </c>
      <c r="K376" s="390">
        <v>20</v>
      </c>
      <c r="L376" s="389">
        <v>0</v>
      </c>
      <c r="M376" s="372">
        <v>72.5</v>
      </c>
      <c r="N376" s="372">
        <v>92.5</v>
      </c>
      <c r="O376" s="338">
        <v>25</v>
      </c>
      <c r="P376" s="338">
        <v>42.5</v>
      </c>
      <c r="Q376" s="183" t="s">
        <v>1707</v>
      </c>
      <c r="R376" s="338" t="s">
        <v>1987</v>
      </c>
      <c r="S376" s="767"/>
      <c r="T376" s="419">
        <v>92</v>
      </c>
      <c r="U376" s="391">
        <v>0</v>
      </c>
      <c r="V376" s="129" t="s">
        <v>749</v>
      </c>
      <c r="W376" s="132" t="s">
        <v>749</v>
      </c>
      <c r="X376" s="427">
        <v>0</v>
      </c>
      <c r="Y376" s="410">
        <v>2</v>
      </c>
      <c r="Z376" s="396">
        <v>1</v>
      </c>
      <c r="AA376" s="810">
        <v>11.854920634920635</v>
      </c>
      <c r="AB376" s="396" t="s">
        <v>1738</v>
      </c>
      <c r="AC376" s="410">
        <v>1</v>
      </c>
      <c r="AD376" s="29">
        <v>0</v>
      </c>
      <c r="AE376" s="396">
        <v>8</v>
      </c>
      <c r="AF376" s="441" t="s">
        <v>2299</v>
      </c>
    </row>
    <row r="377" spans="1:33" ht="27.6" customHeight="1">
      <c r="A377" s="346" t="s">
        <v>1756</v>
      </c>
      <c r="B377" s="182">
        <v>15</v>
      </c>
      <c r="C377" s="346" t="s">
        <v>1757</v>
      </c>
      <c r="D377" s="183">
        <v>107</v>
      </c>
      <c r="E377" s="182" t="s">
        <v>521</v>
      </c>
      <c r="F377" s="350">
        <v>44855</v>
      </c>
      <c r="G377" s="364" t="s">
        <v>2298</v>
      </c>
      <c r="H377" s="132" t="s">
        <v>1905</v>
      </c>
      <c r="I377" s="431">
        <v>15</v>
      </c>
      <c r="J377" s="390">
        <v>30</v>
      </c>
      <c r="K377" s="390">
        <v>60</v>
      </c>
      <c r="L377" s="389">
        <v>-30</v>
      </c>
      <c r="M377" s="372">
        <v>87.5</v>
      </c>
      <c r="N377" s="372">
        <v>92.5</v>
      </c>
      <c r="O377" s="338">
        <v>37.5</v>
      </c>
      <c r="P377" s="338">
        <v>37.5</v>
      </c>
      <c r="Q377" s="183" t="s">
        <v>1707</v>
      </c>
      <c r="R377" s="338" t="s">
        <v>1950</v>
      </c>
      <c r="S377" s="767"/>
      <c r="T377" s="419">
        <v>214</v>
      </c>
      <c r="U377" s="391">
        <v>0</v>
      </c>
      <c r="V377" s="129" t="s">
        <v>749</v>
      </c>
      <c r="W377" s="132" t="s">
        <v>749</v>
      </c>
      <c r="X377" s="427">
        <v>0</v>
      </c>
      <c r="Y377" s="410">
        <v>2</v>
      </c>
      <c r="Z377" s="396">
        <v>1</v>
      </c>
      <c r="AA377" s="810">
        <v>29.826236559139783</v>
      </c>
      <c r="AB377" s="396" t="s">
        <v>1738</v>
      </c>
      <c r="AC377" s="410">
        <v>1</v>
      </c>
      <c r="AD377" s="29">
        <v>0</v>
      </c>
      <c r="AE377" s="396">
        <v>7</v>
      </c>
      <c r="AF377" s="441" t="s">
        <v>2299</v>
      </c>
      <c r="AG377" s="285"/>
    </row>
    <row r="378" spans="1:33" ht="27.6" customHeight="1">
      <c r="A378" s="346" t="s">
        <v>1756</v>
      </c>
      <c r="B378" s="182">
        <v>15</v>
      </c>
      <c r="C378" s="346" t="s">
        <v>1757</v>
      </c>
      <c r="D378" s="183">
        <v>108</v>
      </c>
      <c r="E378" s="182" t="s">
        <v>522</v>
      </c>
      <c r="F378" s="350">
        <v>44856</v>
      </c>
      <c r="G378" s="364" t="s">
        <v>2298</v>
      </c>
      <c r="H378" s="132" t="s">
        <v>1905</v>
      </c>
      <c r="I378" s="431">
        <v>15</v>
      </c>
      <c r="J378" s="390">
        <v>30</v>
      </c>
      <c r="K378" s="390">
        <v>60</v>
      </c>
      <c r="L378" s="389">
        <v>-30</v>
      </c>
      <c r="M378" s="372">
        <v>97.5</v>
      </c>
      <c r="N378" s="372">
        <v>96.5</v>
      </c>
      <c r="O378" s="338">
        <v>42.5</v>
      </c>
      <c r="P378" s="338">
        <v>47.5</v>
      </c>
      <c r="Q378" s="183" t="s">
        <v>1707</v>
      </c>
      <c r="R378" s="338" t="s">
        <v>1950</v>
      </c>
      <c r="S378" s="767"/>
      <c r="T378" s="419">
        <v>58</v>
      </c>
      <c r="U378" s="391">
        <v>0</v>
      </c>
      <c r="V378" s="129" t="s">
        <v>749</v>
      </c>
      <c r="W378" s="132" t="s">
        <v>749</v>
      </c>
      <c r="X378" s="427">
        <v>0</v>
      </c>
      <c r="Y378" s="410">
        <v>2</v>
      </c>
      <c r="Z378" s="396">
        <v>1</v>
      </c>
      <c r="AA378" s="810">
        <v>46.56870748299319</v>
      </c>
      <c r="AB378" s="396" t="s">
        <v>1753</v>
      </c>
      <c r="AC378" s="410">
        <v>1</v>
      </c>
      <c r="AD378" s="29">
        <v>0</v>
      </c>
      <c r="AE378" s="396">
        <v>2</v>
      </c>
      <c r="AF378" s="441" t="s">
        <v>2299</v>
      </c>
      <c r="AG378" s="285"/>
    </row>
    <row r="379" spans="1:33" ht="27.6" customHeight="1">
      <c r="A379" s="346" t="s">
        <v>1756</v>
      </c>
      <c r="B379" s="182">
        <v>15</v>
      </c>
      <c r="C379" s="346" t="s">
        <v>1757</v>
      </c>
      <c r="D379" s="183">
        <v>111</v>
      </c>
      <c r="E379" s="182" t="s">
        <v>524</v>
      </c>
      <c r="F379" s="350">
        <v>44854</v>
      </c>
      <c r="G379" s="364" t="s">
        <v>2298</v>
      </c>
      <c r="H379" s="132" t="s">
        <v>1905</v>
      </c>
      <c r="I379" s="431">
        <v>15</v>
      </c>
      <c r="J379" s="390">
        <v>20</v>
      </c>
      <c r="K379" s="390">
        <v>30</v>
      </c>
      <c r="L379" s="389">
        <v>-10</v>
      </c>
      <c r="M379" s="372">
        <v>91.5</v>
      </c>
      <c r="N379" s="372">
        <v>96</v>
      </c>
      <c r="O379" s="338">
        <v>32.5</v>
      </c>
      <c r="P379" s="338">
        <v>45</v>
      </c>
      <c r="Q379" s="183" t="s">
        <v>1707</v>
      </c>
      <c r="R379" s="338" t="s">
        <v>1952</v>
      </c>
      <c r="S379" s="767"/>
      <c r="T379" s="419">
        <v>0</v>
      </c>
      <c r="U379" s="391">
        <v>0</v>
      </c>
      <c r="V379" s="129" t="s">
        <v>749</v>
      </c>
      <c r="W379" s="132" t="s">
        <v>749</v>
      </c>
      <c r="X379" s="427">
        <v>0</v>
      </c>
      <c r="Y379" s="410">
        <v>2</v>
      </c>
      <c r="Z379" s="396">
        <v>1</v>
      </c>
      <c r="AA379" s="810"/>
      <c r="AB379" s="396"/>
      <c r="AC379" s="410">
        <v>0</v>
      </c>
      <c r="AD379" s="29">
        <v>0</v>
      </c>
      <c r="AE379" s="396">
        <v>0</v>
      </c>
      <c r="AF379" s="441" t="s">
        <v>2299</v>
      </c>
      <c r="AG379" s="285"/>
    </row>
    <row r="380" spans="1:33" ht="27.6" customHeight="1" thickBot="1">
      <c r="A380" s="466" t="s">
        <v>1756</v>
      </c>
      <c r="B380" s="192">
        <v>15</v>
      </c>
      <c r="C380" s="466" t="s">
        <v>1757</v>
      </c>
      <c r="D380" s="193">
        <v>113</v>
      </c>
      <c r="E380" s="192" t="s">
        <v>525</v>
      </c>
      <c r="F380" s="478">
        <v>44880</v>
      </c>
      <c r="G380" s="543" t="s">
        <v>2298</v>
      </c>
      <c r="H380" s="583" t="s">
        <v>1905</v>
      </c>
      <c r="I380" s="503">
        <v>15</v>
      </c>
      <c r="J380" s="497">
        <v>20</v>
      </c>
      <c r="K380" s="497">
        <v>20</v>
      </c>
      <c r="L380" s="389">
        <v>0</v>
      </c>
      <c r="M380" s="499">
        <v>80</v>
      </c>
      <c r="N380" s="499">
        <v>77.5</v>
      </c>
      <c r="O380" s="482">
        <v>12.5</v>
      </c>
      <c r="P380" s="482">
        <v>25</v>
      </c>
      <c r="Q380" s="193" t="s">
        <v>1707</v>
      </c>
      <c r="R380" s="482" t="s">
        <v>1951</v>
      </c>
      <c r="S380" s="795"/>
      <c r="T380" s="483"/>
      <c r="U380" s="484">
        <v>0</v>
      </c>
      <c r="V380" s="594" t="s">
        <v>749</v>
      </c>
      <c r="W380" s="583" t="s">
        <v>749</v>
      </c>
      <c r="X380" s="485">
        <v>0</v>
      </c>
      <c r="Y380" s="486">
        <v>2</v>
      </c>
      <c r="Z380" s="487">
        <v>1</v>
      </c>
      <c r="AA380" s="811">
        <v>30.8</v>
      </c>
      <c r="AB380" s="487" t="s">
        <v>1753</v>
      </c>
      <c r="AC380" s="486">
        <v>1</v>
      </c>
      <c r="AD380" s="75">
        <v>2</v>
      </c>
      <c r="AE380" s="487">
        <v>8</v>
      </c>
      <c r="AF380" s="504" t="s">
        <v>2299</v>
      </c>
      <c r="AG380" s="285"/>
    </row>
    <row r="381" spans="1:33" s="285" customFormat="1" ht="27.6" customHeight="1" thickTop="1">
      <c r="A381" s="455" t="s">
        <v>1758</v>
      </c>
      <c r="B381" s="179">
        <v>16</v>
      </c>
      <c r="C381" s="455" t="s">
        <v>2300</v>
      </c>
      <c r="D381" s="180">
        <v>1</v>
      </c>
      <c r="E381" s="179" t="s">
        <v>527</v>
      </c>
      <c r="F381" s="458">
        <v>44861</v>
      </c>
      <c r="G381" s="459" t="s">
        <v>2298</v>
      </c>
      <c r="H381" s="141" t="s">
        <v>1905</v>
      </c>
      <c r="I381" s="464">
        <v>15</v>
      </c>
      <c r="J381" s="523">
        <v>10</v>
      </c>
      <c r="K381" s="523">
        <v>2.5</v>
      </c>
      <c r="L381" s="389">
        <v>7.5</v>
      </c>
      <c r="M381" s="509">
        <v>95</v>
      </c>
      <c r="N381" s="509">
        <v>97.5</v>
      </c>
      <c r="O381" s="461">
        <v>20</v>
      </c>
      <c r="P381" s="461">
        <v>17.5</v>
      </c>
      <c r="Q381" s="180" t="s">
        <v>1707</v>
      </c>
      <c r="R381" s="461" t="s">
        <v>1946</v>
      </c>
      <c r="S381" s="794"/>
      <c r="T381" s="471">
        <v>26</v>
      </c>
      <c r="U381" s="462">
        <v>0</v>
      </c>
      <c r="V381" s="138" t="s">
        <v>749</v>
      </c>
      <c r="W381" s="141" t="s">
        <v>749</v>
      </c>
      <c r="X381" s="472">
        <v>0</v>
      </c>
      <c r="Y381" s="463">
        <v>2</v>
      </c>
      <c r="Z381" s="460">
        <v>1</v>
      </c>
      <c r="AA381" s="816">
        <v>27.941224489795918</v>
      </c>
      <c r="AB381" s="460" t="s">
        <v>1738</v>
      </c>
      <c r="AC381" s="463">
        <v>0</v>
      </c>
      <c r="AD381" s="87">
        <v>0</v>
      </c>
      <c r="AE381" s="460">
        <v>4</v>
      </c>
      <c r="AF381" s="513" t="s">
        <v>2299</v>
      </c>
      <c r="AG381" s="306"/>
    </row>
    <row r="382" spans="1:33" s="285" customFormat="1" ht="27.6" customHeight="1">
      <c r="A382" s="346" t="s">
        <v>1758</v>
      </c>
      <c r="B382" s="182">
        <v>16</v>
      </c>
      <c r="C382" s="346" t="s">
        <v>2300</v>
      </c>
      <c r="D382" s="183">
        <v>2</v>
      </c>
      <c r="E382" s="182" t="s">
        <v>529</v>
      </c>
      <c r="F382" s="350">
        <v>44871</v>
      </c>
      <c r="G382" s="364" t="s">
        <v>2298</v>
      </c>
      <c r="H382" s="132" t="s">
        <v>1905</v>
      </c>
      <c r="I382" s="431">
        <v>15</v>
      </c>
      <c r="J382" s="390">
        <v>40</v>
      </c>
      <c r="K382" s="390">
        <v>30</v>
      </c>
      <c r="L382" s="389">
        <v>10</v>
      </c>
      <c r="M382" s="372">
        <v>82.5</v>
      </c>
      <c r="N382" s="372">
        <v>80</v>
      </c>
      <c r="O382" s="338">
        <v>7.5</v>
      </c>
      <c r="P382" s="338">
        <v>12.5</v>
      </c>
      <c r="Q382" s="183" t="s">
        <v>1707</v>
      </c>
      <c r="R382" s="338" t="s">
        <v>1947</v>
      </c>
      <c r="S382" s="767"/>
      <c r="T382" s="419">
        <v>49.5</v>
      </c>
      <c r="U382" s="391">
        <v>0</v>
      </c>
      <c r="V382" s="129" t="s">
        <v>749</v>
      </c>
      <c r="W382" s="132" t="s">
        <v>749</v>
      </c>
      <c r="X382" s="427">
        <v>0</v>
      </c>
      <c r="Y382" s="410">
        <v>2</v>
      </c>
      <c r="Z382" s="396">
        <v>1</v>
      </c>
      <c r="AA382" s="810"/>
      <c r="AB382" s="396"/>
      <c r="AC382" s="410">
        <v>0</v>
      </c>
      <c r="AD382" s="29">
        <v>0</v>
      </c>
      <c r="AE382" s="396">
        <v>6</v>
      </c>
      <c r="AF382" s="441" t="s">
        <v>2299</v>
      </c>
      <c r="AG382" s="306"/>
    </row>
    <row r="383" spans="1:33" s="285" customFormat="1" ht="27.6" customHeight="1">
      <c r="A383" s="346" t="s">
        <v>1758</v>
      </c>
      <c r="B383" s="182">
        <v>16</v>
      </c>
      <c r="C383" s="346" t="s">
        <v>2300</v>
      </c>
      <c r="D383" s="183">
        <v>3</v>
      </c>
      <c r="E383" s="182" t="s">
        <v>530</v>
      </c>
      <c r="F383" s="350">
        <v>44871</v>
      </c>
      <c r="G383" s="364" t="s">
        <v>2298</v>
      </c>
      <c r="H383" s="132" t="s">
        <v>1905</v>
      </c>
      <c r="I383" s="431">
        <v>15</v>
      </c>
      <c r="J383" s="390">
        <v>20</v>
      </c>
      <c r="K383" s="390">
        <v>10</v>
      </c>
      <c r="L383" s="389">
        <v>10</v>
      </c>
      <c r="M383" s="372">
        <v>92.5</v>
      </c>
      <c r="N383" s="372">
        <v>92.5</v>
      </c>
      <c r="O383" s="338">
        <v>12.5</v>
      </c>
      <c r="P383" s="338">
        <v>10</v>
      </c>
      <c r="Q383" s="183" t="s">
        <v>1707</v>
      </c>
      <c r="R383" s="338" t="s">
        <v>1948</v>
      </c>
      <c r="S383" s="767"/>
      <c r="T383" s="419">
        <v>68</v>
      </c>
      <c r="U383" s="391">
        <v>0</v>
      </c>
      <c r="V383" s="26" t="s">
        <v>749</v>
      </c>
      <c r="W383" s="132"/>
      <c r="X383" s="396">
        <v>0</v>
      </c>
      <c r="Y383" s="410">
        <v>2</v>
      </c>
      <c r="Z383" s="396">
        <v>1</v>
      </c>
      <c r="AA383" s="810"/>
      <c r="AB383" s="396"/>
      <c r="AC383" s="410">
        <v>0</v>
      </c>
      <c r="AD383" s="29">
        <v>0</v>
      </c>
      <c r="AE383" s="396">
        <v>23</v>
      </c>
      <c r="AF383" s="441" t="s">
        <v>2299</v>
      </c>
    </row>
    <row r="384" spans="1:33" ht="27.6" customHeight="1">
      <c r="A384" s="346" t="s">
        <v>1758</v>
      </c>
      <c r="B384" s="182">
        <v>16</v>
      </c>
      <c r="C384" s="346" t="s">
        <v>2300</v>
      </c>
      <c r="D384" s="183">
        <v>6</v>
      </c>
      <c r="E384" s="182" t="s">
        <v>531</v>
      </c>
      <c r="F384" s="350">
        <v>44871</v>
      </c>
      <c r="G384" s="364" t="s">
        <v>2298</v>
      </c>
      <c r="H384" s="132" t="s">
        <v>1905</v>
      </c>
      <c r="I384" s="431">
        <v>15</v>
      </c>
      <c r="J384" s="390">
        <v>10</v>
      </c>
      <c r="K384" s="390">
        <v>10</v>
      </c>
      <c r="L384" s="389">
        <v>0</v>
      </c>
      <c r="M384" s="372">
        <v>85</v>
      </c>
      <c r="N384" s="372">
        <v>90</v>
      </c>
      <c r="O384" s="338">
        <v>20</v>
      </c>
      <c r="P384" s="338">
        <v>32.5</v>
      </c>
      <c r="Q384" s="183" t="s">
        <v>1707</v>
      </c>
      <c r="R384" s="338" t="s">
        <v>1951</v>
      </c>
      <c r="S384" s="767"/>
      <c r="T384" s="419">
        <v>30</v>
      </c>
      <c r="U384" s="391">
        <v>0</v>
      </c>
      <c r="V384" s="26" t="s">
        <v>749</v>
      </c>
      <c r="W384" s="132"/>
      <c r="X384" s="396">
        <v>0</v>
      </c>
      <c r="Y384" s="410">
        <v>2</v>
      </c>
      <c r="Z384" s="396">
        <v>1</v>
      </c>
      <c r="AA384" s="810">
        <v>33.386236559139782</v>
      </c>
      <c r="AB384" s="396" t="s">
        <v>1753</v>
      </c>
      <c r="AC384" s="410">
        <v>6</v>
      </c>
      <c r="AD384" s="29">
        <v>2</v>
      </c>
      <c r="AE384" s="396">
        <v>3</v>
      </c>
      <c r="AF384" s="441" t="s">
        <v>2299</v>
      </c>
    </row>
    <row r="385" spans="1:33" s="285" customFormat="1" ht="27.6" customHeight="1">
      <c r="A385" s="346" t="s">
        <v>1758</v>
      </c>
      <c r="B385" s="182">
        <v>16</v>
      </c>
      <c r="C385" s="346" t="s">
        <v>2300</v>
      </c>
      <c r="D385" s="183">
        <v>7</v>
      </c>
      <c r="E385" s="182" t="s">
        <v>532</v>
      </c>
      <c r="F385" s="350">
        <v>44861</v>
      </c>
      <c r="G385" s="364" t="s">
        <v>2298</v>
      </c>
      <c r="H385" s="132" t="s">
        <v>1905</v>
      </c>
      <c r="I385" s="431">
        <v>15</v>
      </c>
      <c r="J385" s="390">
        <v>10</v>
      </c>
      <c r="K385" s="390">
        <v>20</v>
      </c>
      <c r="L385" s="389">
        <v>-10</v>
      </c>
      <c r="M385" s="372">
        <v>100</v>
      </c>
      <c r="N385" s="372">
        <v>100</v>
      </c>
      <c r="O385" s="338">
        <v>20</v>
      </c>
      <c r="P385" s="338">
        <v>52.5</v>
      </c>
      <c r="Q385" s="183" t="s">
        <v>1707</v>
      </c>
      <c r="R385" s="338" t="s">
        <v>1952</v>
      </c>
      <c r="S385" s="767"/>
      <c r="T385" s="419"/>
      <c r="U385" s="391">
        <v>0</v>
      </c>
      <c r="V385" s="129" t="s">
        <v>749</v>
      </c>
      <c r="W385" s="132" t="s">
        <v>749</v>
      </c>
      <c r="X385" s="427">
        <v>0</v>
      </c>
      <c r="Y385" s="410">
        <v>2</v>
      </c>
      <c r="Z385" s="396">
        <v>1</v>
      </c>
      <c r="AA385" s="810">
        <v>9.3758441558441561</v>
      </c>
      <c r="AB385" s="396">
        <v>4</v>
      </c>
      <c r="AC385" s="410">
        <v>0</v>
      </c>
      <c r="AD385" s="29">
        <v>0</v>
      </c>
      <c r="AE385" s="396">
        <v>0</v>
      </c>
      <c r="AF385" s="441" t="s">
        <v>2299</v>
      </c>
    </row>
    <row r="386" spans="1:33" s="285" customFormat="1" ht="27.6" customHeight="1">
      <c r="A386" s="346" t="s">
        <v>1758</v>
      </c>
      <c r="B386" s="182">
        <v>16</v>
      </c>
      <c r="C386" s="346" t="s">
        <v>2300</v>
      </c>
      <c r="D386" s="183">
        <v>8</v>
      </c>
      <c r="E386" s="182" t="s">
        <v>533</v>
      </c>
      <c r="F386" s="350">
        <v>44861</v>
      </c>
      <c r="G386" s="364" t="s">
        <v>2298</v>
      </c>
      <c r="H386" s="132" t="s">
        <v>1905</v>
      </c>
      <c r="I386" s="431">
        <v>15</v>
      </c>
      <c r="J386" s="390">
        <v>10</v>
      </c>
      <c r="K386" s="390">
        <v>10</v>
      </c>
      <c r="L386" s="389">
        <v>0</v>
      </c>
      <c r="M386" s="372">
        <v>97.5</v>
      </c>
      <c r="N386" s="372">
        <v>92.5</v>
      </c>
      <c r="O386" s="338">
        <v>25</v>
      </c>
      <c r="P386" s="338">
        <v>40</v>
      </c>
      <c r="Q386" s="183" t="s">
        <v>1707</v>
      </c>
      <c r="R386" s="338" t="s">
        <v>1952</v>
      </c>
      <c r="S386" s="767"/>
      <c r="T386" s="419">
        <v>41.666666666666664</v>
      </c>
      <c r="U386" s="391">
        <v>0</v>
      </c>
      <c r="V386" s="129" t="s">
        <v>749</v>
      </c>
      <c r="W386" s="132" t="s">
        <v>749</v>
      </c>
      <c r="X386" s="427">
        <v>0</v>
      </c>
      <c r="Y386" s="410">
        <v>2</v>
      </c>
      <c r="Z386" s="396">
        <v>1</v>
      </c>
      <c r="AA386" s="810">
        <v>16.651764705882353</v>
      </c>
      <c r="AB386" s="396" t="s">
        <v>1738</v>
      </c>
      <c r="AC386" s="410">
        <v>0</v>
      </c>
      <c r="AD386" s="29">
        <v>0</v>
      </c>
      <c r="AE386" s="396">
        <v>2</v>
      </c>
      <c r="AF386" s="441" t="s">
        <v>2299</v>
      </c>
      <c r="AG386" s="306"/>
    </row>
    <row r="387" spans="1:33" s="285" customFormat="1" ht="27.6" customHeight="1">
      <c r="A387" s="346" t="s">
        <v>1758</v>
      </c>
      <c r="B387" s="182">
        <v>16</v>
      </c>
      <c r="C387" s="346" t="s">
        <v>2300</v>
      </c>
      <c r="D387" s="183">
        <v>9</v>
      </c>
      <c r="E387" s="182" t="s">
        <v>534</v>
      </c>
      <c r="F387" s="350">
        <v>44861</v>
      </c>
      <c r="G387" s="364" t="s">
        <v>2298</v>
      </c>
      <c r="H387" s="132" t="s">
        <v>1905</v>
      </c>
      <c r="I387" s="431">
        <v>15</v>
      </c>
      <c r="J387" s="390">
        <v>30</v>
      </c>
      <c r="K387" s="390">
        <v>60</v>
      </c>
      <c r="L387" s="389">
        <v>-30</v>
      </c>
      <c r="M387" s="372">
        <v>95</v>
      </c>
      <c r="N387" s="372">
        <v>100</v>
      </c>
      <c r="O387" s="338">
        <v>47.5</v>
      </c>
      <c r="P387" s="338">
        <v>65</v>
      </c>
      <c r="Q387" s="183" t="s">
        <v>1707</v>
      </c>
      <c r="R387" s="338" t="s">
        <v>1953</v>
      </c>
      <c r="S387" s="767"/>
      <c r="T387" s="419">
        <v>99</v>
      </c>
      <c r="U387" s="391">
        <v>0</v>
      </c>
      <c r="V387" s="129" t="s">
        <v>749</v>
      </c>
      <c r="W387" s="132" t="s">
        <v>749</v>
      </c>
      <c r="X387" s="427">
        <v>0</v>
      </c>
      <c r="Y387" s="410">
        <v>2</v>
      </c>
      <c r="Z387" s="396">
        <v>1</v>
      </c>
      <c r="AA387" s="810">
        <v>9.025031446540881</v>
      </c>
      <c r="AB387" s="396">
        <v>4</v>
      </c>
      <c r="AC387" s="410">
        <v>0</v>
      </c>
      <c r="AD387" s="29">
        <v>0</v>
      </c>
      <c r="AE387" s="396">
        <v>1</v>
      </c>
      <c r="AF387" s="441" t="s">
        <v>2299</v>
      </c>
    </row>
    <row r="388" spans="1:33" s="285" customFormat="1" ht="27.6" customHeight="1">
      <c r="A388" s="346" t="s">
        <v>1758</v>
      </c>
      <c r="B388" s="182">
        <v>16</v>
      </c>
      <c r="C388" s="346" t="s">
        <v>2300</v>
      </c>
      <c r="D388" s="183">
        <v>10</v>
      </c>
      <c r="E388" s="182" t="s">
        <v>535</v>
      </c>
      <c r="F388" s="350">
        <v>44861</v>
      </c>
      <c r="G388" s="364" t="s">
        <v>2298</v>
      </c>
      <c r="H388" s="132" t="s">
        <v>1905</v>
      </c>
      <c r="I388" s="431">
        <v>15</v>
      </c>
      <c r="J388" s="390">
        <v>40</v>
      </c>
      <c r="K388" s="390">
        <v>30</v>
      </c>
      <c r="L388" s="389">
        <v>10</v>
      </c>
      <c r="M388" s="372">
        <v>92.5</v>
      </c>
      <c r="N388" s="372">
        <v>100</v>
      </c>
      <c r="O388" s="338">
        <v>10</v>
      </c>
      <c r="P388" s="338">
        <v>35</v>
      </c>
      <c r="Q388" s="183" t="s">
        <v>1879</v>
      </c>
      <c r="R388" s="338" t="s">
        <v>1952</v>
      </c>
      <c r="S388" s="767"/>
      <c r="T388" s="419"/>
      <c r="U388" s="391">
        <v>0</v>
      </c>
      <c r="V388" s="129" t="s">
        <v>749</v>
      </c>
      <c r="W388" s="132" t="s">
        <v>749</v>
      </c>
      <c r="X388" s="427">
        <v>0</v>
      </c>
      <c r="Y388" s="410">
        <v>2</v>
      </c>
      <c r="Z388" s="396">
        <v>1</v>
      </c>
      <c r="AA388" s="810">
        <v>12.571455399061033</v>
      </c>
      <c r="AB388" s="396" t="s">
        <v>1738</v>
      </c>
      <c r="AC388" s="410">
        <v>0</v>
      </c>
      <c r="AD388" s="29">
        <v>0</v>
      </c>
      <c r="AE388" s="396">
        <v>0</v>
      </c>
      <c r="AF388" s="441" t="s">
        <v>2299</v>
      </c>
    </row>
    <row r="389" spans="1:33" s="285" customFormat="1" ht="27.6" customHeight="1">
      <c r="A389" s="346" t="s">
        <v>1758</v>
      </c>
      <c r="B389" s="182">
        <v>16</v>
      </c>
      <c r="C389" s="346" t="s">
        <v>2300</v>
      </c>
      <c r="D389" s="183">
        <v>11</v>
      </c>
      <c r="E389" s="182" t="s">
        <v>536</v>
      </c>
      <c r="F389" s="350">
        <v>44861</v>
      </c>
      <c r="G389" s="364" t="s">
        <v>2298</v>
      </c>
      <c r="H389" s="132" t="s">
        <v>1905</v>
      </c>
      <c r="I389" s="431">
        <v>15</v>
      </c>
      <c r="J389" s="392" t="s">
        <v>1711</v>
      </c>
      <c r="K389" s="392">
        <v>2.5</v>
      </c>
      <c r="L389" s="389" t="e">
        <v>#VALUE!</v>
      </c>
      <c r="M389" s="372">
        <v>100</v>
      </c>
      <c r="N389" s="372">
        <v>100</v>
      </c>
      <c r="O389" s="338">
        <v>40</v>
      </c>
      <c r="P389" s="338">
        <v>50</v>
      </c>
      <c r="Q389" s="183" t="s">
        <v>1707</v>
      </c>
      <c r="R389" s="338" t="s">
        <v>1952</v>
      </c>
      <c r="S389" s="767"/>
      <c r="T389" s="419">
        <v>30.833333333333332</v>
      </c>
      <c r="U389" s="391">
        <v>0</v>
      </c>
      <c r="V389" s="26" t="s">
        <v>749</v>
      </c>
      <c r="W389" s="132"/>
      <c r="X389" s="396">
        <v>0</v>
      </c>
      <c r="Y389" s="410">
        <v>2</v>
      </c>
      <c r="Z389" s="396">
        <v>1</v>
      </c>
      <c r="AA389" s="810">
        <v>17.914999999999999</v>
      </c>
      <c r="AB389" s="396" t="s">
        <v>1738</v>
      </c>
      <c r="AC389" s="410">
        <v>1</v>
      </c>
      <c r="AD389" s="29">
        <v>0</v>
      </c>
      <c r="AE389" s="396">
        <v>7</v>
      </c>
      <c r="AF389" s="441" t="s">
        <v>2299</v>
      </c>
    </row>
    <row r="390" spans="1:33" s="285" customFormat="1" ht="27.6" customHeight="1">
      <c r="A390" s="346" t="s">
        <v>1758</v>
      </c>
      <c r="B390" s="182">
        <v>16</v>
      </c>
      <c r="C390" s="346" t="s">
        <v>2300</v>
      </c>
      <c r="D390" s="183">
        <v>12</v>
      </c>
      <c r="E390" s="182" t="s">
        <v>537</v>
      </c>
      <c r="F390" s="350">
        <v>44868</v>
      </c>
      <c r="G390" s="364" t="s">
        <v>2298</v>
      </c>
      <c r="H390" s="132" t="s">
        <v>1905</v>
      </c>
      <c r="I390" s="431">
        <v>15</v>
      </c>
      <c r="J390" s="390">
        <v>10</v>
      </c>
      <c r="K390" s="390">
        <v>20</v>
      </c>
      <c r="L390" s="389">
        <v>-10</v>
      </c>
      <c r="M390" s="372">
        <v>91</v>
      </c>
      <c r="N390" s="372">
        <v>92.5</v>
      </c>
      <c r="O390" s="338">
        <v>42.5</v>
      </c>
      <c r="P390" s="338">
        <v>50</v>
      </c>
      <c r="Q390" s="183" t="s">
        <v>1707</v>
      </c>
      <c r="R390" s="338" t="s">
        <v>1953</v>
      </c>
      <c r="S390" s="767"/>
      <c r="T390" s="419">
        <v>37.5</v>
      </c>
      <c r="U390" s="391">
        <v>0</v>
      </c>
      <c r="V390" s="129" t="s">
        <v>749</v>
      </c>
      <c r="W390" s="132" t="s">
        <v>749</v>
      </c>
      <c r="X390" s="427">
        <v>0</v>
      </c>
      <c r="Y390" s="410">
        <v>2</v>
      </c>
      <c r="Z390" s="396">
        <v>1</v>
      </c>
      <c r="AA390" s="810">
        <v>8.9574999999999996</v>
      </c>
      <c r="AB390" s="396">
        <v>4</v>
      </c>
      <c r="AC390" s="410">
        <v>2</v>
      </c>
      <c r="AD390" s="29">
        <v>0</v>
      </c>
      <c r="AE390" s="396">
        <v>3</v>
      </c>
      <c r="AF390" s="441" t="s">
        <v>2299</v>
      </c>
    </row>
    <row r="391" spans="1:33" s="285" customFormat="1" ht="27.6" customHeight="1">
      <c r="A391" s="346" t="s">
        <v>1758</v>
      </c>
      <c r="B391" s="182">
        <v>16</v>
      </c>
      <c r="C391" s="346" t="s">
        <v>2300</v>
      </c>
      <c r="D391" s="183">
        <v>13</v>
      </c>
      <c r="E391" s="182" t="s">
        <v>538</v>
      </c>
      <c r="F391" s="350">
        <v>44862</v>
      </c>
      <c r="G391" s="364" t="s">
        <v>2298</v>
      </c>
      <c r="H391" s="132" t="s">
        <v>1905</v>
      </c>
      <c r="I391" s="431">
        <v>15</v>
      </c>
      <c r="J391" s="390">
        <v>10</v>
      </c>
      <c r="K391" s="390">
        <v>20</v>
      </c>
      <c r="L391" s="389">
        <v>-10</v>
      </c>
      <c r="M391" s="372">
        <v>87.5</v>
      </c>
      <c r="N391" s="372">
        <v>100</v>
      </c>
      <c r="O391" s="338">
        <v>22.5</v>
      </c>
      <c r="P391" s="338">
        <v>35</v>
      </c>
      <c r="Q391" s="183" t="s">
        <v>1884</v>
      </c>
      <c r="R391" s="338" t="s">
        <v>1954</v>
      </c>
      <c r="S391" s="767"/>
      <c r="T391" s="419">
        <v>31</v>
      </c>
      <c r="U391" s="391">
        <v>0</v>
      </c>
      <c r="V391" s="129" t="s">
        <v>749</v>
      </c>
      <c r="W391" s="132" t="s">
        <v>749</v>
      </c>
      <c r="X391" s="427">
        <v>0</v>
      </c>
      <c r="Y391" s="410">
        <v>2</v>
      </c>
      <c r="Z391" s="396">
        <v>1</v>
      </c>
      <c r="AA391" s="810">
        <v>26.899801980198021</v>
      </c>
      <c r="AB391" s="396" t="s">
        <v>1738</v>
      </c>
      <c r="AC391" s="410">
        <v>1</v>
      </c>
      <c r="AD391" s="29">
        <v>0</v>
      </c>
      <c r="AE391" s="396">
        <v>29</v>
      </c>
      <c r="AF391" s="441" t="s">
        <v>2299</v>
      </c>
    </row>
    <row r="392" spans="1:33" s="285" customFormat="1" ht="27.6" customHeight="1">
      <c r="A392" s="346" t="s">
        <v>1758</v>
      </c>
      <c r="B392" s="182">
        <v>16</v>
      </c>
      <c r="C392" s="346" t="s">
        <v>2300</v>
      </c>
      <c r="D392" s="183">
        <v>14</v>
      </c>
      <c r="E392" s="182" t="s">
        <v>539</v>
      </c>
      <c r="F392" s="350">
        <v>44868</v>
      </c>
      <c r="G392" s="364" t="s">
        <v>2298</v>
      </c>
      <c r="H392" s="132" t="s">
        <v>1905</v>
      </c>
      <c r="I392" s="431">
        <v>15</v>
      </c>
      <c r="J392" s="392" t="s">
        <v>1711</v>
      </c>
      <c r="K392" s="392">
        <v>2.5</v>
      </c>
      <c r="L392" s="389" t="e">
        <v>#VALUE!</v>
      </c>
      <c r="M392" s="372">
        <v>100</v>
      </c>
      <c r="N392" s="372">
        <v>100</v>
      </c>
      <c r="O392" s="338">
        <v>52.5</v>
      </c>
      <c r="P392" s="338">
        <v>67.5</v>
      </c>
      <c r="Q392" s="183" t="s">
        <v>1707</v>
      </c>
      <c r="R392" s="338" t="s">
        <v>1955</v>
      </c>
      <c r="S392" s="767"/>
      <c r="T392" s="419">
        <v>31.5</v>
      </c>
      <c r="U392" s="391">
        <v>0</v>
      </c>
      <c r="V392" s="26" t="s">
        <v>749</v>
      </c>
      <c r="W392" s="132"/>
      <c r="X392" s="396">
        <v>0</v>
      </c>
      <c r="Y392" s="410">
        <v>2</v>
      </c>
      <c r="Z392" s="396">
        <v>1</v>
      </c>
      <c r="AA392" s="810">
        <v>6.5795652173913037</v>
      </c>
      <c r="AB392" s="396">
        <v>4</v>
      </c>
      <c r="AC392" s="410">
        <v>0</v>
      </c>
      <c r="AD392" s="29">
        <v>0</v>
      </c>
      <c r="AE392" s="396">
        <v>1</v>
      </c>
      <c r="AF392" s="441" t="s">
        <v>2299</v>
      </c>
    </row>
    <row r="393" spans="1:33" ht="27.6" customHeight="1">
      <c r="A393" s="346" t="s">
        <v>1758</v>
      </c>
      <c r="B393" s="182">
        <v>16</v>
      </c>
      <c r="C393" s="346" t="s">
        <v>2300</v>
      </c>
      <c r="D393" s="183">
        <v>15</v>
      </c>
      <c r="E393" s="182" t="s">
        <v>540</v>
      </c>
      <c r="F393" s="350">
        <v>44868</v>
      </c>
      <c r="G393" s="364" t="s">
        <v>2298</v>
      </c>
      <c r="H393" s="132" t="s">
        <v>1905</v>
      </c>
      <c r="I393" s="431">
        <v>15</v>
      </c>
      <c r="J393" s="390">
        <v>10</v>
      </c>
      <c r="K393" s="390">
        <v>20</v>
      </c>
      <c r="L393" s="389">
        <v>-10</v>
      </c>
      <c r="M393" s="372">
        <v>92.5</v>
      </c>
      <c r="N393" s="372">
        <v>97.5</v>
      </c>
      <c r="O393" s="338">
        <v>35</v>
      </c>
      <c r="P393" s="338">
        <v>60</v>
      </c>
      <c r="Q393" s="183" t="s">
        <v>1707</v>
      </c>
      <c r="R393" s="338" t="s">
        <v>1953</v>
      </c>
      <c r="S393" s="767"/>
      <c r="T393" s="419">
        <v>21.111111111111111</v>
      </c>
      <c r="U393" s="391">
        <v>0</v>
      </c>
      <c r="V393" s="26" t="s">
        <v>749</v>
      </c>
      <c r="W393" s="132"/>
      <c r="X393" s="396">
        <v>0</v>
      </c>
      <c r="Y393" s="410">
        <v>2</v>
      </c>
      <c r="Z393" s="396">
        <v>1</v>
      </c>
      <c r="AA393" s="810">
        <v>15.52888888888889</v>
      </c>
      <c r="AB393" s="396" t="s">
        <v>1738</v>
      </c>
      <c r="AC393" s="410">
        <v>1</v>
      </c>
      <c r="AD393" s="29">
        <v>2</v>
      </c>
      <c r="AE393" s="396">
        <v>6</v>
      </c>
      <c r="AF393" s="441" t="s">
        <v>2299</v>
      </c>
      <c r="AG393" s="285"/>
    </row>
    <row r="394" spans="1:33" ht="27.6" customHeight="1">
      <c r="A394" s="346" t="s">
        <v>1758</v>
      </c>
      <c r="B394" s="182">
        <v>16</v>
      </c>
      <c r="C394" s="346" t="s">
        <v>2300</v>
      </c>
      <c r="D394" s="183">
        <v>16</v>
      </c>
      <c r="E394" s="182" t="s">
        <v>541</v>
      </c>
      <c r="F394" s="350">
        <v>44862</v>
      </c>
      <c r="G394" s="364" t="s">
        <v>2298</v>
      </c>
      <c r="H394" s="132" t="s">
        <v>1905</v>
      </c>
      <c r="I394" s="431">
        <v>15</v>
      </c>
      <c r="J394" s="390" t="s">
        <v>1711</v>
      </c>
      <c r="K394" s="390">
        <v>10</v>
      </c>
      <c r="L394" s="389" t="e">
        <v>#VALUE!</v>
      </c>
      <c r="M394" s="372">
        <v>99</v>
      </c>
      <c r="N394" s="372">
        <v>100</v>
      </c>
      <c r="O394" s="338">
        <v>37.5</v>
      </c>
      <c r="P394" s="338">
        <v>52.5</v>
      </c>
      <c r="Q394" s="183" t="s">
        <v>1707</v>
      </c>
      <c r="R394" s="338" t="s">
        <v>1956</v>
      </c>
      <c r="S394" s="767"/>
      <c r="T394" s="419">
        <v>40.5</v>
      </c>
      <c r="U394" s="391">
        <v>0</v>
      </c>
      <c r="V394" s="26" t="s">
        <v>749</v>
      </c>
      <c r="W394" s="132"/>
      <c r="X394" s="396">
        <v>0</v>
      </c>
      <c r="Y394" s="410">
        <v>2</v>
      </c>
      <c r="Z394" s="396">
        <v>1</v>
      </c>
      <c r="AA394" s="810">
        <v>10.756666666666666</v>
      </c>
      <c r="AB394" s="396" t="s">
        <v>1738</v>
      </c>
      <c r="AC394" s="410">
        <v>0</v>
      </c>
      <c r="AD394" s="29">
        <v>2</v>
      </c>
      <c r="AE394" s="396">
        <v>1</v>
      </c>
      <c r="AF394" s="441" t="s">
        <v>2299</v>
      </c>
      <c r="AG394" s="285"/>
    </row>
    <row r="395" spans="1:33" ht="27.6" customHeight="1">
      <c r="A395" s="346" t="s">
        <v>1758</v>
      </c>
      <c r="B395" s="182">
        <v>16</v>
      </c>
      <c r="C395" s="346" t="s">
        <v>2300</v>
      </c>
      <c r="D395" s="183">
        <v>17</v>
      </c>
      <c r="E395" s="182" t="s">
        <v>542</v>
      </c>
      <c r="F395" s="350">
        <v>44862</v>
      </c>
      <c r="G395" s="364" t="s">
        <v>2298</v>
      </c>
      <c r="H395" s="132" t="s">
        <v>1905</v>
      </c>
      <c r="I395" s="431">
        <v>15</v>
      </c>
      <c r="J395" s="390" t="s">
        <v>1711</v>
      </c>
      <c r="K395" s="390">
        <v>10</v>
      </c>
      <c r="L395" s="389" t="e">
        <v>#VALUE!</v>
      </c>
      <c r="M395" s="372">
        <v>97.5</v>
      </c>
      <c r="N395" s="372">
        <v>100</v>
      </c>
      <c r="O395" s="338">
        <v>30</v>
      </c>
      <c r="P395" s="338">
        <v>62.5</v>
      </c>
      <c r="Q395" s="183" t="s">
        <v>1707</v>
      </c>
      <c r="R395" s="338" t="s">
        <v>1957</v>
      </c>
      <c r="S395" s="767"/>
      <c r="T395" s="419">
        <v>32</v>
      </c>
      <c r="U395" s="391">
        <v>0</v>
      </c>
      <c r="V395" s="26" t="s">
        <v>749</v>
      </c>
      <c r="W395" s="132"/>
      <c r="X395" s="396">
        <v>0</v>
      </c>
      <c r="Y395" s="410">
        <v>2</v>
      </c>
      <c r="Z395" s="396">
        <v>1</v>
      </c>
      <c r="AA395" s="810">
        <v>17.014850299401196</v>
      </c>
      <c r="AB395" s="396" t="s">
        <v>1738</v>
      </c>
      <c r="AC395" s="410">
        <v>0</v>
      </c>
      <c r="AD395" s="29">
        <v>0</v>
      </c>
      <c r="AE395" s="396">
        <v>1</v>
      </c>
      <c r="AF395" s="441" t="s">
        <v>2299</v>
      </c>
      <c r="AG395" s="285"/>
    </row>
    <row r="396" spans="1:33" s="285" customFormat="1" ht="27.6" customHeight="1">
      <c r="A396" s="346" t="s">
        <v>1758</v>
      </c>
      <c r="B396" s="182">
        <v>16</v>
      </c>
      <c r="C396" s="346" t="s">
        <v>2300</v>
      </c>
      <c r="D396" s="183">
        <v>45</v>
      </c>
      <c r="E396" s="182" t="s">
        <v>543</v>
      </c>
      <c r="F396" s="350">
        <v>44871</v>
      </c>
      <c r="G396" s="364" t="s">
        <v>2298</v>
      </c>
      <c r="H396" s="132" t="s">
        <v>1905</v>
      </c>
      <c r="I396" s="431">
        <v>15</v>
      </c>
      <c r="J396" s="390">
        <v>10</v>
      </c>
      <c r="K396" s="390">
        <v>20</v>
      </c>
      <c r="L396" s="389">
        <v>-10</v>
      </c>
      <c r="M396" s="372">
        <v>90</v>
      </c>
      <c r="N396" s="372">
        <v>95</v>
      </c>
      <c r="O396" s="338">
        <v>12.5</v>
      </c>
      <c r="P396" s="338">
        <v>22.5</v>
      </c>
      <c r="Q396" s="183" t="s">
        <v>1707</v>
      </c>
      <c r="R396" s="338" t="s">
        <v>1963</v>
      </c>
      <c r="S396" s="767"/>
      <c r="T396" s="419">
        <v>29</v>
      </c>
      <c r="U396" s="391">
        <v>0</v>
      </c>
      <c r="V396" s="129" t="s">
        <v>749</v>
      </c>
      <c r="W396" s="132" t="s">
        <v>749</v>
      </c>
      <c r="X396" s="427">
        <v>0</v>
      </c>
      <c r="Y396" s="410">
        <v>2</v>
      </c>
      <c r="Z396" s="396">
        <v>1</v>
      </c>
      <c r="AA396" s="810"/>
      <c r="AB396" s="396"/>
      <c r="AC396" s="410">
        <v>1</v>
      </c>
      <c r="AD396" s="29">
        <v>1</v>
      </c>
      <c r="AE396" s="396">
        <v>26</v>
      </c>
      <c r="AF396" s="441" t="s">
        <v>2299</v>
      </c>
    </row>
    <row r="397" spans="1:33" s="285" customFormat="1" ht="27.6" customHeight="1">
      <c r="A397" s="346" t="s">
        <v>1758</v>
      </c>
      <c r="B397" s="182">
        <v>16</v>
      </c>
      <c r="C397" s="346" t="s">
        <v>2300</v>
      </c>
      <c r="D397" s="183">
        <v>69</v>
      </c>
      <c r="E397" s="182" t="s">
        <v>544</v>
      </c>
      <c r="F397" s="350">
        <v>44861</v>
      </c>
      <c r="G397" s="364" t="s">
        <v>2298</v>
      </c>
      <c r="H397" s="132" t="s">
        <v>1905</v>
      </c>
      <c r="I397" s="431">
        <v>15</v>
      </c>
      <c r="J397" s="390">
        <v>40</v>
      </c>
      <c r="K397" s="390">
        <v>50</v>
      </c>
      <c r="L397" s="389">
        <v>-10</v>
      </c>
      <c r="M397" s="372">
        <v>82.5</v>
      </c>
      <c r="N397" s="372">
        <v>100</v>
      </c>
      <c r="O397" s="338">
        <v>25</v>
      </c>
      <c r="P397" s="338">
        <v>62.5</v>
      </c>
      <c r="Q397" s="183" t="s">
        <v>1707</v>
      </c>
      <c r="R397" s="338" t="s">
        <v>1953</v>
      </c>
      <c r="S397" s="767"/>
      <c r="T397" s="419">
        <v>65</v>
      </c>
      <c r="U397" s="391">
        <v>0</v>
      </c>
      <c r="V397" s="129" t="s">
        <v>749</v>
      </c>
      <c r="W397" s="132" t="s">
        <v>749</v>
      </c>
      <c r="X397" s="427">
        <v>0</v>
      </c>
      <c r="Y397" s="410">
        <v>2</v>
      </c>
      <c r="Z397" s="396">
        <v>1</v>
      </c>
      <c r="AA397" s="810">
        <v>7.7</v>
      </c>
      <c r="AB397" s="396">
        <v>4</v>
      </c>
      <c r="AC397" s="410">
        <v>0</v>
      </c>
      <c r="AD397" s="29">
        <v>0</v>
      </c>
      <c r="AE397" s="396">
        <v>0</v>
      </c>
      <c r="AF397" s="441" t="s">
        <v>2299</v>
      </c>
      <c r="AG397" s="306"/>
    </row>
    <row r="398" spans="1:33" s="285" customFormat="1" ht="27.6" customHeight="1">
      <c r="A398" s="346" t="s">
        <v>1758</v>
      </c>
      <c r="B398" s="182">
        <v>16</v>
      </c>
      <c r="C398" s="346" t="s">
        <v>2300</v>
      </c>
      <c r="D398" s="183">
        <v>70</v>
      </c>
      <c r="E398" s="182" t="s">
        <v>545</v>
      </c>
      <c r="F398" s="350">
        <v>44861</v>
      </c>
      <c r="G398" s="364" t="s">
        <v>2298</v>
      </c>
      <c r="H398" s="132" t="s">
        <v>1905</v>
      </c>
      <c r="I398" s="431">
        <v>15</v>
      </c>
      <c r="J398" s="390">
        <v>10</v>
      </c>
      <c r="K398" s="390">
        <v>10</v>
      </c>
      <c r="L398" s="389">
        <v>0</v>
      </c>
      <c r="M398" s="372">
        <v>97.5</v>
      </c>
      <c r="N398" s="372">
        <v>97.5</v>
      </c>
      <c r="O398" s="338">
        <v>35</v>
      </c>
      <c r="P398" s="338">
        <v>55</v>
      </c>
      <c r="Q398" s="183" t="s">
        <v>1707</v>
      </c>
      <c r="R398" s="338" t="s">
        <v>1952</v>
      </c>
      <c r="S398" s="767"/>
      <c r="T398" s="419">
        <v>70</v>
      </c>
      <c r="U398" s="391">
        <v>0</v>
      </c>
      <c r="V398" s="129" t="s">
        <v>749</v>
      </c>
      <c r="W398" s="132" t="s">
        <v>749</v>
      </c>
      <c r="X398" s="427">
        <v>0</v>
      </c>
      <c r="Y398" s="410">
        <v>2</v>
      </c>
      <c r="Z398" s="396">
        <v>1</v>
      </c>
      <c r="AA398" s="810">
        <v>27.962935779816512</v>
      </c>
      <c r="AB398" s="396" t="s">
        <v>1738</v>
      </c>
      <c r="AC398" s="410">
        <v>0</v>
      </c>
      <c r="AD398" s="29">
        <v>0</v>
      </c>
      <c r="AE398" s="396">
        <v>7</v>
      </c>
      <c r="AF398" s="441" t="s">
        <v>2299</v>
      </c>
    </row>
    <row r="399" spans="1:33" s="285" customFormat="1" ht="27.6" customHeight="1">
      <c r="A399" s="346" t="s">
        <v>1758</v>
      </c>
      <c r="B399" s="182">
        <v>16</v>
      </c>
      <c r="C399" s="346" t="s">
        <v>2300</v>
      </c>
      <c r="D399" s="183">
        <v>85</v>
      </c>
      <c r="E399" s="182" t="s">
        <v>546</v>
      </c>
      <c r="F399" s="350">
        <v>44862</v>
      </c>
      <c r="G399" s="364" t="s">
        <v>2298</v>
      </c>
      <c r="H399" s="132" t="s">
        <v>1905</v>
      </c>
      <c r="I399" s="431">
        <v>15</v>
      </c>
      <c r="J399" s="390">
        <v>60</v>
      </c>
      <c r="K399" s="390">
        <v>50</v>
      </c>
      <c r="L399" s="389">
        <v>10</v>
      </c>
      <c r="M399" s="372">
        <v>87.5</v>
      </c>
      <c r="N399" s="372">
        <v>100</v>
      </c>
      <c r="O399" s="338">
        <v>17.5</v>
      </c>
      <c r="P399" s="338">
        <v>75</v>
      </c>
      <c r="Q399" s="183" t="s">
        <v>2301</v>
      </c>
      <c r="R399" s="338" t="s">
        <v>1956</v>
      </c>
      <c r="S399" s="767"/>
      <c r="T399" s="419"/>
      <c r="U399" s="391">
        <v>0</v>
      </c>
      <c r="V399" s="26" t="s">
        <v>749</v>
      </c>
      <c r="W399" s="132"/>
      <c r="X399" s="396">
        <v>0</v>
      </c>
      <c r="Y399" s="410">
        <v>2</v>
      </c>
      <c r="Z399" s="396">
        <v>1</v>
      </c>
      <c r="AA399" s="810">
        <v>5.7176923076923076</v>
      </c>
      <c r="AB399" s="396">
        <v>4</v>
      </c>
      <c r="AC399" s="410">
        <v>0</v>
      </c>
      <c r="AD399" s="29">
        <v>1</v>
      </c>
      <c r="AE399" s="396">
        <v>0</v>
      </c>
      <c r="AF399" s="441" t="s">
        <v>2299</v>
      </c>
    </row>
    <row r="400" spans="1:33" s="285" customFormat="1" ht="27.6" customHeight="1">
      <c r="A400" s="346" t="s">
        <v>1758</v>
      </c>
      <c r="B400" s="182">
        <v>16</v>
      </c>
      <c r="C400" s="346" t="s">
        <v>2300</v>
      </c>
      <c r="D400" s="183">
        <v>94</v>
      </c>
      <c r="E400" s="182" t="s">
        <v>547</v>
      </c>
      <c r="F400" s="350">
        <v>44868</v>
      </c>
      <c r="G400" s="364" t="s">
        <v>2298</v>
      </c>
      <c r="H400" s="132" t="s">
        <v>1905</v>
      </c>
      <c r="I400" s="431">
        <v>15</v>
      </c>
      <c r="J400" s="390">
        <v>20</v>
      </c>
      <c r="K400" s="390">
        <v>20</v>
      </c>
      <c r="L400" s="389">
        <v>0</v>
      </c>
      <c r="M400" s="372">
        <v>85</v>
      </c>
      <c r="N400" s="372">
        <v>90</v>
      </c>
      <c r="O400" s="338">
        <v>5</v>
      </c>
      <c r="P400" s="338">
        <v>7.5</v>
      </c>
      <c r="Q400" s="183" t="s">
        <v>1707</v>
      </c>
      <c r="R400" s="338" t="s">
        <v>1984</v>
      </c>
      <c r="S400" s="767"/>
      <c r="T400" s="419">
        <v>14.5</v>
      </c>
      <c r="U400" s="391">
        <v>0</v>
      </c>
      <c r="V400" s="26" t="s">
        <v>749</v>
      </c>
      <c r="W400" s="132"/>
      <c r="X400" s="396">
        <v>0</v>
      </c>
      <c r="Y400" s="410">
        <v>2</v>
      </c>
      <c r="Z400" s="396">
        <v>1</v>
      </c>
      <c r="AA400" s="810"/>
      <c r="AB400" s="396"/>
      <c r="AC400" s="410">
        <v>1</v>
      </c>
      <c r="AD400" s="29">
        <v>0</v>
      </c>
      <c r="AE400" s="396">
        <v>21</v>
      </c>
      <c r="AF400" s="441" t="s">
        <v>2299</v>
      </c>
    </row>
    <row r="401" spans="1:33" s="285" customFormat="1" ht="27.6" customHeight="1">
      <c r="A401" s="346" t="s">
        <v>1758</v>
      </c>
      <c r="B401" s="182">
        <v>16</v>
      </c>
      <c r="C401" s="346" t="s">
        <v>2300</v>
      </c>
      <c r="D401" s="183">
        <v>95</v>
      </c>
      <c r="E401" s="182" t="s">
        <v>548</v>
      </c>
      <c r="F401" s="350">
        <v>44871</v>
      </c>
      <c r="G401" s="364" t="s">
        <v>2298</v>
      </c>
      <c r="H401" s="132" t="s">
        <v>1905</v>
      </c>
      <c r="I401" s="431">
        <v>15</v>
      </c>
      <c r="J401" s="390">
        <v>50</v>
      </c>
      <c r="K401" s="390">
        <v>50</v>
      </c>
      <c r="L401" s="389">
        <v>0</v>
      </c>
      <c r="M401" s="372">
        <v>72.5</v>
      </c>
      <c r="N401" s="372">
        <v>75</v>
      </c>
      <c r="O401" s="338">
        <v>5</v>
      </c>
      <c r="P401" s="338">
        <v>7.5</v>
      </c>
      <c r="Q401" s="183" t="s">
        <v>1885</v>
      </c>
      <c r="R401" s="338" t="s">
        <v>1950</v>
      </c>
      <c r="S401" s="767"/>
      <c r="T401" s="419">
        <v>21.5</v>
      </c>
      <c r="U401" s="391">
        <v>0</v>
      </c>
      <c r="V401" s="129" t="s">
        <v>749</v>
      </c>
      <c r="W401" s="132" t="s">
        <v>749</v>
      </c>
      <c r="X401" s="427">
        <v>0</v>
      </c>
      <c r="Y401" s="410">
        <v>2</v>
      </c>
      <c r="Z401" s="396">
        <v>1</v>
      </c>
      <c r="AA401" s="810"/>
      <c r="AB401" s="396"/>
      <c r="AC401" s="410">
        <v>0</v>
      </c>
      <c r="AD401" s="29">
        <v>0</v>
      </c>
      <c r="AE401" s="396">
        <v>46</v>
      </c>
      <c r="AF401" s="441" t="s">
        <v>2299</v>
      </c>
    </row>
    <row r="402" spans="1:33" s="285" customFormat="1" ht="27.6" customHeight="1">
      <c r="A402" s="346" t="s">
        <v>1758</v>
      </c>
      <c r="B402" s="182">
        <v>16</v>
      </c>
      <c r="C402" s="346" t="s">
        <v>2300</v>
      </c>
      <c r="D402" s="183">
        <v>96</v>
      </c>
      <c r="E402" s="182" t="s">
        <v>549</v>
      </c>
      <c r="F402" s="350">
        <v>44871</v>
      </c>
      <c r="G402" s="364" t="s">
        <v>2298</v>
      </c>
      <c r="H402" s="132" t="s">
        <v>1905</v>
      </c>
      <c r="I402" s="431">
        <v>15</v>
      </c>
      <c r="J402" s="390">
        <v>10</v>
      </c>
      <c r="K402" s="390">
        <v>10</v>
      </c>
      <c r="L402" s="389">
        <v>0</v>
      </c>
      <c r="M402" s="372">
        <v>87.5</v>
      </c>
      <c r="N402" s="372">
        <v>90</v>
      </c>
      <c r="O402" s="338">
        <v>5</v>
      </c>
      <c r="P402" s="338">
        <v>10</v>
      </c>
      <c r="Q402" s="183" t="s">
        <v>1707</v>
      </c>
      <c r="R402" s="338" t="s">
        <v>1985</v>
      </c>
      <c r="S402" s="767"/>
      <c r="T402" s="419">
        <v>35</v>
      </c>
      <c r="U402" s="391">
        <v>0</v>
      </c>
      <c r="V402" s="129" t="s">
        <v>749</v>
      </c>
      <c r="W402" s="132" t="s">
        <v>749</v>
      </c>
      <c r="X402" s="427">
        <v>0</v>
      </c>
      <c r="Y402" s="410">
        <v>2</v>
      </c>
      <c r="Z402" s="396">
        <v>1</v>
      </c>
      <c r="AA402" s="810"/>
      <c r="AB402" s="396"/>
      <c r="AC402" s="410">
        <v>5</v>
      </c>
      <c r="AD402" s="29">
        <v>0</v>
      </c>
      <c r="AE402" s="396">
        <v>15</v>
      </c>
      <c r="AF402" s="441" t="s">
        <v>2299</v>
      </c>
    </row>
    <row r="403" spans="1:33" s="285" customFormat="1" ht="27.6" customHeight="1">
      <c r="A403" s="346" t="s">
        <v>1758</v>
      </c>
      <c r="B403" s="182">
        <v>16</v>
      </c>
      <c r="C403" s="346" t="s">
        <v>2300</v>
      </c>
      <c r="D403" s="183">
        <v>97</v>
      </c>
      <c r="E403" s="182" t="s">
        <v>550</v>
      </c>
      <c r="F403" s="350">
        <v>44861</v>
      </c>
      <c r="G403" s="364" t="s">
        <v>2298</v>
      </c>
      <c r="H403" s="132" t="s">
        <v>1905</v>
      </c>
      <c r="I403" s="431">
        <v>15</v>
      </c>
      <c r="J403" s="392">
        <v>10</v>
      </c>
      <c r="K403" s="392">
        <v>2.5</v>
      </c>
      <c r="L403" s="389">
        <v>7.5</v>
      </c>
      <c r="M403" s="372">
        <v>90</v>
      </c>
      <c r="N403" s="372">
        <v>95</v>
      </c>
      <c r="O403" s="338">
        <v>22.5</v>
      </c>
      <c r="P403" s="338">
        <v>27.5</v>
      </c>
      <c r="Q403" s="183" t="s">
        <v>1707</v>
      </c>
      <c r="R403" s="338" t="s">
        <v>1986</v>
      </c>
      <c r="S403" s="767"/>
      <c r="T403" s="419">
        <v>43</v>
      </c>
      <c r="U403" s="391">
        <v>0</v>
      </c>
      <c r="V403" s="129" t="s">
        <v>749</v>
      </c>
      <c r="W403" s="132" t="s">
        <v>749</v>
      </c>
      <c r="X403" s="427">
        <v>0</v>
      </c>
      <c r="Y403" s="410">
        <v>2</v>
      </c>
      <c r="Z403" s="396">
        <v>1</v>
      </c>
      <c r="AA403" s="810">
        <v>25.073333333333331</v>
      </c>
      <c r="AB403" s="396" t="s">
        <v>1738</v>
      </c>
      <c r="AC403" s="410">
        <v>1</v>
      </c>
      <c r="AD403" s="29">
        <v>0</v>
      </c>
      <c r="AE403" s="396">
        <v>7</v>
      </c>
      <c r="AF403" s="441" t="s">
        <v>2299</v>
      </c>
    </row>
    <row r="404" spans="1:33" s="285" customFormat="1" ht="27.6" customHeight="1">
      <c r="A404" s="346" t="s">
        <v>1758</v>
      </c>
      <c r="B404" s="182">
        <v>16</v>
      </c>
      <c r="C404" s="346" t="s">
        <v>2300</v>
      </c>
      <c r="D404" s="183">
        <v>98</v>
      </c>
      <c r="E404" s="182" t="s">
        <v>551</v>
      </c>
      <c r="F404" s="350">
        <v>44871</v>
      </c>
      <c r="G404" s="364" t="s">
        <v>2298</v>
      </c>
      <c r="H404" s="132" t="s">
        <v>1905</v>
      </c>
      <c r="I404" s="431">
        <v>15</v>
      </c>
      <c r="J404" s="390">
        <v>10</v>
      </c>
      <c r="K404" s="390">
        <v>20</v>
      </c>
      <c r="L404" s="389">
        <v>-10</v>
      </c>
      <c r="M404" s="372">
        <v>82.5</v>
      </c>
      <c r="N404" s="372">
        <v>92.5</v>
      </c>
      <c r="O404" s="338">
        <v>7.5</v>
      </c>
      <c r="P404" s="338">
        <v>15</v>
      </c>
      <c r="Q404" s="183" t="s">
        <v>1707</v>
      </c>
      <c r="R404" s="338" t="s">
        <v>1981</v>
      </c>
      <c r="S404" s="767"/>
      <c r="T404" s="419">
        <v>15</v>
      </c>
      <c r="U404" s="391">
        <v>0</v>
      </c>
      <c r="V404" s="26" t="s">
        <v>749</v>
      </c>
      <c r="W404" s="132"/>
      <c r="X404" s="396">
        <v>0</v>
      </c>
      <c r="Y404" s="410">
        <v>2</v>
      </c>
      <c r="Z404" s="396">
        <v>1</v>
      </c>
      <c r="AA404" s="810"/>
      <c r="AB404" s="396"/>
      <c r="AC404" s="410">
        <v>1</v>
      </c>
      <c r="AD404" s="29">
        <v>1</v>
      </c>
      <c r="AE404" s="396">
        <v>40</v>
      </c>
      <c r="AF404" s="441" t="s">
        <v>2299</v>
      </c>
    </row>
    <row r="405" spans="1:33" s="285" customFormat="1" ht="27.6" customHeight="1">
      <c r="A405" s="346" t="s">
        <v>1758</v>
      </c>
      <c r="B405" s="182">
        <v>16</v>
      </c>
      <c r="C405" s="346" t="s">
        <v>2300</v>
      </c>
      <c r="D405" s="183">
        <v>99</v>
      </c>
      <c r="E405" s="182" t="s">
        <v>552</v>
      </c>
      <c r="F405" s="350">
        <v>44871</v>
      </c>
      <c r="G405" s="364" t="s">
        <v>2298</v>
      </c>
      <c r="H405" s="132" t="s">
        <v>1905</v>
      </c>
      <c r="I405" s="431">
        <v>15</v>
      </c>
      <c r="J405" s="390">
        <v>30</v>
      </c>
      <c r="K405" s="390">
        <v>20</v>
      </c>
      <c r="L405" s="389">
        <v>10</v>
      </c>
      <c r="M405" s="372">
        <v>82.5</v>
      </c>
      <c r="N405" s="372">
        <v>92.5</v>
      </c>
      <c r="O405" s="338">
        <v>7.5</v>
      </c>
      <c r="P405" s="338">
        <v>10</v>
      </c>
      <c r="Q405" s="183" t="s">
        <v>1707</v>
      </c>
      <c r="R405" s="338" t="s">
        <v>1987</v>
      </c>
      <c r="S405" s="767"/>
      <c r="T405" s="419">
        <v>18.333333333333332</v>
      </c>
      <c r="U405" s="391">
        <v>0</v>
      </c>
      <c r="V405" s="26" t="s">
        <v>749</v>
      </c>
      <c r="W405" s="132"/>
      <c r="X405" s="396">
        <v>0</v>
      </c>
      <c r="Y405" s="410">
        <v>2</v>
      </c>
      <c r="Z405" s="396">
        <v>1</v>
      </c>
      <c r="AA405" s="810"/>
      <c r="AB405" s="396"/>
      <c r="AC405" s="410">
        <v>1</v>
      </c>
      <c r="AD405" s="29">
        <v>0</v>
      </c>
      <c r="AE405" s="396">
        <v>19</v>
      </c>
      <c r="AF405" s="441" t="s">
        <v>2299</v>
      </c>
      <c r="AG405" s="306"/>
    </row>
    <row r="406" spans="1:33" s="285" customFormat="1" ht="27.6" customHeight="1">
      <c r="A406" s="346" t="s">
        <v>1758</v>
      </c>
      <c r="B406" s="182">
        <v>16</v>
      </c>
      <c r="C406" s="346" t="s">
        <v>2300</v>
      </c>
      <c r="D406" s="183">
        <v>100</v>
      </c>
      <c r="E406" s="182" t="s">
        <v>553</v>
      </c>
      <c r="F406" s="350">
        <v>44868</v>
      </c>
      <c r="G406" s="364" t="s">
        <v>2298</v>
      </c>
      <c r="H406" s="132" t="s">
        <v>1905</v>
      </c>
      <c r="I406" s="431">
        <v>15</v>
      </c>
      <c r="J406" s="390">
        <v>10</v>
      </c>
      <c r="K406" s="390">
        <v>10</v>
      </c>
      <c r="L406" s="389">
        <v>0</v>
      </c>
      <c r="M406" s="372">
        <v>87.5</v>
      </c>
      <c r="N406" s="372">
        <v>87.5</v>
      </c>
      <c r="O406" s="338">
        <v>7.5</v>
      </c>
      <c r="P406" s="338">
        <v>10</v>
      </c>
      <c r="Q406" s="183" t="s">
        <v>1707</v>
      </c>
      <c r="R406" s="338" t="s">
        <v>1953</v>
      </c>
      <c r="S406" s="767"/>
      <c r="T406" s="419">
        <v>11.428571428571429</v>
      </c>
      <c r="U406" s="391">
        <v>0</v>
      </c>
      <c r="V406" s="129" t="s">
        <v>749</v>
      </c>
      <c r="W406" s="132" t="s">
        <v>749</v>
      </c>
      <c r="X406" s="427">
        <v>0</v>
      </c>
      <c r="Y406" s="410">
        <v>2</v>
      </c>
      <c r="Z406" s="396">
        <v>1</v>
      </c>
      <c r="AA406" s="810"/>
      <c r="AB406" s="396"/>
      <c r="AC406" s="410">
        <v>0</v>
      </c>
      <c r="AD406" s="29">
        <v>0</v>
      </c>
      <c r="AE406" s="396">
        <v>47</v>
      </c>
      <c r="AF406" s="441" t="s">
        <v>2299</v>
      </c>
      <c r="AG406" s="306"/>
    </row>
    <row r="407" spans="1:33" s="285" customFormat="1" ht="27.6" customHeight="1">
      <c r="A407" s="346" t="s">
        <v>1758</v>
      </c>
      <c r="B407" s="182">
        <v>16</v>
      </c>
      <c r="C407" s="346" t="s">
        <v>2300</v>
      </c>
      <c r="D407" s="183">
        <v>101</v>
      </c>
      <c r="E407" s="182" t="s">
        <v>554</v>
      </c>
      <c r="F407" s="350">
        <v>44862</v>
      </c>
      <c r="G407" s="364" t="s">
        <v>2298</v>
      </c>
      <c r="H407" s="132" t="s">
        <v>1905</v>
      </c>
      <c r="I407" s="431">
        <v>15</v>
      </c>
      <c r="J407" s="390">
        <v>10</v>
      </c>
      <c r="K407" s="390">
        <v>10</v>
      </c>
      <c r="L407" s="389">
        <v>0</v>
      </c>
      <c r="M407" s="372">
        <v>97.5</v>
      </c>
      <c r="N407" s="372">
        <v>100</v>
      </c>
      <c r="O407" s="338">
        <v>20</v>
      </c>
      <c r="P407" s="338">
        <v>57.5</v>
      </c>
      <c r="Q407" s="183" t="s">
        <v>1707</v>
      </c>
      <c r="R407" s="338" t="s">
        <v>1988</v>
      </c>
      <c r="S407" s="767"/>
      <c r="T407" s="419">
        <v>35</v>
      </c>
      <c r="U407" s="391">
        <v>0</v>
      </c>
      <c r="V407" s="26" t="s">
        <v>749</v>
      </c>
      <c r="W407" s="132"/>
      <c r="X407" s="396">
        <v>0</v>
      </c>
      <c r="Y407" s="410">
        <v>2</v>
      </c>
      <c r="Z407" s="396">
        <v>1</v>
      </c>
      <c r="AA407" s="810">
        <v>8.2482978723404248</v>
      </c>
      <c r="AB407" s="396">
        <v>4</v>
      </c>
      <c r="AC407" s="410">
        <v>1</v>
      </c>
      <c r="AD407" s="29">
        <v>0</v>
      </c>
      <c r="AE407" s="396">
        <v>2</v>
      </c>
      <c r="AF407" s="441" t="s">
        <v>2299</v>
      </c>
      <c r="AG407" s="306"/>
    </row>
    <row r="408" spans="1:33" s="285" customFormat="1" ht="27.6" customHeight="1">
      <c r="A408" s="346" t="s">
        <v>1758</v>
      </c>
      <c r="B408" s="182">
        <v>16</v>
      </c>
      <c r="C408" s="346" t="s">
        <v>2300</v>
      </c>
      <c r="D408" s="183">
        <v>102</v>
      </c>
      <c r="E408" s="182" t="s">
        <v>555</v>
      </c>
      <c r="F408" s="350">
        <v>44862</v>
      </c>
      <c r="G408" s="364" t="s">
        <v>2298</v>
      </c>
      <c r="H408" s="132" t="s">
        <v>1905</v>
      </c>
      <c r="I408" s="431">
        <v>15</v>
      </c>
      <c r="J408" s="390">
        <v>10</v>
      </c>
      <c r="K408" s="390">
        <v>10</v>
      </c>
      <c r="L408" s="389">
        <v>0</v>
      </c>
      <c r="M408" s="372">
        <v>92.5</v>
      </c>
      <c r="N408" s="372">
        <v>95</v>
      </c>
      <c r="O408" s="338">
        <v>10</v>
      </c>
      <c r="P408" s="338">
        <v>10</v>
      </c>
      <c r="Q408" s="183" t="s">
        <v>1707</v>
      </c>
      <c r="R408" s="338" t="s">
        <v>1954</v>
      </c>
      <c r="S408" s="767"/>
      <c r="T408" s="419">
        <v>12</v>
      </c>
      <c r="U408" s="391">
        <v>0</v>
      </c>
      <c r="V408" s="26" t="s">
        <v>749</v>
      </c>
      <c r="W408" s="132"/>
      <c r="X408" s="396">
        <v>0</v>
      </c>
      <c r="Y408" s="410">
        <v>2</v>
      </c>
      <c r="Z408" s="396">
        <v>1</v>
      </c>
      <c r="AA408" s="810">
        <v>15.750612244897956</v>
      </c>
      <c r="AB408" s="396" t="s">
        <v>1738</v>
      </c>
      <c r="AC408" s="410">
        <v>1</v>
      </c>
      <c r="AD408" s="29">
        <v>1</v>
      </c>
      <c r="AE408" s="396">
        <v>5</v>
      </c>
      <c r="AF408" s="441" t="s">
        <v>2299</v>
      </c>
    </row>
    <row r="409" spans="1:33" ht="27.6" customHeight="1">
      <c r="A409" s="346" t="s">
        <v>1758</v>
      </c>
      <c r="B409" s="182">
        <v>16</v>
      </c>
      <c r="C409" s="346" t="s">
        <v>2300</v>
      </c>
      <c r="D409" s="183">
        <v>103</v>
      </c>
      <c r="E409" s="182" t="s">
        <v>556</v>
      </c>
      <c r="F409" s="350">
        <v>44872</v>
      </c>
      <c r="G409" s="364" t="s">
        <v>2298</v>
      </c>
      <c r="H409" s="132" t="s">
        <v>1905</v>
      </c>
      <c r="I409" s="431">
        <v>15</v>
      </c>
      <c r="J409" s="390">
        <v>10</v>
      </c>
      <c r="K409" s="390">
        <v>10</v>
      </c>
      <c r="L409" s="389">
        <v>0</v>
      </c>
      <c r="M409" s="372">
        <v>92.5</v>
      </c>
      <c r="N409" s="372">
        <v>90</v>
      </c>
      <c r="O409" s="338">
        <v>15</v>
      </c>
      <c r="P409" s="338">
        <v>27.5</v>
      </c>
      <c r="Q409" s="183" t="s">
        <v>1707</v>
      </c>
      <c r="R409" s="338" t="s">
        <v>1950</v>
      </c>
      <c r="S409" s="767"/>
      <c r="T409" s="419">
        <v>27.5</v>
      </c>
      <c r="U409" s="391">
        <v>0</v>
      </c>
      <c r="V409" s="129" t="s">
        <v>749</v>
      </c>
      <c r="W409" s="132" t="s">
        <v>749</v>
      </c>
      <c r="X409" s="427">
        <v>0</v>
      </c>
      <c r="Y409" s="410">
        <v>2</v>
      </c>
      <c r="Z409" s="396">
        <v>1</v>
      </c>
      <c r="AA409" s="810">
        <v>20.301111111111112</v>
      </c>
      <c r="AB409" s="396" t="s">
        <v>1738</v>
      </c>
      <c r="AC409" s="410">
        <v>1</v>
      </c>
      <c r="AD409" s="29">
        <v>1</v>
      </c>
      <c r="AE409" s="396">
        <v>25</v>
      </c>
      <c r="AF409" s="441" t="s">
        <v>2299</v>
      </c>
      <c r="AG409" s="285"/>
    </row>
    <row r="410" spans="1:33" s="285" customFormat="1" ht="27.6" customHeight="1" thickBot="1">
      <c r="A410" s="466" t="s">
        <v>1758</v>
      </c>
      <c r="B410" s="192">
        <v>16</v>
      </c>
      <c r="C410" s="466" t="s">
        <v>2300</v>
      </c>
      <c r="D410" s="193">
        <v>105</v>
      </c>
      <c r="E410" s="192" t="s">
        <v>557</v>
      </c>
      <c r="F410" s="478">
        <v>44868</v>
      </c>
      <c r="G410" s="543" t="s">
        <v>2298</v>
      </c>
      <c r="H410" s="583" t="s">
        <v>1905</v>
      </c>
      <c r="I410" s="503">
        <v>15</v>
      </c>
      <c r="J410" s="497">
        <v>20</v>
      </c>
      <c r="K410" s="497">
        <v>20</v>
      </c>
      <c r="L410" s="389">
        <v>0</v>
      </c>
      <c r="M410" s="499">
        <v>90</v>
      </c>
      <c r="N410" s="499">
        <v>92.5</v>
      </c>
      <c r="O410" s="482">
        <v>10</v>
      </c>
      <c r="P410" s="482">
        <v>12.5</v>
      </c>
      <c r="Q410" s="193" t="s">
        <v>1707</v>
      </c>
      <c r="R410" s="482" t="s">
        <v>1981</v>
      </c>
      <c r="S410" s="795"/>
      <c r="T410" s="483">
        <v>14.166666666666666</v>
      </c>
      <c r="U410" s="484">
        <v>0</v>
      </c>
      <c r="V410" s="72" t="s">
        <v>749</v>
      </c>
      <c r="W410" s="583"/>
      <c r="X410" s="487">
        <v>0</v>
      </c>
      <c r="Y410" s="486">
        <v>2</v>
      </c>
      <c r="Z410" s="487">
        <v>1</v>
      </c>
      <c r="AA410" s="811"/>
      <c r="AB410" s="487"/>
      <c r="AC410" s="486">
        <v>0</v>
      </c>
      <c r="AD410" s="75">
        <v>0</v>
      </c>
      <c r="AE410" s="487">
        <v>19</v>
      </c>
      <c r="AF410" s="504" t="s">
        <v>2299</v>
      </c>
    </row>
    <row r="411" spans="1:33" ht="27.6" customHeight="1" thickTop="1">
      <c r="A411" s="455" t="s">
        <v>1759</v>
      </c>
      <c r="B411" s="179">
        <v>17</v>
      </c>
      <c r="C411" s="455" t="s">
        <v>2302</v>
      </c>
      <c r="D411" s="180">
        <v>120</v>
      </c>
      <c r="E411" s="179" t="s">
        <v>559</v>
      </c>
      <c r="F411" s="458">
        <v>44874</v>
      </c>
      <c r="G411" s="459" t="s">
        <v>2298</v>
      </c>
      <c r="H411" s="141" t="s">
        <v>1905</v>
      </c>
      <c r="I411" s="464">
        <v>15</v>
      </c>
      <c r="J411" s="389">
        <v>20</v>
      </c>
      <c r="K411" s="389">
        <v>70</v>
      </c>
      <c r="L411" s="389">
        <v>-50</v>
      </c>
      <c r="M411" s="509">
        <v>97.5</v>
      </c>
      <c r="N411" s="509">
        <v>100</v>
      </c>
      <c r="O411" s="461">
        <v>65</v>
      </c>
      <c r="P411" s="461">
        <v>77.5</v>
      </c>
      <c r="Q411" s="311" t="s">
        <v>1707</v>
      </c>
      <c r="R411" s="461" t="s">
        <v>1993</v>
      </c>
      <c r="S411" s="794"/>
      <c r="T411" s="471">
        <v>53.5</v>
      </c>
      <c r="U411" s="462">
        <v>0</v>
      </c>
      <c r="V411" s="84" t="s">
        <v>749</v>
      </c>
      <c r="W411" s="141"/>
      <c r="X411" s="460">
        <v>0</v>
      </c>
      <c r="Y411" s="463">
        <v>2</v>
      </c>
      <c r="Z411" s="460">
        <v>1</v>
      </c>
      <c r="AA411" s="816"/>
      <c r="AB411" s="460"/>
      <c r="AC411" s="463">
        <v>2</v>
      </c>
      <c r="AD411" s="87">
        <v>0</v>
      </c>
      <c r="AE411" s="460">
        <v>24</v>
      </c>
      <c r="AF411" s="513" t="s">
        <v>2299</v>
      </c>
    </row>
    <row r="412" spans="1:33" ht="27.6" customHeight="1">
      <c r="A412" s="346" t="s">
        <v>1759</v>
      </c>
      <c r="B412" s="182">
        <v>17</v>
      </c>
      <c r="C412" s="346" t="s">
        <v>2302</v>
      </c>
      <c r="D412" s="183">
        <v>121</v>
      </c>
      <c r="E412" s="182" t="s">
        <v>561</v>
      </c>
      <c r="F412" s="350">
        <v>44874</v>
      </c>
      <c r="G412" s="364" t="s">
        <v>2298</v>
      </c>
      <c r="H412" s="132" t="s">
        <v>1905</v>
      </c>
      <c r="I412" s="431">
        <v>15</v>
      </c>
      <c r="J412" s="390">
        <v>20</v>
      </c>
      <c r="K412" s="390">
        <v>50</v>
      </c>
      <c r="L412" s="389">
        <v>-30</v>
      </c>
      <c r="M412" s="372">
        <v>95</v>
      </c>
      <c r="N412" s="372">
        <v>97.5</v>
      </c>
      <c r="O412" s="338">
        <v>55</v>
      </c>
      <c r="P412" s="338">
        <v>72.5</v>
      </c>
      <c r="Q412" s="314" t="s">
        <v>1707</v>
      </c>
      <c r="R412" s="338" t="s">
        <v>1994</v>
      </c>
      <c r="S412" s="767"/>
      <c r="T412" s="419">
        <v>48.333333333333336</v>
      </c>
      <c r="U412" s="391">
        <v>0</v>
      </c>
      <c r="V412" s="129" t="s">
        <v>749</v>
      </c>
      <c r="W412" s="132" t="s">
        <v>749</v>
      </c>
      <c r="X412" s="427">
        <v>0</v>
      </c>
      <c r="Y412" s="410">
        <v>2</v>
      </c>
      <c r="Z412" s="396">
        <v>1</v>
      </c>
      <c r="AA412" s="810"/>
      <c r="AB412" s="396"/>
      <c r="AC412" s="410">
        <v>0</v>
      </c>
      <c r="AD412" s="29">
        <v>1</v>
      </c>
      <c r="AE412" s="396">
        <v>6</v>
      </c>
      <c r="AF412" s="441" t="s">
        <v>2299</v>
      </c>
    </row>
    <row r="413" spans="1:33" s="285" customFormat="1" ht="27.6" customHeight="1">
      <c r="A413" s="346" t="s">
        <v>1759</v>
      </c>
      <c r="B413" s="182">
        <v>17</v>
      </c>
      <c r="C413" s="346" t="s">
        <v>2302</v>
      </c>
      <c r="D413" s="183">
        <v>122</v>
      </c>
      <c r="E413" s="182" t="s">
        <v>562</v>
      </c>
      <c r="F413" s="350">
        <v>44874</v>
      </c>
      <c r="G413" s="364" t="s">
        <v>2298</v>
      </c>
      <c r="H413" s="132" t="s">
        <v>1905</v>
      </c>
      <c r="I413" s="431">
        <v>15</v>
      </c>
      <c r="J413" s="390">
        <v>30</v>
      </c>
      <c r="K413" s="390">
        <v>70</v>
      </c>
      <c r="L413" s="389">
        <v>-40</v>
      </c>
      <c r="M413" s="372">
        <v>92.5</v>
      </c>
      <c r="N413" s="372">
        <v>100</v>
      </c>
      <c r="O413" s="338">
        <v>45</v>
      </c>
      <c r="P413" s="338">
        <v>60</v>
      </c>
      <c r="Q413" s="183" t="s">
        <v>1706</v>
      </c>
      <c r="R413" s="338" t="s">
        <v>1954</v>
      </c>
      <c r="S413" s="767"/>
      <c r="T413" s="419">
        <v>58</v>
      </c>
      <c r="U413" s="391">
        <v>1</v>
      </c>
      <c r="V413" s="26" t="s">
        <v>1712</v>
      </c>
      <c r="W413" s="132"/>
      <c r="X413" s="396">
        <v>1</v>
      </c>
      <c r="Y413" s="410">
        <v>3</v>
      </c>
      <c r="Z413" s="396">
        <v>2</v>
      </c>
      <c r="AA413" s="810"/>
      <c r="AB413" s="396"/>
      <c r="AC413" s="410">
        <v>3</v>
      </c>
      <c r="AD413" s="29">
        <v>0</v>
      </c>
      <c r="AE413" s="396">
        <v>2</v>
      </c>
      <c r="AF413" s="441" t="s">
        <v>2299</v>
      </c>
    </row>
    <row r="414" spans="1:33" ht="27.6" customHeight="1">
      <c r="A414" s="346" t="s">
        <v>1759</v>
      </c>
      <c r="B414" s="182">
        <v>17</v>
      </c>
      <c r="C414" s="346" t="s">
        <v>2302</v>
      </c>
      <c r="D414" s="183">
        <v>123</v>
      </c>
      <c r="E414" s="182" t="s">
        <v>563</v>
      </c>
      <c r="F414" s="350">
        <v>44874</v>
      </c>
      <c r="G414" s="364" t="s">
        <v>2298</v>
      </c>
      <c r="H414" s="132" t="s">
        <v>1905</v>
      </c>
      <c r="I414" s="431">
        <v>15</v>
      </c>
      <c r="J414" s="392">
        <v>10</v>
      </c>
      <c r="K414" s="392">
        <v>2.5</v>
      </c>
      <c r="L414" s="389">
        <v>7.5</v>
      </c>
      <c r="M414" s="372">
        <v>95</v>
      </c>
      <c r="N414" s="372">
        <v>90</v>
      </c>
      <c r="O414" s="338">
        <v>32.5</v>
      </c>
      <c r="P414" s="338">
        <v>40</v>
      </c>
      <c r="Q414" s="183" t="s">
        <v>1707</v>
      </c>
      <c r="R414" s="338">
        <v>0</v>
      </c>
      <c r="S414" s="767"/>
      <c r="T414" s="419"/>
      <c r="U414" s="391">
        <v>0</v>
      </c>
      <c r="V414" s="129" t="s">
        <v>749</v>
      </c>
      <c r="W414" s="132" t="s">
        <v>749</v>
      </c>
      <c r="X414" s="427">
        <v>0</v>
      </c>
      <c r="Y414" s="410">
        <v>2</v>
      </c>
      <c r="Z414" s="396">
        <v>1</v>
      </c>
      <c r="AA414" s="810">
        <v>44.940606060606065</v>
      </c>
      <c r="AB414" s="396" t="s">
        <v>1753</v>
      </c>
      <c r="AC414" s="410">
        <v>0</v>
      </c>
      <c r="AD414" s="29">
        <v>0</v>
      </c>
      <c r="AE414" s="396">
        <v>0</v>
      </c>
      <c r="AF414" s="441" t="s">
        <v>2299</v>
      </c>
    </row>
    <row r="415" spans="1:33" ht="27.6" customHeight="1">
      <c r="A415" s="346" t="s">
        <v>1759</v>
      </c>
      <c r="B415" s="182">
        <v>17</v>
      </c>
      <c r="C415" s="346" t="s">
        <v>2302</v>
      </c>
      <c r="D415" s="183">
        <v>124</v>
      </c>
      <c r="E415" s="182" t="s">
        <v>564</v>
      </c>
      <c r="F415" s="350">
        <v>44874</v>
      </c>
      <c r="G415" s="364" t="s">
        <v>2298</v>
      </c>
      <c r="H415" s="132" t="s">
        <v>1905</v>
      </c>
      <c r="I415" s="431">
        <v>15</v>
      </c>
      <c r="J415" s="390">
        <v>20</v>
      </c>
      <c r="K415" s="390">
        <v>60</v>
      </c>
      <c r="L415" s="389">
        <v>-40</v>
      </c>
      <c r="M415" s="372">
        <v>98.5</v>
      </c>
      <c r="N415" s="372">
        <v>100</v>
      </c>
      <c r="O415" s="338">
        <v>52.5</v>
      </c>
      <c r="P415" s="338">
        <v>72.5</v>
      </c>
      <c r="Q415" s="183" t="s">
        <v>1707</v>
      </c>
      <c r="R415" s="338" t="s">
        <v>1995</v>
      </c>
      <c r="S415" s="767"/>
      <c r="T415" s="419">
        <v>94.5</v>
      </c>
      <c r="U415" s="391">
        <v>2</v>
      </c>
      <c r="V415" s="26" t="s">
        <v>1996</v>
      </c>
      <c r="W415" s="132"/>
      <c r="X415" s="396">
        <v>2</v>
      </c>
      <c r="Y415" s="410">
        <v>2</v>
      </c>
      <c r="Z415" s="396">
        <v>1</v>
      </c>
      <c r="AA415" s="810">
        <v>36.100125786163524</v>
      </c>
      <c r="AB415" s="396" t="s">
        <v>1753</v>
      </c>
      <c r="AC415" s="410">
        <v>2</v>
      </c>
      <c r="AD415" s="29">
        <v>0</v>
      </c>
      <c r="AE415" s="396">
        <v>6</v>
      </c>
      <c r="AF415" s="441" t="s">
        <v>2299</v>
      </c>
    </row>
    <row r="416" spans="1:33" s="285" customFormat="1" ht="27.6" customHeight="1">
      <c r="A416" s="346" t="s">
        <v>1759</v>
      </c>
      <c r="B416" s="182">
        <v>17</v>
      </c>
      <c r="C416" s="346" t="s">
        <v>2302</v>
      </c>
      <c r="D416" s="183">
        <v>125</v>
      </c>
      <c r="E416" s="182" t="s">
        <v>565</v>
      </c>
      <c r="F416" s="350">
        <v>44874</v>
      </c>
      <c r="G416" s="364" t="s">
        <v>2298</v>
      </c>
      <c r="H416" s="132" t="s">
        <v>1905</v>
      </c>
      <c r="I416" s="431">
        <v>15</v>
      </c>
      <c r="J416" s="390">
        <v>10</v>
      </c>
      <c r="K416" s="390">
        <v>70</v>
      </c>
      <c r="L416" s="389">
        <v>-60</v>
      </c>
      <c r="M416" s="372">
        <v>97.5</v>
      </c>
      <c r="N416" s="372">
        <v>100</v>
      </c>
      <c r="O416" s="338">
        <v>62.5</v>
      </c>
      <c r="P416" s="338">
        <v>85</v>
      </c>
      <c r="Q416" s="314" t="s">
        <v>1707</v>
      </c>
      <c r="R416" s="338" t="s">
        <v>1954</v>
      </c>
      <c r="S416" s="767"/>
      <c r="T416" s="419">
        <v>74</v>
      </c>
      <c r="U416" s="391">
        <v>0</v>
      </c>
      <c r="V416" s="26" t="s">
        <v>749</v>
      </c>
      <c r="W416" s="132"/>
      <c r="X416" s="396">
        <v>0</v>
      </c>
      <c r="Y416" s="410">
        <v>2</v>
      </c>
      <c r="Z416" s="396">
        <v>1</v>
      </c>
      <c r="AA416" s="810"/>
      <c r="AB416" s="396"/>
      <c r="AC416" s="410">
        <v>3</v>
      </c>
      <c r="AD416" s="29">
        <v>0</v>
      </c>
      <c r="AE416" s="396">
        <v>7</v>
      </c>
      <c r="AF416" s="441" t="s">
        <v>2299</v>
      </c>
    </row>
    <row r="417" spans="1:33" s="285" customFormat="1" ht="27.6" customHeight="1">
      <c r="A417" s="346" t="s">
        <v>1759</v>
      </c>
      <c r="B417" s="182">
        <v>17</v>
      </c>
      <c r="C417" s="346" t="s">
        <v>2302</v>
      </c>
      <c r="D417" s="183">
        <v>126</v>
      </c>
      <c r="E417" s="182" t="s">
        <v>566</v>
      </c>
      <c r="F417" s="350">
        <v>44874</v>
      </c>
      <c r="G417" s="364" t="s">
        <v>2298</v>
      </c>
      <c r="H417" s="132" t="s">
        <v>1905</v>
      </c>
      <c r="I417" s="431">
        <v>15</v>
      </c>
      <c r="J417" s="390">
        <v>30</v>
      </c>
      <c r="K417" s="390">
        <v>70</v>
      </c>
      <c r="L417" s="389">
        <v>-40</v>
      </c>
      <c r="M417" s="372">
        <v>90</v>
      </c>
      <c r="N417" s="372">
        <v>91</v>
      </c>
      <c r="O417" s="338">
        <v>55</v>
      </c>
      <c r="P417" s="338">
        <v>67.5</v>
      </c>
      <c r="Q417" s="314" t="s">
        <v>1707</v>
      </c>
      <c r="R417" s="338" t="s">
        <v>1950</v>
      </c>
      <c r="S417" s="767"/>
      <c r="T417" s="419">
        <v>82.5</v>
      </c>
      <c r="U417" s="391">
        <v>0</v>
      </c>
      <c r="V417" s="129" t="s">
        <v>749</v>
      </c>
      <c r="W417" s="132" t="s">
        <v>749</v>
      </c>
      <c r="X417" s="427">
        <v>0</v>
      </c>
      <c r="Y417" s="410">
        <v>2</v>
      </c>
      <c r="Z417" s="396">
        <v>1</v>
      </c>
      <c r="AA417" s="810"/>
      <c r="AB417" s="396"/>
      <c r="AC417" s="410">
        <v>0</v>
      </c>
      <c r="AD417" s="29">
        <v>0</v>
      </c>
      <c r="AE417" s="396">
        <v>11</v>
      </c>
      <c r="AF417" s="441" t="s">
        <v>2299</v>
      </c>
    </row>
    <row r="418" spans="1:33" s="285" customFormat="1" ht="27.6" customHeight="1">
      <c r="A418" s="346" t="s">
        <v>1759</v>
      </c>
      <c r="B418" s="182">
        <v>17</v>
      </c>
      <c r="C418" s="346" t="s">
        <v>2302</v>
      </c>
      <c r="D418" s="183" t="s">
        <v>1760</v>
      </c>
      <c r="E418" s="182" t="s">
        <v>583</v>
      </c>
      <c r="F418" s="350">
        <v>44874</v>
      </c>
      <c r="G418" s="364" t="s">
        <v>2298</v>
      </c>
      <c r="H418" s="132" t="s">
        <v>1905</v>
      </c>
      <c r="I418" s="431">
        <v>15</v>
      </c>
      <c r="J418" s="390">
        <v>20</v>
      </c>
      <c r="K418" s="390">
        <v>50</v>
      </c>
      <c r="L418" s="389">
        <v>-30</v>
      </c>
      <c r="M418" s="372">
        <v>95</v>
      </c>
      <c r="N418" s="372">
        <v>0</v>
      </c>
      <c r="O418" s="338">
        <v>70</v>
      </c>
      <c r="P418" s="338"/>
      <c r="Q418" s="183" t="s">
        <v>1888</v>
      </c>
      <c r="R418" s="338">
        <v>0</v>
      </c>
      <c r="S418" s="767"/>
      <c r="T418" s="419"/>
      <c r="U418" s="391">
        <v>0</v>
      </c>
      <c r="V418" s="129" t="s">
        <v>749</v>
      </c>
      <c r="W418" s="132" t="s">
        <v>749</v>
      </c>
      <c r="X418" s="427">
        <v>0</v>
      </c>
      <c r="Y418" s="410">
        <v>1</v>
      </c>
      <c r="Z418" s="396">
        <v>0</v>
      </c>
      <c r="AA418" s="810">
        <v>9.2328205128205134</v>
      </c>
      <c r="AB418" s="396">
        <v>4</v>
      </c>
      <c r="AC418" s="410">
        <v>0</v>
      </c>
      <c r="AD418" s="29">
        <v>0</v>
      </c>
      <c r="AE418" s="396">
        <v>0</v>
      </c>
      <c r="AF418" s="441" t="s">
        <v>2299</v>
      </c>
    </row>
    <row r="419" spans="1:33" ht="27.6" customHeight="1">
      <c r="A419" s="346" t="s">
        <v>1759</v>
      </c>
      <c r="B419" s="182">
        <v>17</v>
      </c>
      <c r="C419" s="346" t="s">
        <v>2302</v>
      </c>
      <c r="D419" s="183">
        <v>127</v>
      </c>
      <c r="E419" s="182" t="s">
        <v>567</v>
      </c>
      <c r="F419" s="350">
        <v>44873</v>
      </c>
      <c r="G419" s="364" t="s">
        <v>2298</v>
      </c>
      <c r="H419" s="132" t="s">
        <v>1905</v>
      </c>
      <c r="I419" s="431">
        <v>15</v>
      </c>
      <c r="J419" s="390">
        <v>10</v>
      </c>
      <c r="K419" s="390">
        <v>30</v>
      </c>
      <c r="L419" s="389">
        <v>-20</v>
      </c>
      <c r="M419" s="372">
        <v>100</v>
      </c>
      <c r="N419" s="372">
        <v>100</v>
      </c>
      <c r="O419" s="338">
        <v>77.5</v>
      </c>
      <c r="P419" s="338">
        <v>100</v>
      </c>
      <c r="Q419" s="183" t="s">
        <v>1904</v>
      </c>
      <c r="R419" s="338">
        <v>0</v>
      </c>
      <c r="S419" s="767"/>
      <c r="T419" s="419"/>
      <c r="U419" s="391">
        <v>0</v>
      </c>
      <c r="V419" s="129" t="s">
        <v>749</v>
      </c>
      <c r="W419" s="132" t="s">
        <v>749</v>
      </c>
      <c r="X419" s="427">
        <v>0</v>
      </c>
      <c r="Y419" s="410">
        <v>1</v>
      </c>
      <c r="Z419" s="396">
        <v>0</v>
      </c>
      <c r="AA419" s="810">
        <v>184.65641025641025</v>
      </c>
      <c r="AB419" s="396">
        <v>6</v>
      </c>
      <c r="AC419" s="410">
        <v>0</v>
      </c>
      <c r="AD419" s="29">
        <v>0</v>
      </c>
      <c r="AE419" s="396">
        <v>0</v>
      </c>
      <c r="AF419" s="441" t="s">
        <v>2303</v>
      </c>
    </row>
    <row r="420" spans="1:33" ht="27.6" customHeight="1">
      <c r="A420" s="346" t="s">
        <v>1759</v>
      </c>
      <c r="B420" s="182">
        <v>17</v>
      </c>
      <c r="C420" s="346" t="s">
        <v>1761</v>
      </c>
      <c r="D420" s="183" t="s">
        <v>174</v>
      </c>
      <c r="E420" s="182" t="s">
        <v>584</v>
      </c>
      <c r="F420" s="350">
        <v>44873</v>
      </c>
      <c r="G420" s="364" t="s">
        <v>2298</v>
      </c>
      <c r="H420" s="132" t="s">
        <v>1905</v>
      </c>
      <c r="I420" s="431">
        <v>15</v>
      </c>
      <c r="J420" s="390" t="s">
        <v>1711</v>
      </c>
      <c r="K420" s="390">
        <v>30</v>
      </c>
      <c r="L420" s="390" t="e">
        <v>#VALUE!</v>
      </c>
      <c r="M420" s="372">
        <v>100</v>
      </c>
      <c r="N420" s="372">
        <v>100</v>
      </c>
      <c r="O420" s="338">
        <v>97.5</v>
      </c>
      <c r="P420" s="338">
        <v>100</v>
      </c>
      <c r="Q420" s="183" t="s">
        <v>1707</v>
      </c>
      <c r="R420" s="338">
        <v>0</v>
      </c>
      <c r="S420" s="767"/>
      <c r="T420" s="419"/>
      <c r="U420" s="391">
        <v>0</v>
      </c>
      <c r="V420" s="129" t="s">
        <v>749</v>
      </c>
      <c r="W420" s="132" t="s">
        <v>749</v>
      </c>
      <c r="X420" s="427">
        <v>0</v>
      </c>
      <c r="Y420" s="410">
        <v>1</v>
      </c>
      <c r="Z420" s="396">
        <v>0</v>
      </c>
      <c r="AA420" s="810">
        <v>86.02507122507123</v>
      </c>
      <c r="AB420" s="396">
        <v>6</v>
      </c>
      <c r="AC420" s="410">
        <v>0</v>
      </c>
      <c r="AD420" s="29">
        <v>0</v>
      </c>
      <c r="AE420" s="396">
        <v>0</v>
      </c>
      <c r="AF420" s="441" t="s">
        <v>2303</v>
      </c>
    </row>
    <row r="421" spans="1:33" s="285" customFormat="1" ht="27.6" customHeight="1">
      <c r="A421" s="455" t="s">
        <v>1759</v>
      </c>
      <c r="B421" s="179">
        <v>17</v>
      </c>
      <c r="C421" s="455" t="s">
        <v>2302</v>
      </c>
      <c r="D421" s="180">
        <v>129</v>
      </c>
      <c r="E421" s="179" t="s">
        <v>568</v>
      </c>
      <c r="F421" s="458">
        <v>44873</v>
      </c>
      <c r="G421" s="459" t="s">
        <v>2298</v>
      </c>
      <c r="H421" s="141" t="s">
        <v>1905</v>
      </c>
      <c r="I421" s="464">
        <v>15</v>
      </c>
      <c r="J421" s="389">
        <v>40</v>
      </c>
      <c r="K421" s="389">
        <v>90</v>
      </c>
      <c r="L421" s="389">
        <v>-50</v>
      </c>
      <c r="M421" s="509">
        <v>100</v>
      </c>
      <c r="N421" s="509">
        <v>0</v>
      </c>
      <c r="O421" s="461">
        <v>60</v>
      </c>
      <c r="P421" s="461"/>
      <c r="Q421" s="180" t="s">
        <v>1886</v>
      </c>
      <c r="R421" s="87"/>
      <c r="S421" s="796"/>
      <c r="T421" s="619"/>
      <c r="U421" s="462">
        <v>0</v>
      </c>
      <c r="V421" s="138" t="s">
        <v>749</v>
      </c>
      <c r="W421" s="141" t="s">
        <v>749</v>
      </c>
      <c r="X421" s="472">
        <v>0</v>
      </c>
      <c r="Y421" s="463">
        <v>1</v>
      </c>
      <c r="Z421" s="460">
        <v>0</v>
      </c>
      <c r="AA421" s="816">
        <v>89.490265486725647</v>
      </c>
      <c r="AB421" s="460">
        <v>6</v>
      </c>
      <c r="AC421" s="463">
        <v>0</v>
      </c>
      <c r="AD421" s="87">
        <v>0</v>
      </c>
      <c r="AE421" s="460">
        <v>0</v>
      </c>
      <c r="AF421" s="620" t="s">
        <v>1804</v>
      </c>
      <c r="AG421" s="306"/>
    </row>
    <row r="422" spans="1:33" s="285" customFormat="1" ht="27.6" customHeight="1">
      <c r="A422" s="346" t="s">
        <v>1759</v>
      </c>
      <c r="B422" s="182">
        <v>17</v>
      </c>
      <c r="C422" s="346" t="s">
        <v>2302</v>
      </c>
      <c r="D422" s="183">
        <v>130</v>
      </c>
      <c r="E422" s="182" t="s">
        <v>570</v>
      </c>
      <c r="F422" s="350">
        <v>44873</v>
      </c>
      <c r="G422" s="364" t="s">
        <v>2298</v>
      </c>
      <c r="H422" s="132" t="s">
        <v>1905</v>
      </c>
      <c r="I422" s="431">
        <v>15</v>
      </c>
      <c r="J422" s="390">
        <v>60</v>
      </c>
      <c r="K422" s="390">
        <v>60</v>
      </c>
      <c r="L422" s="389">
        <v>0</v>
      </c>
      <c r="M422" s="372">
        <v>75</v>
      </c>
      <c r="N422" s="372">
        <v>70</v>
      </c>
      <c r="O422" s="338">
        <v>21</v>
      </c>
      <c r="P422" s="338">
        <v>6.5</v>
      </c>
      <c r="Q422" s="183" t="s">
        <v>1707</v>
      </c>
      <c r="R422" s="338" t="s">
        <v>1957</v>
      </c>
      <c r="S422" s="767"/>
      <c r="T422" s="419">
        <v>40.5</v>
      </c>
      <c r="U422" s="391">
        <v>0</v>
      </c>
      <c r="V422" s="129" t="s">
        <v>749</v>
      </c>
      <c r="W422" s="132" t="s">
        <v>749</v>
      </c>
      <c r="X422" s="427">
        <v>0</v>
      </c>
      <c r="Y422" s="410">
        <v>2</v>
      </c>
      <c r="Z422" s="396">
        <v>1</v>
      </c>
      <c r="AA422" s="810"/>
      <c r="AB422" s="396"/>
      <c r="AC422" s="410">
        <v>0</v>
      </c>
      <c r="AD422" s="29">
        <v>0</v>
      </c>
      <c r="AE422" s="396">
        <v>29</v>
      </c>
      <c r="AF422" s="441" t="s">
        <v>2299</v>
      </c>
      <c r="AG422" s="306"/>
    </row>
    <row r="423" spans="1:33" ht="27.6" customHeight="1">
      <c r="A423" s="455" t="s">
        <v>1759</v>
      </c>
      <c r="B423" s="179">
        <v>17</v>
      </c>
      <c r="C423" s="455" t="s">
        <v>2302</v>
      </c>
      <c r="D423" s="180">
        <v>131</v>
      </c>
      <c r="E423" s="179" t="s">
        <v>571</v>
      </c>
      <c r="F423" s="458">
        <v>44873</v>
      </c>
      <c r="G423" s="459" t="s">
        <v>2298</v>
      </c>
      <c r="H423" s="141" t="s">
        <v>1905</v>
      </c>
      <c r="I423" s="464">
        <v>15</v>
      </c>
      <c r="J423" s="389">
        <v>10</v>
      </c>
      <c r="K423" s="389">
        <v>20</v>
      </c>
      <c r="L423" s="389">
        <v>-10</v>
      </c>
      <c r="M423" s="509">
        <v>100</v>
      </c>
      <c r="N423" s="509">
        <v>0</v>
      </c>
      <c r="O423" s="461">
        <v>3.5</v>
      </c>
      <c r="P423" s="461"/>
      <c r="Q423" s="180" t="s">
        <v>1887</v>
      </c>
      <c r="R423" s="87"/>
      <c r="S423" s="796"/>
      <c r="T423" s="619"/>
      <c r="U423" s="462">
        <v>0</v>
      </c>
      <c r="V423" s="138" t="s">
        <v>749</v>
      </c>
      <c r="W423" s="141" t="s">
        <v>749</v>
      </c>
      <c r="X423" s="472">
        <v>0</v>
      </c>
      <c r="Y423" s="463">
        <v>1</v>
      </c>
      <c r="Z423" s="460">
        <v>0</v>
      </c>
      <c r="AA423" s="816"/>
      <c r="AB423" s="460"/>
      <c r="AC423" s="463">
        <v>0</v>
      </c>
      <c r="AD423" s="87">
        <v>0</v>
      </c>
      <c r="AE423" s="460">
        <v>0</v>
      </c>
      <c r="AF423" s="620" t="s">
        <v>1804</v>
      </c>
    </row>
    <row r="424" spans="1:33" s="285" customFormat="1" ht="27.6" customHeight="1">
      <c r="A424" s="346" t="s">
        <v>1759</v>
      </c>
      <c r="B424" s="182">
        <v>17</v>
      </c>
      <c r="C424" s="346" t="s">
        <v>2302</v>
      </c>
      <c r="D424" s="183">
        <v>132</v>
      </c>
      <c r="E424" s="182" t="s">
        <v>573</v>
      </c>
      <c r="F424" s="350">
        <v>44873</v>
      </c>
      <c r="G424" s="364" t="s">
        <v>2298</v>
      </c>
      <c r="H424" s="132" t="s">
        <v>1905</v>
      </c>
      <c r="I424" s="431">
        <v>15</v>
      </c>
      <c r="J424" s="390">
        <v>10</v>
      </c>
      <c r="K424" s="390">
        <v>20</v>
      </c>
      <c r="L424" s="389">
        <v>-10</v>
      </c>
      <c r="M424" s="372">
        <v>85</v>
      </c>
      <c r="N424" s="372">
        <v>85</v>
      </c>
      <c r="O424" s="338">
        <v>17.5</v>
      </c>
      <c r="P424" s="338">
        <v>20</v>
      </c>
      <c r="Q424" s="183" t="s">
        <v>1707</v>
      </c>
      <c r="R424" s="338" t="s">
        <v>1987</v>
      </c>
      <c r="S424" s="767"/>
      <c r="T424" s="419">
        <v>29</v>
      </c>
      <c r="U424" s="391">
        <v>0</v>
      </c>
      <c r="V424" s="26" t="s">
        <v>749</v>
      </c>
      <c r="W424" s="132"/>
      <c r="X424" s="396">
        <v>0</v>
      </c>
      <c r="Y424" s="410">
        <v>2</v>
      </c>
      <c r="Z424" s="396">
        <v>1</v>
      </c>
      <c r="AA424" s="810">
        <v>26.060689655172411</v>
      </c>
      <c r="AB424" s="396" t="s">
        <v>1738</v>
      </c>
      <c r="AC424" s="410">
        <v>1</v>
      </c>
      <c r="AD424" s="29">
        <v>0</v>
      </c>
      <c r="AE424" s="396">
        <v>1</v>
      </c>
      <c r="AF424" s="441" t="s">
        <v>2299</v>
      </c>
    </row>
    <row r="425" spans="1:33" s="285" customFormat="1" ht="27.6" customHeight="1">
      <c r="A425" s="455" t="s">
        <v>1759</v>
      </c>
      <c r="B425" s="179">
        <v>17</v>
      </c>
      <c r="C425" s="455" t="s">
        <v>2302</v>
      </c>
      <c r="D425" s="180">
        <v>133</v>
      </c>
      <c r="E425" s="179" t="s">
        <v>574</v>
      </c>
      <c r="F425" s="458">
        <v>44872</v>
      </c>
      <c r="G425" s="459" t="s">
        <v>2298</v>
      </c>
      <c r="H425" s="141" t="s">
        <v>1905</v>
      </c>
      <c r="I425" s="464">
        <v>15</v>
      </c>
      <c r="J425" s="389">
        <v>50</v>
      </c>
      <c r="K425" s="389">
        <v>50</v>
      </c>
      <c r="L425" s="389">
        <v>0</v>
      </c>
      <c r="M425" s="509">
        <v>85</v>
      </c>
      <c r="N425" s="509">
        <v>87.5</v>
      </c>
      <c r="O425" s="461">
        <v>7.5</v>
      </c>
      <c r="P425" s="461">
        <v>15</v>
      </c>
      <c r="Q425" s="180" t="s">
        <v>1707</v>
      </c>
      <c r="R425" s="461" t="s">
        <v>1955</v>
      </c>
      <c r="S425" s="794"/>
      <c r="T425" s="471">
        <v>28.888888888888889</v>
      </c>
      <c r="U425" s="462">
        <v>0</v>
      </c>
      <c r="V425" s="138" t="s">
        <v>749</v>
      </c>
      <c r="W425" s="141" t="s">
        <v>749</v>
      </c>
      <c r="X425" s="472">
        <v>0</v>
      </c>
      <c r="Y425" s="463">
        <v>2</v>
      </c>
      <c r="Z425" s="460">
        <v>1</v>
      </c>
      <c r="AA425" s="816"/>
      <c r="AB425" s="460"/>
      <c r="AC425" s="463">
        <v>0</v>
      </c>
      <c r="AD425" s="87">
        <v>2</v>
      </c>
      <c r="AE425" s="460">
        <v>32</v>
      </c>
      <c r="AF425" s="513" t="s">
        <v>2299</v>
      </c>
      <c r="AG425" s="306"/>
    </row>
    <row r="426" spans="1:33" ht="27.6" customHeight="1">
      <c r="A426" s="346" t="s">
        <v>1759</v>
      </c>
      <c r="B426" s="182">
        <v>17</v>
      </c>
      <c r="C426" s="346" t="s">
        <v>2302</v>
      </c>
      <c r="D426" s="183">
        <v>134</v>
      </c>
      <c r="E426" s="182" t="s">
        <v>575</v>
      </c>
      <c r="F426" s="350">
        <v>44872</v>
      </c>
      <c r="G426" s="364" t="s">
        <v>2298</v>
      </c>
      <c r="H426" s="132" t="s">
        <v>1905</v>
      </c>
      <c r="I426" s="431">
        <v>15</v>
      </c>
      <c r="J426" s="390">
        <v>40</v>
      </c>
      <c r="K426" s="390">
        <v>40</v>
      </c>
      <c r="L426" s="389">
        <v>0</v>
      </c>
      <c r="M426" s="372">
        <v>100</v>
      </c>
      <c r="N426" s="372">
        <v>0</v>
      </c>
      <c r="O426" s="338">
        <v>2</v>
      </c>
      <c r="P426" s="338"/>
      <c r="Q426" s="183" t="s">
        <v>1887</v>
      </c>
      <c r="R426" s="29"/>
      <c r="S426" s="159"/>
      <c r="T426" s="420"/>
      <c r="U426" s="391">
        <v>0</v>
      </c>
      <c r="V426" s="129" t="s">
        <v>749</v>
      </c>
      <c r="W426" s="132" t="s">
        <v>749</v>
      </c>
      <c r="X426" s="427">
        <v>0</v>
      </c>
      <c r="Y426" s="410">
        <v>1</v>
      </c>
      <c r="Z426" s="396">
        <v>0</v>
      </c>
      <c r="AA426" s="810"/>
      <c r="AB426" s="396"/>
      <c r="AC426" s="410">
        <v>0</v>
      </c>
      <c r="AD426" s="29">
        <v>0</v>
      </c>
      <c r="AE426" s="396">
        <v>0</v>
      </c>
      <c r="AF426" s="442" t="s">
        <v>1804</v>
      </c>
      <c r="AG426" s="285"/>
    </row>
    <row r="427" spans="1:33" ht="27.6" customHeight="1">
      <c r="A427" s="346" t="s">
        <v>1759</v>
      </c>
      <c r="B427" s="182">
        <v>17</v>
      </c>
      <c r="C427" s="346" t="s">
        <v>2302</v>
      </c>
      <c r="D427" s="183">
        <v>135</v>
      </c>
      <c r="E427" s="182" t="s">
        <v>576</v>
      </c>
      <c r="F427" s="350">
        <v>44872</v>
      </c>
      <c r="G427" s="364" t="s">
        <v>2298</v>
      </c>
      <c r="H427" s="132" t="s">
        <v>1905</v>
      </c>
      <c r="I427" s="431">
        <v>15</v>
      </c>
      <c r="J427" s="390">
        <v>60</v>
      </c>
      <c r="K427" s="390">
        <v>50</v>
      </c>
      <c r="L427" s="389">
        <v>10</v>
      </c>
      <c r="M427" s="372">
        <v>90</v>
      </c>
      <c r="N427" s="372">
        <v>100</v>
      </c>
      <c r="O427" s="338">
        <v>17.5</v>
      </c>
      <c r="P427" s="338">
        <v>35</v>
      </c>
      <c r="Q427" s="183" t="s">
        <v>1707</v>
      </c>
      <c r="R427" s="338" t="s">
        <v>1997</v>
      </c>
      <c r="S427" s="767"/>
      <c r="T427" s="419">
        <v>18.75</v>
      </c>
      <c r="U427" s="391">
        <v>0</v>
      </c>
      <c r="V427" s="129" t="s">
        <v>749</v>
      </c>
      <c r="W427" s="132" t="s">
        <v>749</v>
      </c>
      <c r="X427" s="427">
        <v>0</v>
      </c>
      <c r="Y427" s="410">
        <v>2</v>
      </c>
      <c r="Z427" s="396">
        <v>1</v>
      </c>
      <c r="AA427" s="810"/>
      <c r="AB427" s="396"/>
      <c r="AC427" s="410">
        <v>2</v>
      </c>
      <c r="AD427" s="29">
        <v>0</v>
      </c>
      <c r="AE427" s="396">
        <v>3</v>
      </c>
      <c r="AF427" s="441" t="s">
        <v>2299</v>
      </c>
    </row>
    <row r="428" spans="1:33" ht="27.6" customHeight="1">
      <c r="A428" s="346" t="s">
        <v>1759</v>
      </c>
      <c r="B428" s="182">
        <v>17</v>
      </c>
      <c r="C428" s="346" t="s">
        <v>2302</v>
      </c>
      <c r="D428" s="183">
        <v>136</v>
      </c>
      <c r="E428" s="182" t="s">
        <v>577</v>
      </c>
      <c r="F428" s="350">
        <v>44872</v>
      </c>
      <c r="G428" s="364" t="s">
        <v>2298</v>
      </c>
      <c r="H428" s="132" t="s">
        <v>1905</v>
      </c>
      <c r="I428" s="431">
        <v>15</v>
      </c>
      <c r="J428" s="390">
        <v>40</v>
      </c>
      <c r="K428" s="390">
        <v>40</v>
      </c>
      <c r="L428" s="389">
        <v>0</v>
      </c>
      <c r="M428" s="372">
        <v>90</v>
      </c>
      <c r="N428" s="372">
        <v>95</v>
      </c>
      <c r="O428" s="338">
        <v>17.5</v>
      </c>
      <c r="P428" s="338">
        <v>60</v>
      </c>
      <c r="Q428" s="183" t="s">
        <v>1707</v>
      </c>
      <c r="R428" s="338" t="s">
        <v>1960</v>
      </c>
      <c r="S428" s="767"/>
      <c r="T428" s="419">
        <v>60</v>
      </c>
      <c r="U428" s="391">
        <v>0</v>
      </c>
      <c r="V428" s="26" t="s">
        <v>749</v>
      </c>
      <c r="W428" s="132"/>
      <c r="X428" s="396">
        <v>0</v>
      </c>
      <c r="Y428" s="410">
        <v>2</v>
      </c>
      <c r="Z428" s="396">
        <v>1</v>
      </c>
      <c r="AA428" s="810"/>
      <c r="AB428" s="396"/>
      <c r="AC428" s="410">
        <v>0</v>
      </c>
      <c r="AD428" s="29">
        <v>0</v>
      </c>
      <c r="AE428" s="396">
        <v>14</v>
      </c>
      <c r="AF428" s="441" t="s">
        <v>2299</v>
      </c>
    </row>
    <row r="429" spans="1:33" ht="27.6" customHeight="1">
      <c r="A429" s="346" t="s">
        <v>1759</v>
      </c>
      <c r="B429" s="182">
        <v>17</v>
      </c>
      <c r="C429" s="346" t="s">
        <v>2302</v>
      </c>
      <c r="D429" s="183">
        <v>137</v>
      </c>
      <c r="E429" s="182" t="s">
        <v>578</v>
      </c>
      <c r="F429" s="350">
        <v>44872</v>
      </c>
      <c r="G429" s="364" t="s">
        <v>2298</v>
      </c>
      <c r="H429" s="132" t="s">
        <v>1905</v>
      </c>
      <c r="I429" s="431">
        <v>15</v>
      </c>
      <c r="J429" s="390">
        <v>20</v>
      </c>
      <c r="K429" s="390">
        <v>10</v>
      </c>
      <c r="L429" s="389">
        <v>10</v>
      </c>
      <c r="M429" s="372">
        <v>92.5</v>
      </c>
      <c r="N429" s="372">
        <v>90</v>
      </c>
      <c r="O429" s="338">
        <v>20</v>
      </c>
      <c r="P429" s="338">
        <v>30</v>
      </c>
      <c r="Q429" s="183" t="s">
        <v>1707</v>
      </c>
      <c r="R429" s="338" t="s">
        <v>1952</v>
      </c>
      <c r="S429" s="767"/>
      <c r="T429" s="419">
        <v>27</v>
      </c>
      <c r="U429" s="391">
        <v>0</v>
      </c>
      <c r="V429" s="129" t="s">
        <v>749</v>
      </c>
      <c r="W429" s="132" t="s">
        <v>749</v>
      </c>
      <c r="X429" s="427">
        <v>0</v>
      </c>
      <c r="Y429" s="410">
        <v>2</v>
      </c>
      <c r="Z429" s="396">
        <v>1</v>
      </c>
      <c r="AA429" s="810"/>
      <c r="AB429" s="396"/>
      <c r="AC429" s="410">
        <v>0</v>
      </c>
      <c r="AD429" s="29">
        <v>0</v>
      </c>
      <c r="AE429" s="396">
        <v>10</v>
      </c>
      <c r="AF429" s="441" t="s">
        <v>2299</v>
      </c>
      <c r="AG429" s="285"/>
    </row>
    <row r="430" spans="1:33" ht="27.6" customHeight="1">
      <c r="A430" s="346" t="s">
        <v>1759</v>
      </c>
      <c r="B430" s="182">
        <v>17</v>
      </c>
      <c r="C430" s="346" t="s">
        <v>2302</v>
      </c>
      <c r="D430" s="183">
        <v>138</v>
      </c>
      <c r="E430" s="182" t="s">
        <v>579</v>
      </c>
      <c r="F430" s="350">
        <v>44873</v>
      </c>
      <c r="G430" s="364" t="s">
        <v>2298</v>
      </c>
      <c r="H430" s="132" t="s">
        <v>1905</v>
      </c>
      <c r="I430" s="431">
        <v>15</v>
      </c>
      <c r="J430" s="390">
        <v>20</v>
      </c>
      <c r="K430" s="390">
        <v>40</v>
      </c>
      <c r="L430" s="389">
        <v>-20</v>
      </c>
      <c r="M430" s="372">
        <v>95</v>
      </c>
      <c r="N430" s="372">
        <v>100</v>
      </c>
      <c r="O430" s="338">
        <v>40</v>
      </c>
      <c r="P430" s="338">
        <v>77.5</v>
      </c>
      <c r="Q430" s="183" t="s">
        <v>1707</v>
      </c>
      <c r="R430" s="338" t="s">
        <v>1973</v>
      </c>
      <c r="S430" s="767"/>
      <c r="T430" s="419">
        <v>34</v>
      </c>
      <c r="U430" s="391">
        <v>0</v>
      </c>
      <c r="V430" s="129" t="s">
        <v>749</v>
      </c>
      <c r="W430" s="132" t="s">
        <v>749</v>
      </c>
      <c r="X430" s="427">
        <v>0</v>
      </c>
      <c r="Y430" s="410">
        <v>2</v>
      </c>
      <c r="Z430" s="396">
        <v>1</v>
      </c>
      <c r="AA430" s="810">
        <v>24.603934426229507</v>
      </c>
      <c r="AB430" s="396" t="s">
        <v>1738</v>
      </c>
      <c r="AC430" s="410">
        <v>0</v>
      </c>
      <c r="AD430" s="29">
        <v>0</v>
      </c>
      <c r="AE430" s="396">
        <v>0</v>
      </c>
      <c r="AF430" s="441" t="s">
        <v>2299</v>
      </c>
      <c r="AG430" s="285"/>
    </row>
    <row r="431" spans="1:33" ht="27.6" customHeight="1">
      <c r="A431" s="346" t="s">
        <v>1759</v>
      </c>
      <c r="B431" s="182">
        <v>17</v>
      </c>
      <c r="C431" s="346" t="s">
        <v>2302</v>
      </c>
      <c r="D431" s="183">
        <v>139</v>
      </c>
      <c r="E431" s="182" t="s">
        <v>580</v>
      </c>
      <c r="F431" s="350">
        <v>44873</v>
      </c>
      <c r="G431" s="364" t="s">
        <v>2298</v>
      </c>
      <c r="H431" s="132" t="s">
        <v>1905</v>
      </c>
      <c r="I431" s="431">
        <v>15</v>
      </c>
      <c r="J431" s="390">
        <v>20</v>
      </c>
      <c r="K431" s="390">
        <v>20</v>
      </c>
      <c r="L431" s="389">
        <v>0</v>
      </c>
      <c r="M431" s="372">
        <v>90</v>
      </c>
      <c r="N431" s="372">
        <v>90</v>
      </c>
      <c r="O431" s="338">
        <v>42.5</v>
      </c>
      <c r="P431" s="338">
        <v>45</v>
      </c>
      <c r="Q431" s="183" t="s">
        <v>1707</v>
      </c>
      <c r="R431" s="338" t="s">
        <v>1998</v>
      </c>
      <c r="S431" s="767"/>
      <c r="T431" s="419">
        <v>49</v>
      </c>
      <c r="U431" s="391">
        <v>0</v>
      </c>
      <c r="V431" s="129" t="s">
        <v>749</v>
      </c>
      <c r="W431" s="132" t="s">
        <v>749</v>
      </c>
      <c r="X431" s="427">
        <v>0</v>
      </c>
      <c r="Y431" s="410">
        <v>2</v>
      </c>
      <c r="Z431" s="396">
        <v>1</v>
      </c>
      <c r="AA431" s="810"/>
      <c r="AB431" s="396"/>
      <c r="AC431" s="410">
        <v>2</v>
      </c>
      <c r="AD431" s="29">
        <v>0</v>
      </c>
      <c r="AE431" s="396">
        <v>19</v>
      </c>
      <c r="AF431" s="441" t="s">
        <v>2299</v>
      </c>
      <c r="AG431" s="285"/>
    </row>
    <row r="432" spans="1:33" s="285" customFormat="1" ht="27.6" customHeight="1">
      <c r="A432" s="346" t="s">
        <v>1759</v>
      </c>
      <c r="B432" s="182">
        <v>17</v>
      </c>
      <c r="C432" s="346" t="s">
        <v>2302</v>
      </c>
      <c r="D432" s="183">
        <v>141</v>
      </c>
      <c r="E432" s="182" t="s">
        <v>2304</v>
      </c>
      <c r="F432" s="350">
        <v>44874</v>
      </c>
      <c r="G432" s="364" t="s">
        <v>2298</v>
      </c>
      <c r="H432" s="132" t="s">
        <v>1905</v>
      </c>
      <c r="I432" s="431">
        <v>15</v>
      </c>
      <c r="J432" s="390">
        <v>50</v>
      </c>
      <c r="K432" s="390">
        <v>70</v>
      </c>
      <c r="L432" s="389">
        <v>-20</v>
      </c>
      <c r="M432" s="372">
        <v>82.5</v>
      </c>
      <c r="N432" s="372">
        <v>82.5</v>
      </c>
      <c r="O432" s="338">
        <v>35</v>
      </c>
      <c r="P432" s="338">
        <v>37.5</v>
      </c>
      <c r="Q432" s="314" t="s">
        <v>1707</v>
      </c>
      <c r="R432" s="338" t="s">
        <v>1999</v>
      </c>
      <c r="S432" s="767"/>
      <c r="T432" s="419">
        <v>75</v>
      </c>
      <c r="U432" s="391">
        <v>0</v>
      </c>
      <c r="V432" s="129" t="s">
        <v>749</v>
      </c>
      <c r="W432" s="132" t="s">
        <v>749</v>
      </c>
      <c r="X432" s="427">
        <v>0</v>
      </c>
      <c r="Y432" s="410">
        <v>2</v>
      </c>
      <c r="Z432" s="396">
        <v>1</v>
      </c>
      <c r="AA432" s="810"/>
      <c r="AB432" s="396"/>
      <c r="AC432" s="410">
        <v>7</v>
      </c>
      <c r="AD432" s="29">
        <v>0</v>
      </c>
      <c r="AE432" s="396">
        <v>16</v>
      </c>
      <c r="AF432" s="441" t="s">
        <v>2299</v>
      </c>
      <c r="AG432" s="306"/>
    </row>
    <row r="433" spans="1:32" ht="27.6" customHeight="1" thickBot="1">
      <c r="A433" s="466" t="s">
        <v>1759</v>
      </c>
      <c r="B433" s="192">
        <v>17</v>
      </c>
      <c r="C433" s="466" t="s">
        <v>2302</v>
      </c>
      <c r="D433" s="193">
        <v>142</v>
      </c>
      <c r="E433" s="192" t="s">
        <v>2305</v>
      </c>
      <c r="F433" s="478">
        <v>44874</v>
      </c>
      <c r="G433" s="543" t="s">
        <v>2298</v>
      </c>
      <c r="H433" s="583" t="s">
        <v>1905</v>
      </c>
      <c r="I433" s="503">
        <v>15</v>
      </c>
      <c r="J433" s="497">
        <v>40</v>
      </c>
      <c r="K433" s="497">
        <v>70</v>
      </c>
      <c r="L433" s="497">
        <v>-30</v>
      </c>
      <c r="M433" s="499">
        <v>90</v>
      </c>
      <c r="N433" s="499">
        <v>87.5</v>
      </c>
      <c r="O433" s="482">
        <v>40</v>
      </c>
      <c r="P433" s="482">
        <v>47.5</v>
      </c>
      <c r="Q433" s="530" t="s">
        <v>1942</v>
      </c>
      <c r="R433" s="482" t="s">
        <v>1972</v>
      </c>
      <c r="S433" s="795"/>
      <c r="T433" s="483">
        <v>47.5</v>
      </c>
      <c r="U433" s="484">
        <v>0</v>
      </c>
      <c r="V433" s="594" t="s">
        <v>749</v>
      </c>
      <c r="W433" s="583" t="s">
        <v>749</v>
      </c>
      <c r="X433" s="485">
        <v>0</v>
      </c>
      <c r="Y433" s="486">
        <v>2</v>
      </c>
      <c r="Z433" s="487">
        <v>1</v>
      </c>
      <c r="AA433" s="811"/>
      <c r="AB433" s="487"/>
      <c r="AC433" s="486">
        <v>1</v>
      </c>
      <c r="AD433" s="75">
        <v>0</v>
      </c>
      <c r="AE433" s="487">
        <v>31</v>
      </c>
      <c r="AF433" s="504" t="s">
        <v>2299</v>
      </c>
    </row>
    <row r="434" spans="1:32" ht="27" customHeight="1" thickTop="1">
      <c r="A434" s="382" t="s">
        <v>2306</v>
      </c>
      <c r="B434" s="383">
        <v>18</v>
      </c>
      <c r="C434" s="382" t="s">
        <v>2307</v>
      </c>
      <c r="D434" s="456">
        <v>1</v>
      </c>
      <c r="E434" s="470" t="s">
        <v>2308</v>
      </c>
      <c r="F434" s="537">
        <v>44903</v>
      </c>
      <c r="G434" s="538" t="s">
        <v>2309</v>
      </c>
      <c r="H434" s="308" t="s">
        <v>1713</v>
      </c>
      <c r="I434" s="394">
        <v>15</v>
      </c>
      <c r="J434" s="389">
        <v>60</v>
      </c>
      <c r="K434" s="389">
        <v>50</v>
      </c>
      <c r="L434" s="389">
        <v>10</v>
      </c>
      <c r="M434" s="539" t="s">
        <v>1750</v>
      </c>
      <c r="N434" s="539">
        <v>0</v>
      </c>
      <c r="O434" s="539">
        <v>0</v>
      </c>
      <c r="P434" s="539">
        <v>0</v>
      </c>
      <c r="Q434" s="180" t="s">
        <v>1707</v>
      </c>
      <c r="R434" s="539">
        <v>0</v>
      </c>
      <c r="S434" s="787"/>
      <c r="T434" s="540" t="s">
        <v>2000</v>
      </c>
      <c r="U434" s="541">
        <v>0</v>
      </c>
      <c r="V434" s="138" t="s">
        <v>749</v>
      </c>
      <c r="W434" s="141" t="s">
        <v>749</v>
      </c>
      <c r="X434" s="472">
        <v>0</v>
      </c>
      <c r="Y434" s="408">
        <v>1</v>
      </c>
      <c r="Z434" s="542">
        <v>0</v>
      </c>
      <c r="AA434" s="541"/>
      <c r="AB434" s="473"/>
      <c r="AC434" s="684">
        <v>1</v>
      </c>
      <c r="AD434" s="685">
        <v>0</v>
      </c>
      <c r="AE434" s="554">
        <v>1</v>
      </c>
      <c r="AF434" s="513" t="s">
        <v>2284</v>
      </c>
    </row>
    <row r="435" spans="1:32" ht="27" customHeight="1">
      <c r="A435" s="331" t="s">
        <v>2306</v>
      </c>
      <c r="B435" s="332">
        <v>18</v>
      </c>
      <c r="C435" s="331" t="s">
        <v>2307</v>
      </c>
      <c r="D435" s="340">
        <v>2</v>
      </c>
      <c r="E435" s="341" t="s">
        <v>2310</v>
      </c>
      <c r="F435" s="344">
        <v>44903</v>
      </c>
      <c r="G435" s="365" t="s">
        <v>2309</v>
      </c>
      <c r="H435" s="314" t="s">
        <v>1905</v>
      </c>
      <c r="I435" s="395">
        <v>15</v>
      </c>
      <c r="J435" s="390">
        <v>60</v>
      </c>
      <c r="K435" s="390">
        <v>60</v>
      </c>
      <c r="L435" s="389">
        <v>0</v>
      </c>
      <c r="M435" s="358" t="s">
        <v>1750</v>
      </c>
      <c r="N435" s="358" t="s">
        <v>1750</v>
      </c>
      <c r="O435" s="358">
        <v>0</v>
      </c>
      <c r="P435" s="358">
        <v>0</v>
      </c>
      <c r="Q435" s="183" t="s">
        <v>1707</v>
      </c>
      <c r="R435" s="358">
        <v>0</v>
      </c>
      <c r="S435" s="788"/>
      <c r="T435" s="421" t="s">
        <v>2001</v>
      </c>
      <c r="U435" s="404">
        <v>0</v>
      </c>
      <c r="V435" s="129" t="s">
        <v>749</v>
      </c>
      <c r="W435" s="132" t="s">
        <v>749</v>
      </c>
      <c r="X435" s="427">
        <v>0</v>
      </c>
      <c r="Y435" s="409">
        <v>1</v>
      </c>
      <c r="Z435" s="437">
        <v>0</v>
      </c>
      <c r="AA435" s="404"/>
      <c r="AB435" s="429"/>
      <c r="AC435" s="686">
        <v>2</v>
      </c>
      <c r="AD435" s="687">
        <v>2</v>
      </c>
      <c r="AE435" s="438">
        <v>4</v>
      </c>
      <c r="AF435" s="441" t="s">
        <v>2284</v>
      </c>
    </row>
    <row r="436" spans="1:32" ht="27" customHeight="1">
      <c r="A436" s="331" t="s">
        <v>2306</v>
      </c>
      <c r="B436" s="332">
        <v>18</v>
      </c>
      <c r="C436" s="331" t="s">
        <v>2307</v>
      </c>
      <c r="D436" s="340">
        <v>3</v>
      </c>
      <c r="E436" s="341" t="s">
        <v>2311</v>
      </c>
      <c r="F436" s="344">
        <v>44903</v>
      </c>
      <c r="G436" s="365" t="s">
        <v>2309</v>
      </c>
      <c r="H436" s="314" t="s">
        <v>1905</v>
      </c>
      <c r="I436" s="395">
        <v>15</v>
      </c>
      <c r="J436" s="390">
        <v>60</v>
      </c>
      <c r="K436" s="390">
        <v>70</v>
      </c>
      <c r="L436" s="389">
        <v>-10</v>
      </c>
      <c r="M436" s="358">
        <v>0</v>
      </c>
      <c r="N436" s="358">
        <v>0</v>
      </c>
      <c r="O436" s="358">
        <v>0</v>
      </c>
      <c r="P436" s="358">
        <v>0</v>
      </c>
      <c r="Q436" s="183" t="s">
        <v>1707</v>
      </c>
      <c r="R436" s="358">
        <v>0</v>
      </c>
      <c r="S436" s="788"/>
      <c r="T436" s="421" t="s">
        <v>2002</v>
      </c>
      <c r="U436" s="404">
        <v>0</v>
      </c>
      <c r="V436" s="129" t="s">
        <v>749</v>
      </c>
      <c r="W436" s="132" t="s">
        <v>749</v>
      </c>
      <c r="X436" s="427">
        <v>0</v>
      </c>
      <c r="Y436" s="409">
        <v>1</v>
      </c>
      <c r="Z436" s="437">
        <v>0</v>
      </c>
      <c r="AA436" s="404"/>
      <c r="AB436" s="429"/>
      <c r="AC436" s="686">
        <v>3</v>
      </c>
      <c r="AD436" s="687">
        <v>3</v>
      </c>
      <c r="AE436" s="438">
        <v>2</v>
      </c>
      <c r="AF436" s="441" t="s">
        <v>2284</v>
      </c>
    </row>
    <row r="437" spans="1:32" ht="27" customHeight="1">
      <c r="A437" s="331" t="s">
        <v>2306</v>
      </c>
      <c r="B437" s="332">
        <v>18</v>
      </c>
      <c r="C437" s="331" t="s">
        <v>2307</v>
      </c>
      <c r="D437" s="340">
        <v>4</v>
      </c>
      <c r="E437" s="341" t="s">
        <v>2312</v>
      </c>
      <c r="F437" s="344">
        <v>44909</v>
      </c>
      <c r="G437" s="365" t="s">
        <v>2309</v>
      </c>
      <c r="H437" s="314" t="s">
        <v>1905</v>
      </c>
      <c r="I437" s="395">
        <v>15</v>
      </c>
      <c r="J437" s="390">
        <v>70</v>
      </c>
      <c r="K437" s="390">
        <v>70</v>
      </c>
      <c r="L437" s="389">
        <v>0</v>
      </c>
      <c r="M437" s="358" t="s">
        <v>1750</v>
      </c>
      <c r="N437" s="358" t="s">
        <v>1750</v>
      </c>
      <c r="O437" s="358" t="s">
        <v>1750</v>
      </c>
      <c r="P437" s="358" t="s">
        <v>1750</v>
      </c>
      <c r="Q437" s="183" t="s">
        <v>1707</v>
      </c>
      <c r="R437" s="358">
        <v>0</v>
      </c>
      <c r="S437" s="788"/>
      <c r="T437" s="421" t="s">
        <v>2003</v>
      </c>
      <c r="U437" s="404">
        <v>0</v>
      </c>
      <c r="V437" s="129" t="s">
        <v>749</v>
      </c>
      <c r="W437" s="132" t="s">
        <v>749</v>
      </c>
      <c r="X437" s="427">
        <v>0</v>
      </c>
      <c r="Y437" s="409">
        <v>1</v>
      </c>
      <c r="Z437" s="437">
        <v>0</v>
      </c>
      <c r="AA437" s="404"/>
      <c r="AB437" s="429"/>
      <c r="AC437" s="686">
        <v>2</v>
      </c>
      <c r="AD437" s="687">
        <v>0</v>
      </c>
      <c r="AE437" s="438">
        <v>0</v>
      </c>
      <c r="AF437" s="441" t="s">
        <v>2284</v>
      </c>
    </row>
    <row r="438" spans="1:32" ht="27" customHeight="1">
      <c r="A438" s="331" t="s">
        <v>2306</v>
      </c>
      <c r="B438" s="332">
        <v>18</v>
      </c>
      <c r="C438" s="331" t="s">
        <v>2307</v>
      </c>
      <c r="D438" s="340">
        <v>5</v>
      </c>
      <c r="E438" s="341" t="s">
        <v>2313</v>
      </c>
      <c r="F438" s="344">
        <v>44903</v>
      </c>
      <c r="G438" s="365" t="s">
        <v>2309</v>
      </c>
      <c r="H438" s="314" t="s">
        <v>1905</v>
      </c>
      <c r="I438" s="395">
        <v>15</v>
      </c>
      <c r="J438" s="390">
        <v>50</v>
      </c>
      <c r="K438" s="390">
        <v>60</v>
      </c>
      <c r="L438" s="389">
        <v>-10</v>
      </c>
      <c r="M438" s="358" t="s">
        <v>1750</v>
      </c>
      <c r="N438" s="358" t="s">
        <v>1750</v>
      </c>
      <c r="O438" s="358" t="s">
        <v>1750</v>
      </c>
      <c r="P438" s="358">
        <v>0</v>
      </c>
      <c r="Q438" s="183" t="s">
        <v>1707</v>
      </c>
      <c r="R438" s="358">
        <v>0</v>
      </c>
      <c r="S438" s="788"/>
      <c r="T438" s="421" t="s">
        <v>2004</v>
      </c>
      <c r="U438" s="404">
        <v>0</v>
      </c>
      <c r="V438" s="129" t="s">
        <v>749</v>
      </c>
      <c r="W438" s="132" t="s">
        <v>749</v>
      </c>
      <c r="X438" s="427">
        <v>0</v>
      </c>
      <c r="Y438" s="409">
        <v>1</v>
      </c>
      <c r="Z438" s="437">
        <v>0</v>
      </c>
      <c r="AA438" s="404"/>
      <c r="AB438" s="429"/>
      <c r="AC438" s="686">
        <v>3</v>
      </c>
      <c r="AD438" s="687">
        <v>2</v>
      </c>
      <c r="AE438" s="438">
        <v>3</v>
      </c>
      <c r="AF438" s="441" t="s">
        <v>2284</v>
      </c>
    </row>
    <row r="439" spans="1:32" ht="27" customHeight="1">
      <c r="A439" s="331" t="s">
        <v>2306</v>
      </c>
      <c r="B439" s="332">
        <v>18</v>
      </c>
      <c r="C439" s="331" t="s">
        <v>2307</v>
      </c>
      <c r="D439" s="340">
        <v>6</v>
      </c>
      <c r="E439" s="341" t="s">
        <v>2314</v>
      </c>
      <c r="F439" s="344">
        <v>44909</v>
      </c>
      <c r="G439" s="365" t="s">
        <v>2309</v>
      </c>
      <c r="H439" s="314" t="s">
        <v>1905</v>
      </c>
      <c r="I439" s="395">
        <v>15</v>
      </c>
      <c r="J439" s="390">
        <v>40</v>
      </c>
      <c r="K439" s="390">
        <v>30</v>
      </c>
      <c r="L439" s="389">
        <v>10</v>
      </c>
      <c r="M439" s="358" t="s">
        <v>1750</v>
      </c>
      <c r="N439" s="358">
        <v>0</v>
      </c>
      <c r="O439" s="358" t="s">
        <v>1750</v>
      </c>
      <c r="P439" s="358">
        <v>0</v>
      </c>
      <c r="Q439" s="183" t="s">
        <v>1707</v>
      </c>
      <c r="R439" s="358">
        <v>0</v>
      </c>
      <c r="S439" s="788"/>
      <c r="T439" s="422" t="s">
        <v>2005</v>
      </c>
      <c r="U439" s="404">
        <v>0</v>
      </c>
      <c r="V439" s="129" t="s">
        <v>749</v>
      </c>
      <c r="W439" s="132" t="s">
        <v>749</v>
      </c>
      <c r="X439" s="427">
        <v>0</v>
      </c>
      <c r="Y439" s="409">
        <v>1</v>
      </c>
      <c r="Z439" s="437">
        <v>0</v>
      </c>
      <c r="AA439" s="404"/>
      <c r="AB439" s="429"/>
      <c r="AC439" s="686">
        <v>2</v>
      </c>
      <c r="AD439" s="687">
        <v>2</v>
      </c>
      <c r="AE439" s="438">
        <v>3</v>
      </c>
      <c r="AF439" s="441" t="s">
        <v>2284</v>
      </c>
    </row>
    <row r="440" spans="1:32" ht="27" customHeight="1">
      <c r="A440" s="331" t="s">
        <v>2306</v>
      </c>
      <c r="B440" s="332">
        <v>18</v>
      </c>
      <c r="C440" s="331" t="s">
        <v>2307</v>
      </c>
      <c r="D440" s="340">
        <v>7</v>
      </c>
      <c r="E440" s="341" t="s">
        <v>2315</v>
      </c>
      <c r="F440" s="344">
        <v>44909</v>
      </c>
      <c r="G440" s="365" t="s">
        <v>2309</v>
      </c>
      <c r="H440" s="314" t="s">
        <v>1905</v>
      </c>
      <c r="I440" s="395">
        <v>15</v>
      </c>
      <c r="J440" s="390">
        <v>30</v>
      </c>
      <c r="K440" s="390">
        <v>30</v>
      </c>
      <c r="L440" s="389">
        <v>0</v>
      </c>
      <c r="M440" s="358" t="s">
        <v>1750</v>
      </c>
      <c r="N440" s="358" t="s">
        <v>1750</v>
      </c>
      <c r="O440" s="358" t="s">
        <v>1750</v>
      </c>
      <c r="P440" s="358" t="s">
        <v>1750</v>
      </c>
      <c r="Q440" s="183" t="s">
        <v>1707</v>
      </c>
      <c r="R440" s="358">
        <v>0</v>
      </c>
      <c r="S440" s="788"/>
      <c r="T440" s="421" t="s">
        <v>2006</v>
      </c>
      <c r="U440" s="404">
        <v>0</v>
      </c>
      <c r="V440" s="129" t="s">
        <v>749</v>
      </c>
      <c r="W440" s="132" t="s">
        <v>749</v>
      </c>
      <c r="X440" s="427">
        <v>0</v>
      </c>
      <c r="Y440" s="409">
        <v>1</v>
      </c>
      <c r="Z440" s="437">
        <v>0</v>
      </c>
      <c r="AA440" s="404"/>
      <c r="AB440" s="429"/>
      <c r="AC440" s="686">
        <v>2</v>
      </c>
      <c r="AD440" s="687">
        <v>2</v>
      </c>
      <c r="AE440" s="438">
        <v>5</v>
      </c>
      <c r="AF440" s="441" t="s">
        <v>2284</v>
      </c>
    </row>
    <row r="441" spans="1:32" ht="27" customHeight="1">
      <c r="A441" s="331" t="s">
        <v>2306</v>
      </c>
      <c r="B441" s="332">
        <v>18</v>
      </c>
      <c r="C441" s="331" t="s">
        <v>2307</v>
      </c>
      <c r="D441" s="340">
        <v>8</v>
      </c>
      <c r="E441" s="341" t="s">
        <v>2316</v>
      </c>
      <c r="F441" s="344">
        <v>44909</v>
      </c>
      <c r="G441" s="365" t="s">
        <v>2309</v>
      </c>
      <c r="H441" s="314" t="s">
        <v>1905</v>
      </c>
      <c r="I441" s="395">
        <v>15</v>
      </c>
      <c r="J441" s="390">
        <v>60</v>
      </c>
      <c r="K441" s="390">
        <v>60</v>
      </c>
      <c r="L441" s="389">
        <v>0</v>
      </c>
      <c r="M441" s="358" t="s">
        <v>1750</v>
      </c>
      <c r="N441" s="358">
        <v>0</v>
      </c>
      <c r="O441" s="358" t="s">
        <v>1750</v>
      </c>
      <c r="P441" s="358">
        <v>0</v>
      </c>
      <c r="Q441" s="183" t="s">
        <v>1889</v>
      </c>
      <c r="R441" s="358">
        <v>0</v>
      </c>
      <c r="S441" s="788"/>
      <c r="T441" s="421" t="s">
        <v>2006</v>
      </c>
      <c r="U441" s="404">
        <v>0</v>
      </c>
      <c r="V441" s="129" t="s">
        <v>749</v>
      </c>
      <c r="W441" s="132" t="s">
        <v>749</v>
      </c>
      <c r="X441" s="427">
        <v>0</v>
      </c>
      <c r="Y441" s="409">
        <v>1</v>
      </c>
      <c r="Z441" s="437">
        <v>0</v>
      </c>
      <c r="AA441" s="404"/>
      <c r="AB441" s="429"/>
      <c r="AC441" s="686">
        <v>1</v>
      </c>
      <c r="AD441" s="687">
        <v>2</v>
      </c>
      <c r="AE441" s="438">
        <v>7</v>
      </c>
      <c r="AF441" s="441" t="s">
        <v>2277</v>
      </c>
    </row>
    <row r="442" spans="1:32" ht="27" customHeight="1">
      <c r="A442" s="331" t="s">
        <v>2306</v>
      </c>
      <c r="B442" s="332">
        <v>18</v>
      </c>
      <c r="C442" s="331" t="s">
        <v>2307</v>
      </c>
      <c r="D442" s="340">
        <v>9</v>
      </c>
      <c r="E442" s="341" t="s">
        <v>2317</v>
      </c>
      <c r="F442" s="344">
        <v>44902</v>
      </c>
      <c r="G442" s="365" t="s">
        <v>2309</v>
      </c>
      <c r="H442" s="314" t="s">
        <v>1905</v>
      </c>
      <c r="I442" s="395">
        <v>15</v>
      </c>
      <c r="J442" s="390">
        <v>40</v>
      </c>
      <c r="K442" s="390">
        <v>30</v>
      </c>
      <c r="L442" s="389">
        <v>10</v>
      </c>
      <c r="M442" s="358" t="s">
        <v>1750</v>
      </c>
      <c r="N442" s="358" t="s">
        <v>1750</v>
      </c>
      <c r="O442" s="358" t="s">
        <v>1750</v>
      </c>
      <c r="P442" s="358" t="s">
        <v>1750</v>
      </c>
      <c r="Q442" s="183" t="s">
        <v>2112</v>
      </c>
      <c r="R442" s="358">
        <v>0</v>
      </c>
      <c r="S442" s="788"/>
      <c r="T442" s="421" t="s">
        <v>2007</v>
      </c>
      <c r="U442" s="404">
        <v>0</v>
      </c>
      <c r="V442" s="129" t="s">
        <v>749</v>
      </c>
      <c r="W442" s="132" t="s">
        <v>749</v>
      </c>
      <c r="X442" s="427">
        <v>0</v>
      </c>
      <c r="Y442" s="409">
        <v>1</v>
      </c>
      <c r="Z442" s="437">
        <v>0</v>
      </c>
      <c r="AA442" s="404"/>
      <c r="AB442" s="429"/>
      <c r="AC442" s="686">
        <v>1</v>
      </c>
      <c r="AD442" s="687">
        <v>0</v>
      </c>
      <c r="AE442" s="438">
        <v>5</v>
      </c>
      <c r="AF442" s="441" t="s">
        <v>2284</v>
      </c>
    </row>
    <row r="443" spans="1:32" ht="27" customHeight="1">
      <c r="A443" s="331" t="s">
        <v>2306</v>
      </c>
      <c r="B443" s="332">
        <v>18</v>
      </c>
      <c r="C443" s="331" t="s">
        <v>2307</v>
      </c>
      <c r="D443" s="340">
        <v>10</v>
      </c>
      <c r="E443" s="341" t="s">
        <v>2318</v>
      </c>
      <c r="F443" s="344">
        <v>44902</v>
      </c>
      <c r="G443" s="365" t="s">
        <v>2309</v>
      </c>
      <c r="H443" s="314" t="s">
        <v>1905</v>
      </c>
      <c r="I443" s="395">
        <v>15</v>
      </c>
      <c r="J443" s="390">
        <v>30</v>
      </c>
      <c r="K443" s="390">
        <v>30</v>
      </c>
      <c r="L443" s="389">
        <v>0</v>
      </c>
      <c r="M443" s="358" t="s">
        <v>1750</v>
      </c>
      <c r="N443" s="358">
        <v>0</v>
      </c>
      <c r="O443" s="358" t="s">
        <v>1750</v>
      </c>
      <c r="P443" s="358">
        <v>0</v>
      </c>
      <c r="Q443" s="183" t="s">
        <v>1707</v>
      </c>
      <c r="R443" s="358">
        <v>0</v>
      </c>
      <c r="S443" s="788"/>
      <c r="T443" s="421" t="s">
        <v>2006</v>
      </c>
      <c r="U443" s="404">
        <v>0</v>
      </c>
      <c r="V443" s="129" t="s">
        <v>749</v>
      </c>
      <c r="W443" s="132" t="s">
        <v>749</v>
      </c>
      <c r="X443" s="427">
        <v>0</v>
      </c>
      <c r="Y443" s="409">
        <v>1</v>
      </c>
      <c r="Z443" s="437">
        <v>0</v>
      </c>
      <c r="AA443" s="404"/>
      <c r="AB443" s="429"/>
      <c r="AC443" s="686">
        <v>1</v>
      </c>
      <c r="AD443" s="687">
        <v>0</v>
      </c>
      <c r="AE443" s="438">
        <v>1</v>
      </c>
      <c r="AF443" s="441" t="s">
        <v>2284</v>
      </c>
    </row>
    <row r="444" spans="1:32" ht="27" customHeight="1">
      <c r="A444" s="331" t="s">
        <v>2306</v>
      </c>
      <c r="B444" s="332">
        <v>18</v>
      </c>
      <c r="C444" s="331" t="s">
        <v>2307</v>
      </c>
      <c r="D444" s="340">
        <v>11</v>
      </c>
      <c r="E444" s="341" t="s">
        <v>2319</v>
      </c>
      <c r="F444" s="344">
        <v>44902</v>
      </c>
      <c r="G444" s="365" t="s">
        <v>2309</v>
      </c>
      <c r="H444" s="314" t="s">
        <v>1905</v>
      </c>
      <c r="I444" s="395">
        <v>15</v>
      </c>
      <c r="J444" s="390">
        <v>30</v>
      </c>
      <c r="K444" s="390">
        <v>20</v>
      </c>
      <c r="L444" s="389">
        <v>10</v>
      </c>
      <c r="M444" s="358" t="s">
        <v>1750</v>
      </c>
      <c r="N444" s="358">
        <v>0</v>
      </c>
      <c r="O444" s="358" t="s">
        <v>1750</v>
      </c>
      <c r="P444" s="358">
        <v>0</v>
      </c>
      <c r="Q444" s="183" t="s">
        <v>1707</v>
      </c>
      <c r="R444" s="358">
        <v>0</v>
      </c>
      <c r="S444" s="788"/>
      <c r="T444" s="421" t="s">
        <v>2006</v>
      </c>
      <c r="U444" s="404">
        <v>0</v>
      </c>
      <c r="V444" s="129" t="s">
        <v>749</v>
      </c>
      <c r="W444" s="132" t="s">
        <v>749</v>
      </c>
      <c r="X444" s="427">
        <v>0</v>
      </c>
      <c r="Y444" s="409">
        <v>1</v>
      </c>
      <c r="Z444" s="437">
        <v>0</v>
      </c>
      <c r="AA444" s="404"/>
      <c r="AB444" s="429"/>
      <c r="AC444" s="686">
        <v>4</v>
      </c>
      <c r="AD444" s="687">
        <v>0</v>
      </c>
      <c r="AE444" s="438">
        <v>13</v>
      </c>
      <c r="AF444" s="441" t="s">
        <v>2320</v>
      </c>
    </row>
    <row r="445" spans="1:32" ht="27.6" customHeight="1" thickBot="1">
      <c r="A445" s="474" t="s">
        <v>2306</v>
      </c>
      <c r="B445" s="475">
        <v>18</v>
      </c>
      <c r="C445" s="474" t="s">
        <v>2307</v>
      </c>
      <c r="D445" s="467">
        <v>12</v>
      </c>
      <c r="E445" s="525" t="s">
        <v>2321</v>
      </c>
      <c r="F445" s="528">
        <v>44902</v>
      </c>
      <c r="G445" s="529" t="s">
        <v>2309</v>
      </c>
      <c r="H445" s="530" t="s">
        <v>1905</v>
      </c>
      <c r="I445" s="526">
        <v>15</v>
      </c>
      <c r="J445" s="497">
        <v>80</v>
      </c>
      <c r="K445" s="497">
        <v>70</v>
      </c>
      <c r="L445" s="389">
        <v>10</v>
      </c>
      <c r="M445" s="531" t="s">
        <v>1750</v>
      </c>
      <c r="N445" s="531" t="s">
        <v>1750</v>
      </c>
      <c r="O445" s="531" t="s">
        <v>1750</v>
      </c>
      <c r="P445" s="531" t="s">
        <v>1750</v>
      </c>
      <c r="Q445" s="193" t="s">
        <v>1706</v>
      </c>
      <c r="R445" s="531">
        <v>0</v>
      </c>
      <c r="S445" s="797"/>
      <c r="T445" s="532" t="s">
        <v>2006</v>
      </c>
      <c r="U445" s="533">
        <v>4</v>
      </c>
      <c r="V445" s="683" t="s">
        <v>2322</v>
      </c>
      <c r="W445" s="529" t="s">
        <v>2323</v>
      </c>
      <c r="X445" s="534" t="s">
        <v>2324</v>
      </c>
      <c r="Y445" s="535">
        <v>1</v>
      </c>
      <c r="Z445" s="536">
        <v>0</v>
      </c>
      <c r="AA445" s="533"/>
      <c r="AB445" s="534"/>
      <c r="AC445" s="688">
        <v>0</v>
      </c>
      <c r="AD445" s="689">
        <v>0</v>
      </c>
      <c r="AE445" s="549">
        <v>0</v>
      </c>
      <c r="AF445" s="504" t="s">
        <v>2284</v>
      </c>
    </row>
    <row r="446" spans="1:32" ht="27" customHeight="1" thickTop="1">
      <c r="A446" s="382" t="s">
        <v>2325</v>
      </c>
      <c r="B446" s="383">
        <v>19</v>
      </c>
      <c r="C446" s="382" t="s">
        <v>2326</v>
      </c>
      <c r="D446" s="470">
        <v>1</v>
      </c>
      <c r="E446" s="470" t="s">
        <v>2327</v>
      </c>
      <c r="F446" s="537">
        <v>44890</v>
      </c>
      <c r="G446" s="308" t="s">
        <v>1762</v>
      </c>
      <c r="H446" s="308" t="s">
        <v>1713</v>
      </c>
      <c r="I446" s="394">
        <v>110</v>
      </c>
      <c r="J446" s="523" t="s">
        <v>1711</v>
      </c>
      <c r="K446" s="523">
        <v>2.5</v>
      </c>
      <c r="L446" s="523" t="e">
        <v>#VALUE!</v>
      </c>
      <c r="M446" s="461">
        <v>0</v>
      </c>
      <c r="N446" s="461">
        <v>0</v>
      </c>
      <c r="O446" s="461">
        <v>0</v>
      </c>
      <c r="P446" s="461">
        <v>0</v>
      </c>
      <c r="Q446" s="180" t="s">
        <v>1707</v>
      </c>
      <c r="R446" s="461">
        <v>2.2999999999999998</v>
      </c>
      <c r="S446" s="794"/>
      <c r="T446" s="471">
        <v>38</v>
      </c>
      <c r="U446" s="462">
        <v>0</v>
      </c>
      <c r="V446" s="138" t="s">
        <v>749</v>
      </c>
      <c r="W446" s="141" t="s">
        <v>749</v>
      </c>
      <c r="X446" s="472">
        <v>0</v>
      </c>
      <c r="Y446" s="463">
        <v>1</v>
      </c>
      <c r="Z446" s="460">
        <v>0</v>
      </c>
      <c r="AA446" s="588"/>
      <c r="AB446" s="464"/>
      <c r="AC446" s="463">
        <v>0</v>
      </c>
      <c r="AD446" s="87">
        <v>0</v>
      </c>
      <c r="AE446" s="460">
        <v>1</v>
      </c>
      <c r="AF446" s="585"/>
    </row>
    <row r="447" spans="1:32" ht="27" customHeight="1">
      <c r="A447" s="331" t="s">
        <v>2325</v>
      </c>
      <c r="B447" s="332">
        <v>19</v>
      </c>
      <c r="C447" s="331" t="s">
        <v>2326</v>
      </c>
      <c r="D447" s="341">
        <v>2</v>
      </c>
      <c r="E447" s="341" t="s">
        <v>2328</v>
      </c>
      <c r="F447" s="371">
        <v>44903</v>
      </c>
      <c r="G447" s="109" t="s">
        <v>1762</v>
      </c>
      <c r="H447" s="109" t="s">
        <v>1713</v>
      </c>
      <c r="I447" s="395">
        <v>85</v>
      </c>
      <c r="J447" s="392" t="s">
        <v>1711</v>
      </c>
      <c r="K447" s="392">
        <v>2.5</v>
      </c>
      <c r="L447" s="523" t="e">
        <v>#VALUE!</v>
      </c>
      <c r="M447" s="338">
        <v>0</v>
      </c>
      <c r="N447" s="338">
        <v>0</v>
      </c>
      <c r="O447" s="338">
        <v>0</v>
      </c>
      <c r="P447" s="338">
        <v>0</v>
      </c>
      <c r="Q447" s="183" t="s">
        <v>1707</v>
      </c>
      <c r="R447" s="338">
        <v>1</v>
      </c>
      <c r="S447" s="767"/>
      <c r="T447" s="419">
        <v>32</v>
      </c>
      <c r="U447" s="391">
        <v>0</v>
      </c>
      <c r="V447" s="129" t="s">
        <v>749</v>
      </c>
      <c r="W447" s="132" t="s">
        <v>749</v>
      </c>
      <c r="X447" s="427">
        <v>0</v>
      </c>
      <c r="Y447" s="410">
        <v>1</v>
      </c>
      <c r="Z447" s="396">
        <v>0</v>
      </c>
      <c r="AA447" s="407"/>
      <c r="AB447" s="431"/>
      <c r="AC447" s="410">
        <v>0</v>
      </c>
      <c r="AD447" s="29">
        <v>0</v>
      </c>
      <c r="AE447" s="396">
        <v>3</v>
      </c>
      <c r="AF447" s="586"/>
    </row>
    <row r="448" spans="1:32" ht="27" customHeight="1">
      <c r="A448" s="331" t="s">
        <v>2325</v>
      </c>
      <c r="B448" s="332">
        <v>19</v>
      </c>
      <c r="C448" s="331" t="s">
        <v>2326</v>
      </c>
      <c r="D448" s="341">
        <v>3</v>
      </c>
      <c r="E448" s="341" t="s">
        <v>2329</v>
      </c>
      <c r="F448" s="371">
        <v>44868</v>
      </c>
      <c r="G448" s="109" t="s">
        <v>1763</v>
      </c>
      <c r="H448" s="109" t="s">
        <v>1713</v>
      </c>
      <c r="I448" s="395">
        <v>15</v>
      </c>
      <c r="J448" s="392" t="s">
        <v>1711</v>
      </c>
      <c r="K448" s="392">
        <v>2.5</v>
      </c>
      <c r="L448" s="523" t="e">
        <v>#VALUE!</v>
      </c>
      <c r="M448" s="338">
        <v>0</v>
      </c>
      <c r="N448" s="338">
        <v>0</v>
      </c>
      <c r="O448" s="338">
        <v>0</v>
      </c>
      <c r="P448" s="338">
        <v>0</v>
      </c>
      <c r="Q448" s="183" t="s">
        <v>1707</v>
      </c>
      <c r="R448" s="338"/>
      <c r="S448" s="767"/>
      <c r="T448" s="427">
        <v>0</v>
      </c>
      <c r="U448" s="391">
        <v>0</v>
      </c>
      <c r="V448" s="129" t="s">
        <v>749</v>
      </c>
      <c r="W448" s="132" t="s">
        <v>749</v>
      </c>
      <c r="X448" s="427">
        <v>0</v>
      </c>
      <c r="Y448" s="410">
        <v>1</v>
      </c>
      <c r="Z448" s="396">
        <v>0</v>
      </c>
      <c r="AA448" s="407"/>
      <c r="AB448" s="431"/>
      <c r="AC448" s="410">
        <v>0</v>
      </c>
      <c r="AD448" s="29">
        <v>0</v>
      </c>
      <c r="AE448" s="396">
        <v>0</v>
      </c>
      <c r="AF448" s="586"/>
    </row>
    <row r="449" spans="1:32" ht="27" customHeight="1">
      <c r="A449" s="331" t="s">
        <v>2325</v>
      </c>
      <c r="B449" s="332">
        <v>19</v>
      </c>
      <c r="C449" s="331" t="s">
        <v>2326</v>
      </c>
      <c r="D449" s="341">
        <v>4</v>
      </c>
      <c r="E449" s="341" t="s">
        <v>2330</v>
      </c>
      <c r="F449" s="371">
        <v>44868</v>
      </c>
      <c r="G449" s="109" t="s">
        <v>1763</v>
      </c>
      <c r="H449" s="109" t="s">
        <v>1713</v>
      </c>
      <c r="I449" s="395">
        <v>15</v>
      </c>
      <c r="J449" s="392" t="s">
        <v>1711</v>
      </c>
      <c r="K449" s="392">
        <v>2.5</v>
      </c>
      <c r="L449" s="523" t="e">
        <v>#VALUE!</v>
      </c>
      <c r="M449" s="338">
        <v>0</v>
      </c>
      <c r="N449" s="338">
        <v>0</v>
      </c>
      <c r="O449" s="338">
        <v>0</v>
      </c>
      <c r="P449" s="338">
        <v>0</v>
      </c>
      <c r="Q449" s="183" t="s">
        <v>1707</v>
      </c>
      <c r="R449" s="338"/>
      <c r="S449" s="767"/>
      <c r="T449" s="427">
        <v>0</v>
      </c>
      <c r="U449" s="391">
        <v>0</v>
      </c>
      <c r="V449" s="129" t="s">
        <v>749</v>
      </c>
      <c r="W449" s="132" t="s">
        <v>749</v>
      </c>
      <c r="X449" s="427">
        <v>0</v>
      </c>
      <c r="Y449" s="410">
        <v>1</v>
      </c>
      <c r="Z449" s="396">
        <v>0</v>
      </c>
      <c r="AA449" s="407"/>
      <c r="AB449" s="431"/>
      <c r="AC449" s="410">
        <v>0</v>
      </c>
      <c r="AD449" s="29">
        <v>0</v>
      </c>
      <c r="AE449" s="396">
        <v>0</v>
      </c>
      <c r="AF449" s="586"/>
    </row>
    <row r="450" spans="1:32" ht="27" customHeight="1">
      <c r="A450" s="331" t="s">
        <v>2325</v>
      </c>
      <c r="B450" s="332">
        <v>19</v>
      </c>
      <c r="C450" s="331" t="s">
        <v>2326</v>
      </c>
      <c r="D450" s="341">
        <v>5</v>
      </c>
      <c r="E450" s="341" t="s">
        <v>1764</v>
      </c>
      <c r="F450" s="371">
        <v>44887</v>
      </c>
      <c r="G450" s="109" t="s">
        <v>1762</v>
      </c>
      <c r="H450" s="109" t="s">
        <v>1713</v>
      </c>
      <c r="I450" s="395">
        <v>75</v>
      </c>
      <c r="J450" s="392" t="s">
        <v>1711</v>
      </c>
      <c r="K450" s="392">
        <v>2.5</v>
      </c>
      <c r="L450" s="523" t="e">
        <v>#VALUE!</v>
      </c>
      <c r="M450" s="338">
        <v>0</v>
      </c>
      <c r="N450" s="338">
        <v>0</v>
      </c>
      <c r="O450" s="338">
        <v>0</v>
      </c>
      <c r="P450" s="338">
        <v>0</v>
      </c>
      <c r="Q450" s="183" t="s">
        <v>1707</v>
      </c>
      <c r="R450" s="338">
        <v>1.3</v>
      </c>
      <c r="S450" s="767"/>
      <c r="T450" s="427">
        <v>0</v>
      </c>
      <c r="U450" s="391">
        <v>0</v>
      </c>
      <c r="V450" s="129" t="s">
        <v>749</v>
      </c>
      <c r="W450" s="132" t="s">
        <v>749</v>
      </c>
      <c r="X450" s="427">
        <v>0</v>
      </c>
      <c r="Y450" s="410">
        <v>1</v>
      </c>
      <c r="Z450" s="396">
        <v>0</v>
      </c>
      <c r="AA450" s="407"/>
      <c r="AB450" s="431"/>
      <c r="AC450" s="410">
        <v>0</v>
      </c>
      <c r="AD450" s="29">
        <v>0</v>
      </c>
      <c r="AE450" s="396">
        <v>0</v>
      </c>
      <c r="AF450" s="586"/>
    </row>
    <row r="451" spans="1:32" ht="27" customHeight="1" thickBot="1">
      <c r="A451" s="474" t="s">
        <v>2325</v>
      </c>
      <c r="B451" s="475">
        <v>19</v>
      </c>
      <c r="C451" s="474" t="s">
        <v>2326</v>
      </c>
      <c r="D451" s="525">
        <v>6</v>
      </c>
      <c r="E451" s="525" t="s">
        <v>2331</v>
      </c>
      <c r="F451" s="496">
        <v>44811</v>
      </c>
      <c r="G451" s="479" t="s">
        <v>1763</v>
      </c>
      <c r="H451" s="479" t="s">
        <v>1713</v>
      </c>
      <c r="I451" s="526">
        <v>30</v>
      </c>
      <c r="J451" s="497">
        <v>10</v>
      </c>
      <c r="K451" s="497">
        <v>10</v>
      </c>
      <c r="L451" s="523">
        <v>0</v>
      </c>
      <c r="M451" s="482">
        <v>0</v>
      </c>
      <c r="N451" s="482">
        <v>0</v>
      </c>
      <c r="O451" s="482">
        <v>0</v>
      </c>
      <c r="P451" s="482">
        <v>0</v>
      </c>
      <c r="Q451" s="193" t="s">
        <v>1890</v>
      </c>
      <c r="R451" s="482">
        <v>0</v>
      </c>
      <c r="S451" s="795"/>
      <c r="T451" s="485">
        <v>0</v>
      </c>
      <c r="U451" s="484">
        <v>0</v>
      </c>
      <c r="V451" s="594" t="s">
        <v>749</v>
      </c>
      <c r="W451" s="583" t="s">
        <v>749</v>
      </c>
      <c r="X451" s="485">
        <v>0</v>
      </c>
      <c r="Y451" s="486">
        <v>1</v>
      </c>
      <c r="Z451" s="487">
        <v>0</v>
      </c>
      <c r="AA451" s="501"/>
      <c r="AB451" s="503"/>
      <c r="AC451" s="486">
        <v>0</v>
      </c>
      <c r="AD451" s="75">
        <v>0</v>
      </c>
      <c r="AE451" s="487">
        <v>0</v>
      </c>
      <c r="AF451" s="587"/>
    </row>
    <row r="452" spans="1:32" ht="27" customHeight="1" thickTop="1" thickBot="1">
      <c r="A452" s="672" t="s">
        <v>2332</v>
      </c>
      <c r="B452" s="673">
        <v>20</v>
      </c>
      <c r="C452" s="672" t="s">
        <v>2333</v>
      </c>
      <c r="D452" s="675">
        <v>1</v>
      </c>
      <c r="E452" s="675" t="s">
        <v>2334</v>
      </c>
      <c r="F452" s="691">
        <v>44832</v>
      </c>
      <c r="G452" s="628" t="s">
        <v>2335</v>
      </c>
      <c r="H452" s="628" t="s">
        <v>1905</v>
      </c>
      <c r="I452" s="629">
        <v>15</v>
      </c>
      <c r="J452" s="630">
        <v>20</v>
      </c>
      <c r="K452" s="805">
        <v>30</v>
      </c>
      <c r="L452" s="630">
        <v>-10</v>
      </c>
      <c r="M452" s="679">
        <v>10</v>
      </c>
      <c r="N452" s="679">
        <v>10</v>
      </c>
      <c r="O452" s="679">
        <v>0</v>
      </c>
      <c r="P452" s="679">
        <v>5</v>
      </c>
      <c r="Q452" s="190" t="s">
        <v>2336</v>
      </c>
      <c r="R452" s="679">
        <v>0</v>
      </c>
      <c r="S452" s="798"/>
      <c r="T452" s="692">
        <v>87</v>
      </c>
      <c r="U452" s="678">
        <v>0</v>
      </c>
      <c r="V452" s="633" t="s">
        <v>749</v>
      </c>
      <c r="W452" s="634" t="s">
        <v>749</v>
      </c>
      <c r="X452" s="692">
        <v>0</v>
      </c>
      <c r="Y452" s="693">
        <v>1</v>
      </c>
      <c r="Z452" s="694">
        <v>0</v>
      </c>
      <c r="AA452" s="699"/>
      <c r="AB452" s="639"/>
      <c r="AC452" s="693">
        <v>0</v>
      </c>
      <c r="AD452" s="61">
        <v>0</v>
      </c>
      <c r="AE452" s="694">
        <v>0</v>
      </c>
      <c r="AF452" s="640" t="s">
        <v>2196</v>
      </c>
    </row>
    <row r="453" spans="1:32" ht="27" customHeight="1" thickTop="1" thickBot="1">
      <c r="A453" s="331" t="s">
        <v>2332</v>
      </c>
      <c r="B453" s="332">
        <v>20</v>
      </c>
      <c r="C453" s="331" t="s">
        <v>2333</v>
      </c>
      <c r="D453" s="341">
        <v>2</v>
      </c>
      <c r="E453" s="341" t="s">
        <v>2337</v>
      </c>
      <c r="F453" s="371">
        <v>44832</v>
      </c>
      <c r="G453" s="109" t="s">
        <v>2335</v>
      </c>
      <c r="H453" s="109" t="s">
        <v>1905</v>
      </c>
      <c r="I453" s="395">
        <v>15</v>
      </c>
      <c r="J453" s="409" t="s">
        <v>1711</v>
      </c>
      <c r="K453" s="806">
        <v>20</v>
      </c>
      <c r="L453" s="630" t="e">
        <v>#VALUE!</v>
      </c>
      <c r="M453" s="338">
        <v>0</v>
      </c>
      <c r="N453" s="338">
        <v>0</v>
      </c>
      <c r="O453" s="338">
        <v>0</v>
      </c>
      <c r="P453" s="338">
        <v>0.5</v>
      </c>
      <c r="Q453" s="183" t="s">
        <v>2164</v>
      </c>
      <c r="R453" s="338">
        <v>0</v>
      </c>
      <c r="S453" s="767"/>
      <c r="T453" s="427">
        <v>55</v>
      </c>
      <c r="U453" s="391">
        <v>0</v>
      </c>
      <c r="V453" s="129" t="s">
        <v>749</v>
      </c>
      <c r="W453" s="132" t="s">
        <v>749</v>
      </c>
      <c r="X453" s="427">
        <v>0</v>
      </c>
      <c r="Y453" s="410">
        <v>1</v>
      </c>
      <c r="Z453" s="396">
        <v>0</v>
      </c>
      <c r="AA453" s="407"/>
      <c r="AB453" s="431"/>
      <c r="AC453" s="410">
        <v>0</v>
      </c>
      <c r="AD453" s="29">
        <v>0</v>
      </c>
      <c r="AE453" s="396">
        <v>0</v>
      </c>
      <c r="AF453" s="586" t="s">
        <v>1804</v>
      </c>
    </row>
    <row r="454" spans="1:32" ht="27" customHeight="1" thickTop="1" thickBot="1">
      <c r="A454" s="331" t="s">
        <v>2332</v>
      </c>
      <c r="B454" s="332">
        <v>20</v>
      </c>
      <c r="C454" s="331" t="s">
        <v>2333</v>
      </c>
      <c r="D454" s="341">
        <v>3</v>
      </c>
      <c r="E454" s="341" t="s">
        <v>2338</v>
      </c>
      <c r="F454" s="371">
        <v>44831</v>
      </c>
      <c r="G454" s="109" t="s">
        <v>2335</v>
      </c>
      <c r="H454" s="109" t="s">
        <v>1905</v>
      </c>
      <c r="I454" s="395">
        <v>15</v>
      </c>
      <c r="J454" s="390">
        <v>40</v>
      </c>
      <c r="K454" s="806">
        <v>60</v>
      </c>
      <c r="L454" s="630">
        <v>-20</v>
      </c>
      <c r="M454" s="338">
        <v>0</v>
      </c>
      <c r="N454" s="338">
        <v>0</v>
      </c>
      <c r="O454" s="338">
        <v>1</v>
      </c>
      <c r="P454" s="338">
        <v>1</v>
      </c>
      <c r="Q454" s="183" t="s">
        <v>2339</v>
      </c>
      <c r="R454" s="338">
        <v>0</v>
      </c>
      <c r="S454" s="767"/>
      <c r="T454" s="427">
        <v>200</v>
      </c>
      <c r="U454" s="391">
        <v>0</v>
      </c>
      <c r="V454" s="129" t="s">
        <v>749</v>
      </c>
      <c r="W454" s="132" t="s">
        <v>749</v>
      </c>
      <c r="X454" s="427">
        <v>0</v>
      </c>
      <c r="Y454" s="410">
        <v>1</v>
      </c>
      <c r="Z454" s="396">
        <v>0</v>
      </c>
      <c r="AA454" s="407"/>
      <c r="AB454" s="431"/>
      <c r="AC454" s="410">
        <v>1</v>
      </c>
      <c r="AD454" s="29">
        <v>0</v>
      </c>
      <c r="AE454" s="396">
        <v>5</v>
      </c>
      <c r="AF454" s="586" t="s">
        <v>2196</v>
      </c>
    </row>
    <row r="455" spans="1:32" ht="27" customHeight="1" thickTop="1" thickBot="1">
      <c r="A455" s="331" t="s">
        <v>2332</v>
      </c>
      <c r="B455" s="332">
        <v>20</v>
      </c>
      <c r="C455" s="331" t="s">
        <v>2333</v>
      </c>
      <c r="D455" s="341">
        <v>4</v>
      </c>
      <c r="E455" s="341" t="s">
        <v>2340</v>
      </c>
      <c r="F455" s="371">
        <v>44831</v>
      </c>
      <c r="G455" s="109" t="s">
        <v>2335</v>
      </c>
      <c r="H455" s="109" t="s">
        <v>1905</v>
      </c>
      <c r="I455" s="395">
        <v>15</v>
      </c>
      <c r="J455" s="409" t="s">
        <v>1711</v>
      </c>
      <c r="K455" s="806">
        <v>10</v>
      </c>
      <c r="L455" s="630" t="e">
        <v>#VALUE!</v>
      </c>
      <c r="M455" s="338">
        <v>0</v>
      </c>
      <c r="N455" s="338">
        <v>0</v>
      </c>
      <c r="O455" s="338">
        <v>1</v>
      </c>
      <c r="P455" s="338">
        <v>1</v>
      </c>
      <c r="Q455" s="183" t="s">
        <v>2341</v>
      </c>
      <c r="R455" s="338">
        <v>0</v>
      </c>
      <c r="S455" s="767"/>
      <c r="T455" s="427" t="s">
        <v>749</v>
      </c>
      <c r="U455" s="391">
        <v>0</v>
      </c>
      <c r="V455" s="129" t="s">
        <v>749</v>
      </c>
      <c r="W455" s="132" t="s">
        <v>749</v>
      </c>
      <c r="X455" s="427">
        <v>0</v>
      </c>
      <c r="Y455" s="410">
        <v>1</v>
      </c>
      <c r="Z455" s="396">
        <v>0</v>
      </c>
      <c r="AA455" s="407"/>
      <c r="AB455" s="431"/>
      <c r="AC455" s="410">
        <v>2</v>
      </c>
      <c r="AD455" s="29">
        <v>0</v>
      </c>
      <c r="AE455" s="396">
        <v>6</v>
      </c>
      <c r="AF455" s="586" t="s">
        <v>2196</v>
      </c>
    </row>
    <row r="456" spans="1:32" ht="27" customHeight="1" thickTop="1" thickBot="1">
      <c r="A456" s="331" t="s">
        <v>2332</v>
      </c>
      <c r="B456" s="332">
        <v>20</v>
      </c>
      <c r="C456" s="331" t="s">
        <v>2333</v>
      </c>
      <c r="D456" s="341">
        <v>5</v>
      </c>
      <c r="E456" s="341" t="s">
        <v>2342</v>
      </c>
      <c r="F456" s="371">
        <v>44831</v>
      </c>
      <c r="G456" s="109" t="s">
        <v>2335</v>
      </c>
      <c r="H456" s="109" t="s">
        <v>1905</v>
      </c>
      <c r="I456" s="395">
        <v>15</v>
      </c>
      <c r="J456" s="409" t="s">
        <v>1711</v>
      </c>
      <c r="K456" s="806">
        <v>10</v>
      </c>
      <c r="L456" s="630" t="e">
        <v>#VALUE!</v>
      </c>
      <c r="M456" s="338">
        <v>5</v>
      </c>
      <c r="N456" s="338">
        <v>0</v>
      </c>
      <c r="O456" s="338">
        <v>1</v>
      </c>
      <c r="P456" s="338">
        <v>0</v>
      </c>
      <c r="Q456" s="183" t="s">
        <v>2133</v>
      </c>
      <c r="R456" s="338">
        <v>0.16666666666666666</v>
      </c>
      <c r="S456" s="767"/>
      <c r="T456" s="427" t="s">
        <v>749</v>
      </c>
      <c r="U456" s="391">
        <v>0</v>
      </c>
      <c r="V456" s="129" t="s">
        <v>749</v>
      </c>
      <c r="W456" s="132" t="s">
        <v>749</v>
      </c>
      <c r="X456" s="427">
        <v>0</v>
      </c>
      <c r="Y456" s="410">
        <v>1</v>
      </c>
      <c r="Z456" s="396">
        <v>0</v>
      </c>
      <c r="AA456" s="407"/>
      <c r="AB456" s="431"/>
      <c r="AC456" s="410">
        <v>0</v>
      </c>
      <c r="AD456" s="29">
        <v>0</v>
      </c>
      <c r="AE456" s="396">
        <v>10</v>
      </c>
      <c r="AF456" s="586" t="s">
        <v>1804</v>
      </c>
    </row>
    <row r="457" spans="1:32" ht="27" customHeight="1" thickTop="1" thickBot="1">
      <c r="A457" s="331" t="s">
        <v>2332</v>
      </c>
      <c r="B457" s="332">
        <v>20</v>
      </c>
      <c r="C457" s="331" t="s">
        <v>2333</v>
      </c>
      <c r="D457" s="341">
        <v>6</v>
      </c>
      <c r="E457" s="341" t="s">
        <v>2343</v>
      </c>
      <c r="F457" s="371">
        <v>44829</v>
      </c>
      <c r="G457" s="109" t="s">
        <v>2335</v>
      </c>
      <c r="H457" s="109" t="s">
        <v>1905</v>
      </c>
      <c r="I457" s="395">
        <v>15</v>
      </c>
      <c r="J457" s="390">
        <v>70</v>
      </c>
      <c r="K457" s="806">
        <v>70</v>
      </c>
      <c r="L457" s="630">
        <v>0</v>
      </c>
      <c r="M457" s="338">
        <v>7.5</v>
      </c>
      <c r="N457" s="338">
        <v>0</v>
      </c>
      <c r="O457" s="338">
        <v>0</v>
      </c>
      <c r="P457" s="338">
        <v>0</v>
      </c>
      <c r="Q457" s="183" t="s">
        <v>2133</v>
      </c>
      <c r="R457" s="338">
        <v>0.16666666666666666</v>
      </c>
      <c r="S457" s="767"/>
      <c r="T457" s="427" t="s">
        <v>749</v>
      </c>
      <c r="U457" s="391">
        <v>0</v>
      </c>
      <c r="V457" s="129" t="s">
        <v>749</v>
      </c>
      <c r="W457" s="132" t="s">
        <v>749</v>
      </c>
      <c r="X457" s="427">
        <v>0</v>
      </c>
      <c r="Y457" s="410">
        <v>1</v>
      </c>
      <c r="Z457" s="396">
        <v>0</v>
      </c>
      <c r="AA457" s="407"/>
      <c r="AB457" s="431"/>
      <c r="AC457" s="410">
        <v>0</v>
      </c>
      <c r="AD457" s="29">
        <v>0</v>
      </c>
      <c r="AE457" s="396">
        <v>0</v>
      </c>
      <c r="AF457" s="586" t="s">
        <v>1804</v>
      </c>
    </row>
    <row r="458" spans="1:32" ht="27" customHeight="1" thickTop="1" thickBot="1">
      <c r="A458" s="331" t="s">
        <v>2332</v>
      </c>
      <c r="B458" s="332">
        <v>20</v>
      </c>
      <c r="C458" s="331" t="s">
        <v>2333</v>
      </c>
      <c r="D458" s="341">
        <v>7</v>
      </c>
      <c r="E458" s="341" t="s">
        <v>2344</v>
      </c>
      <c r="F458" s="371">
        <v>44829</v>
      </c>
      <c r="G458" s="109" t="s">
        <v>2335</v>
      </c>
      <c r="H458" s="109" t="s">
        <v>1905</v>
      </c>
      <c r="I458" s="395">
        <v>15</v>
      </c>
      <c r="J458" s="390">
        <v>50</v>
      </c>
      <c r="K458" s="806">
        <v>60</v>
      </c>
      <c r="L458" s="630">
        <v>-10</v>
      </c>
      <c r="M458" s="338">
        <v>20</v>
      </c>
      <c r="N458" s="338">
        <v>0</v>
      </c>
      <c r="O458" s="338">
        <v>0</v>
      </c>
      <c r="P458" s="338">
        <v>1</v>
      </c>
      <c r="Q458" s="183" t="s">
        <v>2133</v>
      </c>
      <c r="R458" s="338">
        <v>0</v>
      </c>
      <c r="S458" s="767"/>
      <c r="T458" s="427" t="s">
        <v>749</v>
      </c>
      <c r="U458" s="391">
        <v>0</v>
      </c>
      <c r="V458" s="129" t="s">
        <v>749</v>
      </c>
      <c r="W458" s="132" t="s">
        <v>749</v>
      </c>
      <c r="X458" s="427">
        <v>0</v>
      </c>
      <c r="Y458" s="410">
        <v>1</v>
      </c>
      <c r="Z458" s="396">
        <v>0</v>
      </c>
      <c r="AA458" s="407"/>
      <c r="AB458" s="431"/>
      <c r="AC458" s="410">
        <v>0</v>
      </c>
      <c r="AD458" s="29">
        <v>0</v>
      </c>
      <c r="AE458" s="396">
        <v>0</v>
      </c>
      <c r="AF458" s="586" t="s">
        <v>1804</v>
      </c>
    </row>
    <row r="459" spans="1:32" ht="27" customHeight="1" thickTop="1" thickBot="1">
      <c r="A459" s="331" t="s">
        <v>2332</v>
      </c>
      <c r="B459" s="332">
        <v>20</v>
      </c>
      <c r="C459" s="331" t="s">
        <v>2333</v>
      </c>
      <c r="D459" s="341">
        <v>8</v>
      </c>
      <c r="E459" s="341" t="s">
        <v>2345</v>
      </c>
      <c r="F459" s="371">
        <v>44829</v>
      </c>
      <c r="G459" s="109" t="s">
        <v>2335</v>
      </c>
      <c r="H459" s="109" t="s">
        <v>1905</v>
      </c>
      <c r="I459" s="395">
        <v>15</v>
      </c>
      <c r="J459" s="390">
        <v>60</v>
      </c>
      <c r="K459" s="806">
        <v>60</v>
      </c>
      <c r="L459" s="630">
        <v>0</v>
      </c>
      <c r="M459" s="338">
        <v>0</v>
      </c>
      <c r="N459" s="338">
        <v>0</v>
      </c>
      <c r="O459" s="338">
        <v>0</v>
      </c>
      <c r="P459" s="338">
        <v>0</v>
      </c>
      <c r="Q459" s="183" t="s">
        <v>2164</v>
      </c>
      <c r="R459" s="338">
        <v>0</v>
      </c>
      <c r="S459" s="767"/>
      <c r="T459" s="427" t="s">
        <v>749</v>
      </c>
      <c r="U459" s="391">
        <v>0</v>
      </c>
      <c r="V459" s="129" t="s">
        <v>749</v>
      </c>
      <c r="W459" s="132" t="s">
        <v>749</v>
      </c>
      <c r="X459" s="427">
        <v>0</v>
      </c>
      <c r="Y459" s="410">
        <v>1</v>
      </c>
      <c r="Z459" s="396">
        <v>0</v>
      </c>
      <c r="AA459" s="407"/>
      <c r="AB459" s="431"/>
      <c r="AC459" s="410">
        <v>0</v>
      </c>
      <c r="AD459" s="29">
        <v>0</v>
      </c>
      <c r="AE459" s="396">
        <v>0</v>
      </c>
      <c r="AF459" s="586" t="s">
        <v>1804</v>
      </c>
    </row>
    <row r="460" spans="1:32" ht="27" customHeight="1" thickTop="1" thickBot="1">
      <c r="A460" s="331" t="s">
        <v>2332</v>
      </c>
      <c r="B460" s="332">
        <v>20</v>
      </c>
      <c r="C460" s="331" t="s">
        <v>2333</v>
      </c>
      <c r="D460" s="341">
        <v>9</v>
      </c>
      <c r="E460" s="341" t="s">
        <v>2346</v>
      </c>
      <c r="F460" s="371">
        <v>44827</v>
      </c>
      <c r="G460" s="109" t="s">
        <v>2335</v>
      </c>
      <c r="H460" s="109" t="s">
        <v>1905</v>
      </c>
      <c r="I460" s="395">
        <v>15</v>
      </c>
      <c r="J460" s="390">
        <v>50</v>
      </c>
      <c r="K460" s="806">
        <v>40</v>
      </c>
      <c r="L460" s="630">
        <v>10</v>
      </c>
      <c r="M460" s="338">
        <v>0</v>
      </c>
      <c r="N460" s="338">
        <v>0</v>
      </c>
      <c r="O460" s="338">
        <v>1</v>
      </c>
      <c r="P460" s="338">
        <v>0</v>
      </c>
      <c r="Q460" s="183" t="s">
        <v>2133</v>
      </c>
      <c r="R460" s="338">
        <v>0</v>
      </c>
      <c r="S460" s="767"/>
      <c r="T460" s="427" t="s">
        <v>749</v>
      </c>
      <c r="U460" s="391">
        <v>0</v>
      </c>
      <c r="V460" s="129" t="s">
        <v>749</v>
      </c>
      <c r="W460" s="132" t="s">
        <v>749</v>
      </c>
      <c r="X460" s="427">
        <v>0</v>
      </c>
      <c r="Y460" s="410">
        <v>1</v>
      </c>
      <c r="Z460" s="396">
        <v>0</v>
      </c>
      <c r="AA460" s="407"/>
      <c r="AB460" s="431"/>
      <c r="AC460" s="410">
        <v>0</v>
      </c>
      <c r="AD460" s="29">
        <v>1</v>
      </c>
      <c r="AE460" s="396">
        <v>0</v>
      </c>
      <c r="AF460" s="586" t="s">
        <v>1804</v>
      </c>
    </row>
    <row r="461" spans="1:32" ht="27" customHeight="1" thickTop="1" thickBot="1">
      <c r="A461" s="331" t="s">
        <v>2332</v>
      </c>
      <c r="B461" s="332">
        <v>20</v>
      </c>
      <c r="C461" s="331" t="s">
        <v>2333</v>
      </c>
      <c r="D461" s="341">
        <v>10</v>
      </c>
      <c r="E461" s="341" t="s">
        <v>2347</v>
      </c>
      <c r="F461" s="371">
        <v>44827</v>
      </c>
      <c r="G461" s="109" t="s">
        <v>2335</v>
      </c>
      <c r="H461" s="109" t="s">
        <v>1905</v>
      </c>
      <c r="I461" s="395">
        <v>15</v>
      </c>
      <c r="J461" s="390">
        <v>40</v>
      </c>
      <c r="K461" s="806">
        <v>2.5</v>
      </c>
      <c r="L461" s="630">
        <v>37.5</v>
      </c>
      <c r="M461" s="338">
        <v>0</v>
      </c>
      <c r="N461" s="338">
        <v>0</v>
      </c>
      <c r="O461" s="338">
        <v>5</v>
      </c>
      <c r="P461" s="338">
        <v>5</v>
      </c>
      <c r="Q461" s="183" t="s">
        <v>2164</v>
      </c>
      <c r="R461" s="338">
        <v>0</v>
      </c>
      <c r="S461" s="767"/>
      <c r="T461" s="427" t="s">
        <v>749</v>
      </c>
      <c r="U461" s="391">
        <v>0</v>
      </c>
      <c r="V461" s="129" t="s">
        <v>749</v>
      </c>
      <c r="W461" s="132" t="s">
        <v>749</v>
      </c>
      <c r="X461" s="427">
        <v>0</v>
      </c>
      <c r="Y461" s="410">
        <v>1</v>
      </c>
      <c r="Z461" s="396">
        <v>0</v>
      </c>
      <c r="AA461" s="407"/>
      <c r="AB461" s="431"/>
      <c r="AC461" s="410">
        <v>2</v>
      </c>
      <c r="AD461" s="29">
        <v>2</v>
      </c>
      <c r="AE461" s="396">
        <v>0</v>
      </c>
      <c r="AF461" s="586" t="s">
        <v>1804</v>
      </c>
    </row>
    <row r="462" spans="1:32" ht="27" customHeight="1" thickTop="1" thickBot="1">
      <c r="A462" s="331" t="s">
        <v>2332</v>
      </c>
      <c r="B462" s="332">
        <v>20</v>
      </c>
      <c r="C462" s="331" t="s">
        <v>2333</v>
      </c>
      <c r="D462" s="341">
        <v>11</v>
      </c>
      <c r="E462" s="341" t="s">
        <v>2348</v>
      </c>
      <c r="F462" s="371">
        <v>44833</v>
      </c>
      <c r="G462" s="109" t="s">
        <v>2335</v>
      </c>
      <c r="H462" s="109" t="s">
        <v>1713</v>
      </c>
      <c r="I462" s="395">
        <v>15</v>
      </c>
      <c r="J462" s="390">
        <v>30</v>
      </c>
      <c r="K462" s="806">
        <v>30</v>
      </c>
      <c r="L462" s="630">
        <v>0</v>
      </c>
      <c r="M462" s="338">
        <v>0</v>
      </c>
      <c r="N462" s="338">
        <v>0</v>
      </c>
      <c r="O462" s="338">
        <v>0.5</v>
      </c>
      <c r="P462" s="338">
        <v>1</v>
      </c>
      <c r="Q462" s="183" t="s">
        <v>2339</v>
      </c>
      <c r="R462" s="338">
        <v>5.166666666666667</v>
      </c>
      <c r="S462" s="767"/>
      <c r="T462" s="427">
        <v>89</v>
      </c>
      <c r="U462" s="391">
        <v>0</v>
      </c>
      <c r="V462" s="129" t="s">
        <v>749</v>
      </c>
      <c r="W462" s="132" t="s">
        <v>749</v>
      </c>
      <c r="X462" s="427">
        <v>0</v>
      </c>
      <c r="Y462" s="410">
        <v>1</v>
      </c>
      <c r="Z462" s="396">
        <v>0</v>
      </c>
      <c r="AA462" s="407"/>
      <c r="AB462" s="431"/>
      <c r="AC462" s="410">
        <v>3</v>
      </c>
      <c r="AD462" s="29">
        <v>3</v>
      </c>
      <c r="AE462" s="396">
        <v>3</v>
      </c>
      <c r="AF462" s="586" t="s">
        <v>2196</v>
      </c>
    </row>
    <row r="463" spans="1:32" ht="27" customHeight="1" thickTop="1" thickBot="1">
      <c r="A463" s="331" t="s">
        <v>2332</v>
      </c>
      <c r="B463" s="332">
        <v>20</v>
      </c>
      <c r="C463" s="331" t="s">
        <v>2333</v>
      </c>
      <c r="D463" s="341">
        <v>12</v>
      </c>
      <c r="E463" s="341" t="s">
        <v>2349</v>
      </c>
      <c r="F463" s="371">
        <v>44833</v>
      </c>
      <c r="G463" s="109" t="s">
        <v>2335</v>
      </c>
      <c r="H463" s="109" t="s">
        <v>1713</v>
      </c>
      <c r="I463" s="395">
        <v>15</v>
      </c>
      <c r="J463" s="390">
        <v>50</v>
      </c>
      <c r="K463" s="806">
        <v>20</v>
      </c>
      <c r="L463" s="630">
        <v>30</v>
      </c>
      <c r="M463" s="338">
        <v>0.5</v>
      </c>
      <c r="N463" s="338">
        <v>0</v>
      </c>
      <c r="O463" s="338">
        <v>0.5</v>
      </c>
      <c r="P463" s="338">
        <v>1</v>
      </c>
      <c r="Q463" s="183" t="s">
        <v>2339</v>
      </c>
      <c r="R463" s="338">
        <v>4.666666666666667</v>
      </c>
      <c r="S463" s="767"/>
      <c r="T463" s="427">
        <v>111</v>
      </c>
      <c r="U463" s="391">
        <v>0</v>
      </c>
      <c r="V463" s="129" t="s">
        <v>749</v>
      </c>
      <c r="W463" s="132" t="s">
        <v>749</v>
      </c>
      <c r="X463" s="427">
        <v>0</v>
      </c>
      <c r="Y463" s="410">
        <v>1</v>
      </c>
      <c r="Z463" s="396">
        <v>0</v>
      </c>
      <c r="AA463" s="407"/>
      <c r="AB463" s="431"/>
      <c r="AC463" s="410">
        <v>1</v>
      </c>
      <c r="AD463" s="29">
        <v>3</v>
      </c>
      <c r="AE463" s="396">
        <v>0</v>
      </c>
      <c r="AF463" s="586" t="s">
        <v>2196</v>
      </c>
    </row>
    <row r="464" spans="1:32" ht="27" customHeight="1" thickTop="1" thickBot="1">
      <c r="A464" s="331" t="s">
        <v>2332</v>
      </c>
      <c r="B464" s="332">
        <v>20</v>
      </c>
      <c r="C464" s="331" t="s">
        <v>2333</v>
      </c>
      <c r="D464" s="341">
        <v>13</v>
      </c>
      <c r="E464" s="341" t="s">
        <v>2350</v>
      </c>
      <c r="F464" s="371">
        <v>44833</v>
      </c>
      <c r="G464" s="109" t="s">
        <v>2335</v>
      </c>
      <c r="H464" s="109" t="s">
        <v>1713</v>
      </c>
      <c r="I464" s="395">
        <v>15</v>
      </c>
      <c r="J464" s="390">
        <v>40</v>
      </c>
      <c r="K464" s="806">
        <v>40</v>
      </c>
      <c r="L464" s="630">
        <v>0</v>
      </c>
      <c r="M464" s="338">
        <v>0</v>
      </c>
      <c r="N464" s="338">
        <v>0</v>
      </c>
      <c r="O464" s="338">
        <v>0.5</v>
      </c>
      <c r="P464" s="338">
        <v>1</v>
      </c>
      <c r="Q464" s="183" t="s">
        <v>2339</v>
      </c>
      <c r="R464" s="338">
        <v>5.5</v>
      </c>
      <c r="S464" s="767"/>
      <c r="T464" s="427">
        <v>91</v>
      </c>
      <c r="U464" s="391">
        <v>0</v>
      </c>
      <c r="V464" s="129" t="s">
        <v>749</v>
      </c>
      <c r="W464" s="132" t="s">
        <v>749</v>
      </c>
      <c r="X464" s="427">
        <v>0</v>
      </c>
      <c r="Y464" s="410">
        <v>1</v>
      </c>
      <c r="Z464" s="396">
        <v>0</v>
      </c>
      <c r="AA464" s="407"/>
      <c r="AB464" s="431"/>
      <c r="AC464" s="410">
        <v>0</v>
      </c>
      <c r="AD464" s="29">
        <v>3</v>
      </c>
      <c r="AE464" s="396">
        <v>5</v>
      </c>
      <c r="AF464" s="586" t="s">
        <v>2196</v>
      </c>
    </row>
    <row r="465" spans="1:32" ht="27" customHeight="1" thickTop="1" thickBot="1">
      <c r="A465" s="331" t="s">
        <v>2332</v>
      </c>
      <c r="B465" s="332">
        <v>20</v>
      </c>
      <c r="C465" s="331" t="s">
        <v>2333</v>
      </c>
      <c r="D465" s="341">
        <v>14</v>
      </c>
      <c r="E465" s="341" t="s">
        <v>2351</v>
      </c>
      <c r="F465" s="371">
        <v>44833</v>
      </c>
      <c r="G465" s="109" t="s">
        <v>2335</v>
      </c>
      <c r="H465" s="109" t="s">
        <v>1713</v>
      </c>
      <c r="I465" s="395">
        <v>15</v>
      </c>
      <c r="J465" s="390">
        <v>20</v>
      </c>
      <c r="K465" s="806">
        <v>40</v>
      </c>
      <c r="L465" s="630">
        <v>-20</v>
      </c>
      <c r="M465" s="338">
        <v>0.5</v>
      </c>
      <c r="N465" s="338">
        <v>0</v>
      </c>
      <c r="O465" s="338">
        <v>0.5</v>
      </c>
      <c r="P465" s="338">
        <v>0.5</v>
      </c>
      <c r="Q465" s="183" t="s">
        <v>2341</v>
      </c>
      <c r="R465" s="338">
        <v>0.16666666666666666</v>
      </c>
      <c r="S465" s="767"/>
      <c r="T465" s="427">
        <v>139</v>
      </c>
      <c r="U465" s="391">
        <v>0</v>
      </c>
      <c r="V465" s="129" t="s">
        <v>749</v>
      </c>
      <c r="W465" s="132" t="s">
        <v>749</v>
      </c>
      <c r="X465" s="427">
        <v>0</v>
      </c>
      <c r="Y465" s="410">
        <v>1</v>
      </c>
      <c r="Z465" s="396">
        <v>0</v>
      </c>
      <c r="AA465" s="407"/>
      <c r="AB465" s="431"/>
      <c r="AC465" s="410">
        <v>0</v>
      </c>
      <c r="AD465" s="29">
        <v>3</v>
      </c>
      <c r="AE465" s="396">
        <v>8</v>
      </c>
      <c r="AF465" s="586" t="s">
        <v>2196</v>
      </c>
    </row>
    <row r="466" spans="1:32" ht="27" customHeight="1" thickTop="1" thickBot="1">
      <c r="A466" s="331" t="s">
        <v>2332</v>
      </c>
      <c r="B466" s="332">
        <v>20</v>
      </c>
      <c r="C466" s="331" t="s">
        <v>2333</v>
      </c>
      <c r="D466" s="341">
        <v>15</v>
      </c>
      <c r="E466" s="341" t="s">
        <v>2352</v>
      </c>
      <c r="F466" s="371">
        <v>44832</v>
      </c>
      <c r="G466" s="109" t="s">
        <v>2335</v>
      </c>
      <c r="H466" s="109" t="s">
        <v>1905</v>
      </c>
      <c r="I466" s="395">
        <v>15</v>
      </c>
      <c r="J466" s="390">
        <v>60</v>
      </c>
      <c r="K466" s="806">
        <v>60</v>
      </c>
      <c r="L466" s="630">
        <v>0</v>
      </c>
      <c r="M466" s="338">
        <v>1</v>
      </c>
      <c r="N466" s="338">
        <v>0.5</v>
      </c>
      <c r="O466" s="338">
        <v>1</v>
      </c>
      <c r="P466" s="338">
        <v>0.5</v>
      </c>
      <c r="Q466" s="183" t="s">
        <v>2133</v>
      </c>
      <c r="R466" s="338">
        <v>0.66666666666666663</v>
      </c>
      <c r="S466" s="767"/>
      <c r="T466" s="427">
        <v>96</v>
      </c>
      <c r="U466" s="391">
        <v>0</v>
      </c>
      <c r="V466" s="129" t="s">
        <v>749</v>
      </c>
      <c r="W466" s="132" t="s">
        <v>749</v>
      </c>
      <c r="X466" s="427">
        <v>0</v>
      </c>
      <c r="Y466" s="410">
        <v>2</v>
      </c>
      <c r="Z466" s="396" t="s">
        <v>1925</v>
      </c>
      <c r="AA466" s="407"/>
      <c r="AB466" s="431"/>
      <c r="AC466" s="410">
        <v>1</v>
      </c>
      <c r="AD466" s="29">
        <v>0</v>
      </c>
      <c r="AE466" s="396">
        <v>5</v>
      </c>
      <c r="AF466" s="586" t="s">
        <v>2196</v>
      </c>
    </row>
    <row r="467" spans="1:32" ht="27" customHeight="1" thickTop="1" thickBot="1">
      <c r="A467" s="331" t="s">
        <v>2332</v>
      </c>
      <c r="B467" s="332">
        <v>20</v>
      </c>
      <c r="C467" s="331" t="s">
        <v>2333</v>
      </c>
      <c r="D467" s="341">
        <v>16</v>
      </c>
      <c r="E467" s="341" t="s">
        <v>2353</v>
      </c>
      <c r="F467" s="371"/>
      <c r="G467" s="109"/>
      <c r="H467" s="109"/>
      <c r="I467" s="395"/>
      <c r="J467" s="695"/>
      <c r="K467" s="806">
        <v>40</v>
      </c>
      <c r="L467" s="630"/>
      <c r="M467" s="338"/>
      <c r="N467" s="338"/>
      <c r="O467" s="338"/>
      <c r="P467" s="338"/>
      <c r="Q467" s="183"/>
      <c r="R467" s="338"/>
      <c r="S467" s="767"/>
      <c r="T467" s="427"/>
      <c r="U467" s="391"/>
      <c r="V467" s="129"/>
      <c r="W467" s="132"/>
      <c r="X467" s="427"/>
      <c r="Y467" s="410"/>
      <c r="Z467" s="396"/>
      <c r="AA467" s="407"/>
      <c r="AB467" s="431"/>
      <c r="AC467" s="410"/>
      <c r="AD467" s="29"/>
      <c r="AE467" s="396"/>
      <c r="AF467" s="586"/>
    </row>
    <row r="468" spans="1:32" ht="27" customHeight="1" thickTop="1" thickBot="1">
      <c r="A468" s="331" t="s">
        <v>2332</v>
      </c>
      <c r="B468" s="332">
        <v>20</v>
      </c>
      <c r="C468" s="331" t="s">
        <v>2333</v>
      </c>
      <c r="D468" s="341">
        <v>17</v>
      </c>
      <c r="E468" s="341" t="s">
        <v>2354</v>
      </c>
      <c r="F468" s="371">
        <v>44832</v>
      </c>
      <c r="G468" s="109" t="s">
        <v>2335</v>
      </c>
      <c r="H468" s="109" t="s">
        <v>1713</v>
      </c>
      <c r="I468" s="395">
        <v>15</v>
      </c>
      <c r="J468" s="390">
        <v>70</v>
      </c>
      <c r="K468" s="390"/>
      <c r="L468" s="630"/>
      <c r="M468" s="338">
        <v>0</v>
      </c>
      <c r="N468" s="338">
        <v>0</v>
      </c>
      <c r="O468" s="338">
        <v>0</v>
      </c>
      <c r="P468" s="338">
        <v>0</v>
      </c>
      <c r="Q468" s="183" t="s">
        <v>2355</v>
      </c>
      <c r="R468" s="338">
        <v>0</v>
      </c>
      <c r="S468" s="767"/>
      <c r="T468" s="427">
        <v>50</v>
      </c>
      <c r="U468" s="391">
        <v>0</v>
      </c>
      <c r="V468" s="129" t="s">
        <v>749</v>
      </c>
      <c r="W468" s="132" t="s">
        <v>749</v>
      </c>
      <c r="X468" s="427">
        <v>0</v>
      </c>
      <c r="Y468" s="410">
        <v>1</v>
      </c>
      <c r="Z468" s="396">
        <v>0</v>
      </c>
      <c r="AA468" s="407"/>
      <c r="AB468" s="431"/>
      <c r="AC468" s="410">
        <v>2</v>
      </c>
      <c r="AD468" s="29">
        <v>0</v>
      </c>
      <c r="AE468" s="396">
        <v>0</v>
      </c>
      <c r="AF468" s="586" t="s">
        <v>1804</v>
      </c>
    </row>
    <row r="469" spans="1:32" ht="27" customHeight="1" thickTop="1" thickBot="1">
      <c r="A469" s="331" t="s">
        <v>2332</v>
      </c>
      <c r="B469" s="332">
        <v>20</v>
      </c>
      <c r="C469" s="331" t="s">
        <v>2333</v>
      </c>
      <c r="D469" s="348">
        <v>18</v>
      </c>
      <c r="E469" s="348" t="s">
        <v>2021</v>
      </c>
      <c r="F469" s="371">
        <v>44832</v>
      </c>
      <c r="G469" s="109" t="s">
        <v>2335</v>
      </c>
      <c r="H469" s="109" t="s">
        <v>1905</v>
      </c>
      <c r="I469" s="395">
        <v>15</v>
      </c>
      <c r="J469" s="390">
        <v>60</v>
      </c>
      <c r="K469" s="390"/>
      <c r="L469" s="630"/>
      <c r="M469" s="338">
        <v>0</v>
      </c>
      <c r="N469" s="338">
        <v>0</v>
      </c>
      <c r="O469" s="338">
        <v>0.5</v>
      </c>
      <c r="P469" s="338">
        <v>0.5</v>
      </c>
      <c r="Q469" s="183" t="s">
        <v>2024</v>
      </c>
      <c r="R469" s="338">
        <v>0.16666666666666666</v>
      </c>
      <c r="S469" s="767"/>
      <c r="T469" s="427">
        <v>171</v>
      </c>
      <c r="U469" s="391">
        <v>0</v>
      </c>
      <c r="V469" s="129" t="s">
        <v>749</v>
      </c>
      <c r="W469" s="132" t="s">
        <v>749</v>
      </c>
      <c r="X469" s="427">
        <v>0</v>
      </c>
      <c r="Y469" s="410">
        <v>2</v>
      </c>
      <c r="Z469" s="396" t="s">
        <v>1925</v>
      </c>
      <c r="AA469" s="407"/>
      <c r="AB469" s="431"/>
      <c r="AC469" s="410">
        <v>2</v>
      </c>
      <c r="AD469" s="29">
        <v>2</v>
      </c>
      <c r="AE469" s="396">
        <v>0</v>
      </c>
      <c r="AF469" s="586" t="s">
        <v>1804</v>
      </c>
    </row>
    <row r="470" spans="1:32" ht="27" customHeight="1" thickTop="1" thickBot="1">
      <c r="A470" s="331" t="s">
        <v>2332</v>
      </c>
      <c r="B470" s="332">
        <v>20</v>
      </c>
      <c r="C470" s="331" t="s">
        <v>2333</v>
      </c>
      <c r="D470" s="347">
        <v>19</v>
      </c>
      <c r="E470" s="348" t="s">
        <v>2356</v>
      </c>
      <c r="F470" s="371">
        <v>44833</v>
      </c>
      <c r="G470" s="109" t="s">
        <v>2335</v>
      </c>
      <c r="H470" s="109" t="s">
        <v>1713</v>
      </c>
      <c r="I470" s="395">
        <v>15</v>
      </c>
      <c r="J470" s="390">
        <v>40</v>
      </c>
      <c r="K470" s="390"/>
      <c r="L470" s="630"/>
      <c r="M470" s="338">
        <v>0.5</v>
      </c>
      <c r="N470" s="338">
        <v>0.5</v>
      </c>
      <c r="O470" s="338">
        <v>10</v>
      </c>
      <c r="P470" s="338">
        <v>10</v>
      </c>
      <c r="Q470" s="183" t="s">
        <v>2357</v>
      </c>
      <c r="R470" s="338">
        <v>0.33333333333333331</v>
      </c>
      <c r="S470" s="767"/>
      <c r="T470" s="427">
        <v>200</v>
      </c>
      <c r="U470" s="391">
        <v>0</v>
      </c>
      <c r="V470" s="129" t="s">
        <v>749</v>
      </c>
      <c r="W470" s="132" t="s">
        <v>749</v>
      </c>
      <c r="X470" s="427">
        <v>0</v>
      </c>
      <c r="Y470" s="410">
        <v>1</v>
      </c>
      <c r="Z470" s="396">
        <v>0</v>
      </c>
      <c r="AA470" s="407"/>
      <c r="AB470" s="431"/>
      <c r="AC470" s="410">
        <v>2</v>
      </c>
      <c r="AD470" s="29">
        <v>3</v>
      </c>
      <c r="AE470" s="396">
        <v>0</v>
      </c>
      <c r="AF470" s="586" t="s">
        <v>2196</v>
      </c>
    </row>
    <row r="471" spans="1:32" ht="27" customHeight="1" thickTop="1" thickBot="1">
      <c r="A471" s="474" t="s">
        <v>2332</v>
      </c>
      <c r="B471" s="475">
        <v>20</v>
      </c>
      <c r="C471" s="474" t="s">
        <v>2333</v>
      </c>
      <c r="D471" s="575">
        <v>20</v>
      </c>
      <c r="E471" s="572" t="s">
        <v>2358</v>
      </c>
      <c r="F471" s="496">
        <v>44833</v>
      </c>
      <c r="G471" s="479" t="s">
        <v>2335</v>
      </c>
      <c r="H471" s="479" t="s">
        <v>1713</v>
      </c>
      <c r="I471" s="526">
        <v>15</v>
      </c>
      <c r="J471" s="535" t="s">
        <v>1711</v>
      </c>
      <c r="K471" s="535"/>
      <c r="L471" s="630"/>
      <c r="M471" s="482">
        <v>0</v>
      </c>
      <c r="N471" s="482">
        <v>0</v>
      </c>
      <c r="O471" s="482">
        <v>0</v>
      </c>
      <c r="P471" s="482">
        <v>0</v>
      </c>
      <c r="Q471" s="193" t="s">
        <v>2025</v>
      </c>
      <c r="R471" s="482">
        <v>2.6666666666666665</v>
      </c>
      <c r="S471" s="795"/>
      <c r="T471" s="485" t="s">
        <v>749</v>
      </c>
      <c r="U471" s="484">
        <v>0</v>
      </c>
      <c r="V471" s="594" t="s">
        <v>749</v>
      </c>
      <c r="W471" s="583" t="s">
        <v>749</v>
      </c>
      <c r="X471" s="485">
        <v>0</v>
      </c>
      <c r="Y471" s="486">
        <v>1</v>
      </c>
      <c r="Z471" s="487">
        <v>0</v>
      </c>
      <c r="AA471" s="501"/>
      <c r="AB471" s="503"/>
      <c r="AC471" s="486">
        <v>5</v>
      </c>
      <c r="AD471" s="75">
        <v>0</v>
      </c>
      <c r="AE471" s="487">
        <v>0</v>
      </c>
      <c r="AF471" s="587" t="s">
        <v>1804</v>
      </c>
    </row>
    <row r="472" spans="1:32" s="285" customFormat="1" ht="27" customHeight="1" thickTop="1">
      <c r="A472" s="520" t="s">
        <v>2359</v>
      </c>
      <c r="B472" s="521">
        <v>21</v>
      </c>
      <c r="C472" s="520" t="s">
        <v>2360</v>
      </c>
      <c r="D472" s="456">
        <v>1</v>
      </c>
      <c r="E472" s="522" t="s">
        <v>2361</v>
      </c>
      <c r="F472" s="458">
        <v>44900</v>
      </c>
      <c r="G472" s="308" t="s">
        <v>2009</v>
      </c>
      <c r="H472" s="308" t="s">
        <v>1713</v>
      </c>
      <c r="I472" s="460">
        <v>20</v>
      </c>
      <c r="J472" s="523" t="s">
        <v>1711</v>
      </c>
      <c r="K472" s="523">
        <v>2.5</v>
      </c>
      <c r="L472" s="523" t="e">
        <v>#VALUE!</v>
      </c>
      <c r="M472" s="87">
        <v>10</v>
      </c>
      <c r="N472" s="87">
        <v>0</v>
      </c>
      <c r="O472" s="87">
        <v>0</v>
      </c>
      <c r="P472" s="87">
        <v>0</v>
      </c>
      <c r="Q472" s="180" t="s">
        <v>1891</v>
      </c>
      <c r="R472" s="690">
        <v>0</v>
      </c>
      <c r="S472" s="799"/>
      <c r="T472" s="471">
        <v>125</v>
      </c>
      <c r="U472" s="462">
        <v>0</v>
      </c>
      <c r="V472" s="138"/>
      <c r="W472" s="141"/>
      <c r="X472" s="472"/>
      <c r="Y472" s="463">
        <v>3</v>
      </c>
      <c r="Z472" s="464">
        <v>10</v>
      </c>
      <c r="AA472" s="817">
        <v>35.409999999999997</v>
      </c>
      <c r="AB472" s="464" t="s">
        <v>1753</v>
      </c>
      <c r="AC472" s="524">
        <v>0</v>
      </c>
      <c r="AD472" s="141">
        <v>0</v>
      </c>
      <c r="AE472" s="464">
        <v>4</v>
      </c>
      <c r="AF472" s="513" t="s">
        <v>2284</v>
      </c>
    </row>
    <row r="473" spans="1:32" s="285" customFormat="1" ht="27" customHeight="1">
      <c r="A473" s="352" t="s">
        <v>2359</v>
      </c>
      <c r="B473" s="353">
        <v>21</v>
      </c>
      <c r="C473" s="352" t="s">
        <v>2360</v>
      </c>
      <c r="D473" s="340">
        <v>2</v>
      </c>
      <c r="E473" s="366" t="s">
        <v>2362</v>
      </c>
      <c r="F473" s="350">
        <v>44908</v>
      </c>
      <c r="G473" s="109" t="s">
        <v>2009</v>
      </c>
      <c r="H473" s="314" t="s">
        <v>1905</v>
      </c>
      <c r="I473" s="396">
        <v>15</v>
      </c>
      <c r="J473" s="390">
        <v>50</v>
      </c>
      <c r="K473" s="390">
        <v>50</v>
      </c>
      <c r="L473" s="523">
        <v>0</v>
      </c>
      <c r="M473" s="338" t="s">
        <v>1711</v>
      </c>
      <c r="N473" s="29">
        <v>0</v>
      </c>
      <c r="O473" s="29">
        <v>0</v>
      </c>
      <c r="P473" s="29">
        <v>0</v>
      </c>
      <c r="Q473" s="183" t="s">
        <v>1707</v>
      </c>
      <c r="R473" s="367" t="s">
        <v>2013</v>
      </c>
      <c r="S473" s="800"/>
      <c r="T473" s="419">
        <v>92</v>
      </c>
      <c r="U473" s="405">
        <v>1</v>
      </c>
      <c r="V473" s="129">
        <v>30</v>
      </c>
      <c r="W473" s="132" t="s">
        <v>1719</v>
      </c>
      <c r="X473" s="313" t="s">
        <v>1711</v>
      </c>
      <c r="Y473" s="410">
        <v>2</v>
      </c>
      <c r="Z473" s="110" t="s">
        <v>1711</v>
      </c>
      <c r="AA473" s="818">
        <v>8.25</v>
      </c>
      <c r="AB473" s="431">
        <v>4</v>
      </c>
      <c r="AC473" s="413">
        <v>0</v>
      </c>
      <c r="AD473" s="132">
        <v>0</v>
      </c>
      <c r="AE473" s="431">
        <v>14</v>
      </c>
      <c r="AF473" s="441" t="s">
        <v>2284</v>
      </c>
    </row>
    <row r="474" spans="1:32" s="285" customFormat="1" ht="27" customHeight="1">
      <c r="A474" s="352" t="s">
        <v>2359</v>
      </c>
      <c r="B474" s="353">
        <v>21</v>
      </c>
      <c r="C474" s="352" t="s">
        <v>2360</v>
      </c>
      <c r="D474" s="340">
        <v>3</v>
      </c>
      <c r="E474" s="366" t="s">
        <v>1765</v>
      </c>
      <c r="F474" s="350">
        <v>44915</v>
      </c>
      <c r="G474" s="109" t="s">
        <v>2010</v>
      </c>
      <c r="H474" s="109" t="s">
        <v>1713</v>
      </c>
      <c r="I474" s="396">
        <v>30</v>
      </c>
      <c r="J474" s="390">
        <v>20</v>
      </c>
      <c r="K474" s="390">
        <v>20</v>
      </c>
      <c r="L474" s="523">
        <v>0</v>
      </c>
      <c r="M474" s="338" t="s">
        <v>1711</v>
      </c>
      <c r="N474" s="29">
        <v>100</v>
      </c>
      <c r="O474" s="29">
        <v>0</v>
      </c>
      <c r="P474" s="29">
        <v>0</v>
      </c>
      <c r="Q474" s="183" t="s">
        <v>1892</v>
      </c>
      <c r="R474" s="367">
        <v>0</v>
      </c>
      <c r="S474" s="800"/>
      <c r="T474" s="419">
        <v>16</v>
      </c>
      <c r="U474" s="405">
        <v>0</v>
      </c>
      <c r="V474" s="129"/>
      <c r="W474" s="132"/>
      <c r="X474" s="427"/>
      <c r="Y474" s="410">
        <v>2</v>
      </c>
      <c r="Z474" s="431" t="s">
        <v>1711</v>
      </c>
      <c r="AA474" s="818">
        <v>5.25</v>
      </c>
      <c r="AB474" s="431">
        <v>4</v>
      </c>
      <c r="AC474" s="413">
        <v>10</v>
      </c>
      <c r="AD474" s="132">
        <v>0</v>
      </c>
      <c r="AE474" s="431">
        <v>10</v>
      </c>
      <c r="AF474" s="441" t="s">
        <v>2284</v>
      </c>
    </row>
    <row r="475" spans="1:32" s="285" customFormat="1" ht="27" customHeight="1">
      <c r="A475" s="352" t="s">
        <v>2359</v>
      </c>
      <c r="B475" s="353">
        <v>21</v>
      </c>
      <c r="C475" s="352" t="s">
        <v>2360</v>
      </c>
      <c r="D475" s="340">
        <v>4</v>
      </c>
      <c r="E475" s="366" t="s">
        <v>1766</v>
      </c>
      <c r="F475" s="350">
        <v>44915</v>
      </c>
      <c r="G475" s="109" t="s">
        <v>2010</v>
      </c>
      <c r="H475" s="109" t="s">
        <v>1713</v>
      </c>
      <c r="I475" s="396">
        <v>20</v>
      </c>
      <c r="J475" s="390" t="s">
        <v>1711</v>
      </c>
      <c r="K475" s="390">
        <v>10</v>
      </c>
      <c r="L475" s="523" t="e">
        <v>#VALUE!</v>
      </c>
      <c r="M475" s="338" t="s">
        <v>1711</v>
      </c>
      <c r="N475" s="29">
        <v>0</v>
      </c>
      <c r="O475" s="26">
        <v>0</v>
      </c>
      <c r="P475" s="29">
        <v>0</v>
      </c>
      <c r="Q475" s="183" t="s">
        <v>1707</v>
      </c>
      <c r="R475" s="367">
        <v>0</v>
      </c>
      <c r="S475" s="800"/>
      <c r="T475" s="418" t="s">
        <v>749</v>
      </c>
      <c r="U475" s="405">
        <v>0</v>
      </c>
      <c r="V475" s="129"/>
      <c r="W475" s="132"/>
      <c r="X475" s="427"/>
      <c r="Y475" s="410">
        <v>2</v>
      </c>
      <c r="Z475" s="431" t="s">
        <v>2042</v>
      </c>
      <c r="AA475" s="818">
        <v>6.5</v>
      </c>
      <c r="AB475" s="431">
        <v>4</v>
      </c>
      <c r="AC475" s="413">
        <v>3</v>
      </c>
      <c r="AD475" s="132">
        <v>0</v>
      </c>
      <c r="AE475" s="431">
        <v>5</v>
      </c>
      <c r="AF475" s="441" t="s">
        <v>2284</v>
      </c>
    </row>
    <row r="476" spans="1:32" s="285" customFormat="1" ht="27" customHeight="1">
      <c r="A476" s="352" t="s">
        <v>2359</v>
      </c>
      <c r="B476" s="353">
        <v>21</v>
      </c>
      <c r="C476" s="352" t="s">
        <v>2360</v>
      </c>
      <c r="D476" s="340">
        <v>5</v>
      </c>
      <c r="E476" s="366" t="s">
        <v>2363</v>
      </c>
      <c r="F476" s="350">
        <v>44915</v>
      </c>
      <c r="G476" s="109" t="s">
        <v>2010</v>
      </c>
      <c r="H476" s="109" t="s">
        <v>1713</v>
      </c>
      <c r="I476" s="396">
        <v>20</v>
      </c>
      <c r="J476" s="390">
        <v>70</v>
      </c>
      <c r="K476" s="390">
        <v>70</v>
      </c>
      <c r="L476" s="523">
        <v>0</v>
      </c>
      <c r="M476" s="338" t="s">
        <v>1711</v>
      </c>
      <c r="N476" s="338" t="s">
        <v>1711</v>
      </c>
      <c r="O476" s="338" t="s">
        <v>1711</v>
      </c>
      <c r="P476" s="338" t="s">
        <v>1711</v>
      </c>
      <c r="Q476" s="183" t="s">
        <v>2112</v>
      </c>
      <c r="R476" s="367">
        <v>0</v>
      </c>
      <c r="S476" s="800"/>
      <c r="T476" s="423" t="s">
        <v>2018</v>
      </c>
      <c r="U476" s="391">
        <v>1</v>
      </c>
      <c r="V476" s="129">
        <v>32</v>
      </c>
      <c r="W476" s="132" t="s">
        <v>2019</v>
      </c>
      <c r="X476" s="427" t="s">
        <v>1711</v>
      </c>
      <c r="Y476" s="410">
        <v>2</v>
      </c>
      <c r="Z476" s="431" t="s">
        <v>1711</v>
      </c>
      <c r="AA476" s="818">
        <v>10.199999999999999</v>
      </c>
      <c r="AB476" s="431" t="s">
        <v>1738</v>
      </c>
      <c r="AC476" s="413"/>
      <c r="AD476" s="132"/>
      <c r="AE476" s="431"/>
      <c r="AF476" s="441" t="s">
        <v>2284</v>
      </c>
    </row>
    <row r="477" spans="1:32" s="285" customFormat="1" ht="27" customHeight="1">
      <c r="A477" s="352" t="s">
        <v>2359</v>
      </c>
      <c r="B477" s="353">
        <v>21</v>
      </c>
      <c r="C477" s="352" t="s">
        <v>2360</v>
      </c>
      <c r="D477" s="340">
        <v>6</v>
      </c>
      <c r="E477" s="366" t="s">
        <v>2364</v>
      </c>
      <c r="F477" s="350">
        <v>44911</v>
      </c>
      <c r="G477" s="109" t="s">
        <v>2009</v>
      </c>
      <c r="H477" s="314" t="s">
        <v>1905</v>
      </c>
      <c r="I477" s="396">
        <v>15</v>
      </c>
      <c r="J477" s="390">
        <v>10</v>
      </c>
      <c r="K477" s="390">
        <v>20</v>
      </c>
      <c r="L477" s="523">
        <v>-10</v>
      </c>
      <c r="M477" s="338" t="s">
        <v>1711</v>
      </c>
      <c r="N477" s="338" t="s">
        <v>1711</v>
      </c>
      <c r="O477" s="338" t="s">
        <v>1711</v>
      </c>
      <c r="P477" s="29">
        <v>0</v>
      </c>
      <c r="Q477" s="183" t="s">
        <v>1707</v>
      </c>
      <c r="R477" s="367">
        <v>0</v>
      </c>
      <c r="S477" s="800"/>
      <c r="T477" s="419">
        <v>104.4</v>
      </c>
      <c r="U477" s="391">
        <v>0</v>
      </c>
      <c r="V477" s="129"/>
      <c r="W477" s="132"/>
      <c r="X477" s="427"/>
      <c r="Y477" s="410">
        <v>1</v>
      </c>
      <c r="Z477" s="396">
        <v>0</v>
      </c>
      <c r="AA477" s="818">
        <v>21.72</v>
      </c>
      <c r="AB477" s="431" t="s">
        <v>1738</v>
      </c>
      <c r="AC477" s="413"/>
      <c r="AD477" s="132"/>
      <c r="AE477" s="431"/>
      <c r="AF477" s="441" t="s">
        <v>2284</v>
      </c>
    </row>
    <row r="478" spans="1:32" s="285" customFormat="1" ht="27" customHeight="1">
      <c r="A478" s="352" t="s">
        <v>2359</v>
      </c>
      <c r="B478" s="353">
        <v>21</v>
      </c>
      <c r="C478" s="352" t="s">
        <v>2360</v>
      </c>
      <c r="D478" s="340">
        <v>7</v>
      </c>
      <c r="E478" s="366" t="s">
        <v>2365</v>
      </c>
      <c r="F478" s="350">
        <v>44911</v>
      </c>
      <c r="G478" s="109" t="s">
        <v>2009</v>
      </c>
      <c r="H478" s="314" t="s">
        <v>1905</v>
      </c>
      <c r="I478" s="396">
        <v>15</v>
      </c>
      <c r="J478" s="390">
        <v>10</v>
      </c>
      <c r="K478" s="390">
        <v>10</v>
      </c>
      <c r="L478" s="523">
        <v>0</v>
      </c>
      <c r="M478" s="338" t="s">
        <v>1711</v>
      </c>
      <c r="N478" s="29">
        <v>0</v>
      </c>
      <c r="O478" s="338" t="s">
        <v>1711</v>
      </c>
      <c r="P478" s="29">
        <v>0</v>
      </c>
      <c r="Q478" s="183" t="s">
        <v>2112</v>
      </c>
      <c r="R478" s="367" t="s">
        <v>2014</v>
      </c>
      <c r="S478" s="800"/>
      <c r="T478" s="419">
        <v>62.4</v>
      </c>
      <c r="U478" s="391">
        <v>0</v>
      </c>
      <c r="V478" s="129"/>
      <c r="W478" s="132"/>
      <c r="X478" s="427"/>
      <c r="Y478" s="410">
        <v>1</v>
      </c>
      <c r="Z478" s="396">
        <v>0</v>
      </c>
      <c r="AA478" s="818">
        <v>12.61</v>
      </c>
      <c r="AB478" s="431" t="s">
        <v>1738</v>
      </c>
      <c r="AC478" s="413"/>
      <c r="AD478" s="132"/>
      <c r="AE478" s="431"/>
      <c r="AF478" s="307" t="s">
        <v>1804</v>
      </c>
    </row>
    <row r="479" spans="1:32" s="285" customFormat="1" ht="27" customHeight="1">
      <c r="A479" s="352" t="s">
        <v>2359</v>
      </c>
      <c r="B479" s="353">
        <v>21</v>
      </c>
      <c r="C479" s="352" t="s">
        <v>2360</v>
      </c>
      <c r="D479" s="340">
        <v>8</v>
      </c>
      <c r="E479" s="366" t="s">
        <v>2366</v>
      </c>
      <c r="F479" s="350">
        <v>44906</v>
      </c>
      <c r="G479" s="109" t="s">
        <v>2009</v>
      </c>
      <c r="H479" s="109" t="s">
        <v>1713</v>
      </c>
      <c r="I479" s="396">
        <v>20</v>
      </c>
      <c r="J479" s="390">
        <v>50</v>
      </c>
      <c r="K479" s="390">
        <v>50</v>
      </c>
      <c r="L479" s="523">
        <v>0</v>
      </c>
      <c r="M479" s="367" t="s">
        <v>1711</v>
      </c>
      <c r="N479" s="26">
        <v>0</v>
      </c>
      <c r="O479" s="367" t="s">
        <v>1711</v>
      </c>
      <c r="P479" s="26">
        <v>0</v>
      </c>
      <c r="Q479" s="183" t="s">
        <v>2112</v>
      </c>
      <c r="R479" s="367">
        <v>0</v>
      </c>
      <c r="S479" s="800"/>
      <c r="T479" s="423" t="s">
        <v>2018</v>
      </c>
      <c r="U479" s="391">
        <v>0</v>
      </c>
      <c r="V479" s="129"/>
      <c r="W479" s="132"/>
      <c r="X479" s="427"/>
      <c r="Y479" s="410">
        <v>2</v>
      </c>
      <c r="Z479" s="431" t="s">
        <v>1711</v>
      </c>
      <c r="AA479" s="818">
        <v>8.92</v>
      </c>
      <c r="AB479" s="431">
        <v>4</v>
      </c>
      <c r="AC479" s="413">
        <v>0</v>
      </c>
      <c r="AD479" s="132">
        <v>2</v>
      </c>
      <c r="AE479" s="431">
        <v>0</v>
      </c>
      <c r="AF479" s="307" t="s">
        <v>2196</v>
      </c>
    </row>
    <row r="480" spans="1:32" ht="27" customHeight="1">
      <c r="A480" s="331" t="s">
        <v>2359</v>
      </c>
      <c r="B480" s="332">
        <v>21</v>
      </c>
      <c r="C480" s="331" t="s">
        <v>2360</v>
      </c>
      <c r="D480" s="340">
        <v>9</v>
      </c>
      <c r="E480" s="341" t="s">
        <v>2367</v>
      </c>
      <c r="F480" s="350">
        <v>44907</v>
      </c>
      <c r="G480" s="109" t="s">
        <v>2011</v>
      </c>
      <c r="H480" s="109" t="s">
        <v>1713</v>
      </c>
      <c r="I480" s="396">
        <v>20</v>
      </c>
      <c r="J480" s="390">
        <v>40</v>
      </c>
      <c r="K480" s="390">
        <v>40</v>
      </c>
      <c r="L480" s="523">
        <v>0</v>
      </c>
      <c r="M480" s="338" t="s">
        <v>1711</v>
      </c>
      <c r="N480" s="29">
        <v>0</v>
      </c>
      <c r="O480" s="29">
        <v>0</v>
      </c>
      <c r="P480" s="29">
        <v>0</v>
      </c>
      <c r="Q480" s="183" t="s">
        <v>2112</v>
      </c>
      <c r="R480" s="367">
        <v>0</v>
      </c>
      <c r="S480" s="800"/>
      <c r="T480" s="419">
        <v>75</v>
      </c>
      <c r="U480" s="405">
        <v>0</v>
      </c>
      <c r="V480" s="129"/>
      <c r="W480" s="132"/>
      <c r="X480" s="427"/>
      <c r="Y480" s="410">
        <v>1</v>
      </c>
      <c r="Z480" s="396">
        <v>0</v>
      </c>
      <c r="AA480" s="818">
        <v>2.13</v>
      </c>
      <c r="AB480" s="431">
        <v>3</v>
      </c>
      <c r="AC480" s="413">
        <v>0</v>
      </c>
      <c r="AD480" s="132">
        <v>0</v>
      </c>
      <c r="AE480" s="431">
        <v>7</v>
      </c>
      <c r="AF480" s="441" t="s">
        <v>2284</v>
      </c>
    </row>
    <row r="481" spans="1:32" s="285" customFormat="1" ht="27" customHeight="1">
      <c r="A481" s="352" t="s">
        <v>2359</v>
      </c>
      <c r="B481" s="353">
        <v>21</v>
      </c>
      <c r="C481" s="352" t="s">
        <v>2360</v>
      </c>
      <c r="D481" s="340">
        <v>10</v>
      </c>
      <c r="E481" s="366" t="s">
        <v>2368</v>
      </c>
      <c r="F481" s="109"/>
      <c r="G481" s="109" t="s">
        <v>2008</v>
      </c>
      <c r="H481" s="109" t="s">
        <v>2008</v>
      </c>
      <c r="I481" s="110"/>
      <c r="J481" s="391"/>
      <c r="K481" s="391"/>
      <c r="L481" s="523"/>
      <c r="M481" s="338"/>
      <c r="N481" s="338"/>
      <c r="O481" s="338"/>
      <c r="P481" s="338"/>
      <c r="Q481" s="109"/>
      <c r="R481" s="364"/>
      <c r="S481" s="801"/>
      <c r="T481" s="110"/>
      <c r="U481" s="403"/>
      <c r="V481" s="364"/>
      <c r="W481" s="109"/>
      <c r="X481" s="110"/>
      <c r="Y481" s="403"/>
      <c r="Z481" s="110"/>
      <c r="AA481" s="810"/>
      <c r="AB481" s="110"/>
      <c r="AC481" s="403"/>
      <c r="AD481" s="109"/>
      <c r="AE481" s="110"/>
      <c r="AF481" s="307"/>
    </row>
    <row r="482" spans="1:32" s="285" customFormat="1" ht="27" customHeight="1">
      <c r="A482" s="352" t="s">
        <v>2359</v>
      </c>
      <c r="B482" s="353">
        <v>21</v>
      </c>
      <c r="C482" s="352" t="s">
        <v>2360</v>
      </c>
      <c r="D482" s="340">
        <v>11</v>
      </c>
      <c r="E482" s="366" t="s">
        <v>2369</v>
      </c>
      <c r="F482" s="350">
        <v>44906</v>
      </c>
      <c r="G482" s="109" t="s">
        <v>2009</v>
      </c>
      <c r="H482" s="109" t="s">
        <v>1713</v>
      </c>
      <c r="I482" s="396">
        <v>20</v>
      </c>
      <c r="J482" s="390">
        <v>20</v>
      </c>
      <c r="K482" s="390">
        <v>20</v>
      </c>
      <c r="L482" s="523">
        <v>0</v>
      </c>
      <c r="M482" s="367" t="s">
        <v>1711</v>
      </c>
      <c r="N482" s="367" t="s">
        <v>1711</v>
      </c>
      <c r="O482" s="338" t="s">
        <v>1711</v>
      </c>
      <c r="P482" s="29">
        <v>0</v>
      </c>
      <c r="Q482" s="183" t="s">
        <v>1707</v>
      </c>
      <c r="R482" s="367" t="s">
        <v>2015</v>
      </c>
      <c r="S482" s="800"/>
      <c r="T482" s="419">
        <v>68.599999999999994</v>
      </c>
      <c r="U482" s="391">
        <v>0</v>
      </c>
      <c r="V482" s="129"/>
      <c r="W482" s="132"/>
      <c r="X482" s="427"/>
      <c r="Y482" s="410">
        <v>1</v>
      </c>
      <c r="Z482" s="431">
        <v>0</v>
      </c>
      <c r="AA482" s="818">
        <v>15.02</v>
      </c>
      <c r="AB482" s="431" t="s">
        <v>1738</v>
      </c>
      <c r="AC482" s="413">
        <v>0</v>
      </c>
      <c r="AD482" s="132">
        <v>0</v>
      </c>
      <c r="AE482" s="431">
        <v>4</v>
      </c>
      <c r="AF482" s="441" t="s">
        <v>2284</v>
      </c>
    </row>
    <row r="483" spans="1:32" ht="27" customHeight="1">
      <c r="A483" s="331" t="s">
        <v>2359</v>
      </c>
      <c r="B483" s="332">
        <v>21</v>
      </c>
      <c r="C483" s="331" t="s">
        <v>2360</v>
      </c>
      <c r="D483" s="340">
        <v>12</v>
      </c>
      <c r="E483" s="341" t="s">
        <v>2370</v>
      </c>
      <c r="F483" s="350">
        <v>44906</v>
      </c>
      <c r="G483" s="109" t="s">
        <v>2010</v>
      </c>
      <c r="H483" s="109" t="s">
        <v>1713</v>
      </c>
      <c r="I483" s="396">
        <v>30</v>
      </c>
      <c r="J483" s="390">
        <v>10</v>
      </c>
      <c r="K483" s="390">
        <v>10</v>
      </c>
      <c r="L483" s="523">
        <v>0</v>
      </c>
      <c r="M483" s="338" t="s">
        <v>1750</v>
      </c>
      <c r="N483" s="29">
        <v>0</v>
      </c>
      <c r="O483" s="29">
        <v>0</v>
      </c>
      <c r="P483" s="29">
        <v>0</v>
      </c>
      <c r="Q483" s="183" t="s">
        <v>1707</v>
      </c>
      <c r="R483" s="367">
        <v>0</v>
      </c>
      <c r="S483" s="800"/>
      <c r="T483" s="419" t="s">
        <v>749</v>
      </c>
      <c r="U483" s="391">
        <v>0</v>
      </c>
      <c r="V483" s="129"/>
      <c r="W483" s="132"/>
      <c r="X483" s="427"/>
      <c r="Y483" s="410">
        <v>1</v>
      </c>
      <c r="Z483" s="396">
        <v>0</v>
      </c>
      <c r="AA483" s="818">
        <v>206.85</v>
      </c>
      <c r="AB483" s="396">
        <v>7</v>
      </c>
      <c r="AC483" s="413"/>
      <c r="AD483" s="132"/>
      <c r="AE483" s="431"/>
      <c r="AF483" s="441" t="s">
        <v>2284</v>
      </c>
    </row>
    <row r="484" spans="1:32" s="285" customFormat="1" ht="27" customHeight="1">
      <c r="A484" s="352" t="s">
        <v>2359</v>
      </c>
      <c r="B484" s="353">
        <v>21</v>
      </c>
      <c r="C484" s="352" t="s">
        <v>2360</v>
      </c>
      <c r="D484" s="340">
        <v>13</v>
      </c>
      <c r="E484" s="366" t="s">
        <v>2371</v>
      </c>
      <c r="F484" s="350">
        <v>44905</v>
      </c>
      <c r="G484" s="109" t="s">
        <v>2012</v>
      </c>
      <c r="H484" s="109" t="s">
        <v>1713</v>
      </c>
      <c r="I484" s="396">
        <v>20</v>
      </c>
      <c r="J484" s="390">
        <v>60</v>
      </c>
      <c r="K484" s="390">
        <v>60</v>
      </c>
      <c r="L484" s="523">
        <v>0</v>
      </c>
      <c r="M484" s="338" t="s">
        <v>1750</v>
      </c>
      <c r="N484" s="29">
        <v>40</v>
      </c>
      <c r="O484" s="29">
        <v>0</v>
      </c>
      <c r="P484" s="29">
        <v>0</v>
      </c>
      <c r="Q484" s="183" t="s">
        <v>1893</v>
      </c>
      <c r="R484" s="367">
        <v>0</v>
      </c>
      <c r="S484" s="800"/>
      <c r="T484" s="419">
        <v>40</v>
      </c>
      <c r="U484" s="391">
        <v>0</v>
      </c>
      <c r="V484" s="129"/>
      <c r="W484" s="132"/>
      <c r="X484" s="427"/>
      <c r="Y484" s="410">
        <v>1</v>
      </c>
      <c r="Z484" s="396">
        <v>0</v>
      </c>
      <c r="AA484" s="818">
        <v>8.5500000000000007</v>
      </c>
      <c r="AB484" s="431">
        <v>4</v>
      </c>
      <c r="AC484" s="413">
        <v>2</v>
      </c>
      <c r="AD484" s="132">
        <v>0</v>
      </c>
      <c r="AE484" s="431">
        <v>0</v>
      </c>
      <c r="AF484" s="307" t="s">
        <v>2196</v>
      </c>
    </row>
    <row r="485" spans="1:32" s="285" customFormat="1" ht="27" customHeight="1">
      <c r="A485" s="352" t="s">
        <v>2359</v>
      </c>
      <c r="B485" s="353">
        <v>21</v>
      </c>
      <c r="C485" s="352" t="s">
        <v>2360</v>
      </c>
      <c r="D485" s="340">
        <v>14</v>
      </c>
      <c r="E485" s="366" t="s">
        <v>2372</v>
      </c>
      <c r="F485" s="350">
        <v>44737</v>
      </c>
      <c r="G485" s="109" t="s">
        <v>2012</v>
      </c>
      <c r="H485" s="109" t="s">
        <v>1713</v>
      </c>
      <c r="I485" s="396">
        <v>30</v>
      </c>
      <c r="J485" s="390">
        <v>20</v>
      </c>
      <c r="K485" s="390">
        <v>20</v>
      </c>
      <c r="L485" s="523">
        <v>0</v>
      </c>
      <c r="M485" s="26">
        <v>0</v>
      </c>
      <c r="N485" s="26">
        <v>0</v>
      </c>
      <c r="O485" s="26">
        <v>0</v>
      </c>
      <c r="P485" s="26">
        <v>0</v>
      </c>
      <c r="Q485" s="183" t="s">
        <v>2112</v>
      </c>
      <c r="R485" s="367">
        <v>0</v>
      </c>
      <c r="S485" s="800"/>
      <c r="T485" s="423" t="s">
        <v>2018</v>
      </c>
      <c r="U485" s="405">
        <v>0</v>
      </c>
      <c r="V485" s="129"/>
      <c r="W485" s="132"/>
      <c r="X485" s="427"/>
      <c r="Y485" s="410">
        <v>2</v>
      </c>
      <c r="Z485" s="431" t="s">
        <v>2042</v>
      </c>
      <c r="AA485" s="818">
        <v>5.16</v>
      </c>
      <c r="AB485" s="431">
        <v>4</v>
      </c>
      <c r="AC485" s="413">
        <v>0</v>
      </c>
      <c r="AD485" s="132">
        <v>0</v>
      </c>
      <c r="AE485" s="431">
        <v>2</v>
      </c>
      <c r="AF485" s="441" t="s">
        <v>2284</v>
      </c>
    </row>
    <row r="486" spans="1:32" s="285" customFormat="1" ht="27" customHeight="1">
      <c r="A486" s="352" t="s">
        <v>2359</v>
      </c>
      <c r="B486" s="353">
        <v>21</v>
      </c>
      <c r="C486" s="352" t="s">
        <v>2360</v>
      </c>
      <c r="D486" s="340">
        <v>15</v>
      </c>
      <c r="E486" s="366" t="s">
        <v>2373</v>
      </c>
      <c r="F486" s="350">
        <v>44907</v>
      </c>
      <c r="G486" s="109" t="s">
        <v>2011</v>
      </c>
      <c r="H486" s="109" t="s">
        <v>1713</v>
      </c>
      <c r="I486" s="396">
        <v>30</v>
      </c>
      <c r="J486" s="390">
        <v>70</v>
      </c>
      <c r="K486" s="390">
        <v>70</v>
      </c>
      <c r="L486" s="523">
        <v>0</v>
      </c>
      <c r="M486" s="26">
        <v>0</v>
      </c>
      <c r="N486" s="26">
        <v>0</v>
      </c>
      <c r="O486" s="26">
        <v>0</v>
      </c>
      <c r="P486" s="26">
        <v>0</v>
      </c>
      <c r="Q486" s="183" t="s">
        <v>2112</v>
      </c>
      <c r="R486" s="367">
        <v>0</v>
      </c>
      <c r="S486" s="800"/>
      <c r="T486" s="419">
        <v>83</v>
      </c>
      <c r="U486" s="391">
        <v>0</v>
      </c>
      <c r="V486" s="129"/>
      <c r="W486" s="132"/>
      <c r="X486" s="427"/>
      <c r="Y486" s="410">
        <v>2</v>
      </c>
      <c r="Z486" s="396" t="s">
        <v>1711</v>
      </c>
      <c r="AA486" s="818">
        <v>14.15</v>
      </c>
      <c r="AB486" s="431" t="s">
        <v>1738</v>
      </c>
      <c r="AC486" s="413">
        <v>6</v>
      </c>
      <c r="AD486" s="132">
        <v>0</v>
      </c>
      <c r="AE486" s="431">
        <v>3</v>
      </c>
      <c r="AF486" s="441" t="s">
        <v>2284</v>
      </c>
    </row>
    <row r="487" spans="1:32" ht="27" customHeight="1">
      <c r="A487" s="331" t="s">
        <v>2359</v>
      </c>
      <c r="B487" s="332">
        <v>21</v>
      </c>
      <c r="C487" s="331" t="s">
        <v>2360</v>
      </c>
      <c r="D487" s="340">
        <v>16</v>
      </c>
      <c r="E487" s="341" t="s">
        <v>2374</v>
      </c>
      <c r="F487" s="350">
        <v>44901</v>
      </c>
      <c r="G487" s="109" t="s">
        <v>2012</v>
      </c>
      <c r="H487" s="109" t="s">
        <v>1713</v>
      </c>
      <c r="I487" s="396">
        <v>30</v>
      </c>
      <c r="J487" s="390" t="s">
        <v>2042</v>
      </c>
      <c r="K487" s="390">
        <v>10</v>
      </c>
      <c r="L487" s="523" t="e">
        <v>#VALUE!</v>
      </c>
      <c r="M487" s="367" t="s">
        <v>1711</v>
      </c>
      <c r="N487" s="26">
        <v>0</v>
      </c>
      <c r="O487" s="367" t="s">
        <v>1750</v>
      </c>
      <c r="P487" s="29">
        <v>0</v>
      </c>
      <c r="Q487" s="183" t="s">
        <v>1707</v>
      </c>
      <c r="R487" s="367" t="s">
        <v>2016</v>
      </c>
      <c r="S487" s="800"/>
      <c r="T487" s="418">
        <v>33.799999999999997</v>
      </c>
      <c r="U487" s="410">
        <v>0</v>
      </c>
      <c r="V487" s="129"/>
      <c r="W487" s="132"/>
      <c r="X487" s="427"/>
      <c r="Y487" s="410">
        <v>2</v>
      </c>
      <c r="Z487" s="431" t="s">
        <v>1711</v>
      </c>
      <c r="AA487" s="818">
        <v>6.2</v>
      </c>
      <c r="AB487" s="431">
        <v>4</v>
      </c>
      <c r="AC487" s="413">
        <v>2</v>
      </c>
      <c r="AD487" s="132">
        <v>0</v>
      </c>
      <c r="AE487" s="431">
        <v>22</v>
      </c>
      <c r="AF487" s="441" t="s">
        <v>2320</v>
      </c>
    </row>
    <row r="488" spans="1:32" ht="27" customHeight="1">
      <c r="A488" s="331" t="s">
        <v>2359</v>
      </c>
      <c r="B488" s="332">
        <v>21</v>
      </c>
      <c r="C488" s="331" t="s">
        <v>2360</v>
      </c>
      <c r="D488" s="340">
        <v>17</v>
      </c>
      <c r="E488" s="341" t="s">
        <v>2375</v>
      </c>
      <c r="F488" s="350">
        <v>44901</v>
      </c>
      <c r="G488" s="109" t="s">
        <v>2012</v>
      </c>
      <c r="H488" s="109" t="s">
        <v>1713</v>
      </c>
      <c r="I488" s="110"/>
      <c r="J488" s="391" t="s">
        <v>1711</v>
      </c>
      <c r="K488" s="391"/>
      <c r="L488" s="523"/>
      <c r="M488" s="29">
        <v>0</v>
      </c>
      <c r="N488" s="29">
        <v>0</v>
      </c>
      <c r="O488" s="29">
        <v>0</v>
      </c>
      <c r="P488" s="29">
        <v>0</v>
      </c>
      <c r="Q488" s="183" t="s">
        <v>1707</v>
      </c>
      <c r="R488" s="364" t="s">
        <v>2017</v>
      </c>
      <c r="S488" s="801"/>
      <c r="T488" s="110">
        <v>23.2</v>
      </c>
      <c r="U488" s="410">
        <v>0</v>
      </c>
      <c r="V488" s="364"/>
      <c r="W488" s="109"/>
      <c r="X488" s="110"/>
      <c r="Y488" s="410">
        <v>2</v>
      </c>
      <c r="Z488" s="110" t="s">
        <v>1711</v>
      </c>
      <c r="AA488" s="810">
        <v>17.29</v>
      </c>
      <c r="AB488" s="110" t="s">
        <v>1738</v>
      </c>
      <c r="AC488" s="410">
        <v>6</v>
      </c>
      <c r="AD488" s="29">
        <v>0</v>
      </c>
      <c r="AE488" s="396">
        <v>10</v>
      </c>
      <c r="AF488" s="441" t="s">
        <v>2320</v>
      </c>
    </row>
    <row r="489" spans="1:32" s="285" customFormat="1" ht="27" customHeight="1" thickBot="1">
      <c r="A489" s="514" t="s">
        <v>2359</v>
      </c>
      <c r="B489" s="515">
        <v>21</v>
      </c>
      <c r="C489" s="514" t="s">
        <v>2360</v>
      </c>
      <c r="D489" s="467">
        <v>18</v>
      </c>
      <c r="E489" s="516" t="s">
        <v>2376</v>
      </c>
      <c r="F489" s="478"/>
      <c r="G489" s="479"/>
      <c r="H489" s="479"/>
      <c r="I489" s="487"/>
      <c r="J489" s="497"/>
      <c r="K489" s="497">
        <v>60</v>
      </c>
      <c r="L489" s="523"/>
      <c r="M489" s="517"/>
      <c r="N489" s="517"/>
      <c r="O489" s="517"/>
      <c r="P489" s="517"/>
      <c r="Q489" s="193"/>
      <c r="R489" s="482"/>
      <c r="S489" s="795"/>
      <c r="T489" s="483"/>
      <c r="U489" s="518"/>
      <c r="V489" s="594"/>
      <c r="W489" s="583"/>
      <c r="X489" s="485"/>
      <c r="Y489" s="486"/>
      <c r="Z489" s="503"/>
      <c r="AA489" s="819"/>
      <c r="AB489" s="503"/>
      <c r="AC489" s="519"/>
      <c r="AD489" s="583"/>
      <c r="AE489" s="503"/>
      <c r="AF489" s="504"/>
    </row>
    <row r="490" spans="1:32" s="285" customFormat="1" ht="27" customHeight="1" thickTop="1">
      <c r="A490" s="505" t="s">
        <v>2377</v>
      </c>
      <c r="B490" s="506">
        <v>22</v>
      </c>
      <c r="C490" s="505" t="s">
        <v>2378</v>
      </c>
      <c r="D490" s="506">
        <v>1</v>
      </c>
      <c r="E490" s="507" t="s">
        <v>1767</v>
      </c>
      <c r="F490" s="508">
        <v>44854</v>
      </c>
      <c r="G490" s="141" t="s">
        <v>2379</v>
      </c>
      <c r="H490" s="308" t="s">
        <v>1713</v>
      </c>
      <c r="I490" s="464"/>
      <c r="J490" s="389">
        <v>30</v>
      </c>
      <c r="K490" s="389">
        <v>30</v>
      </c>
      <c r="L490" s="389">
        <v>0</v>
      </c>
      <c r="M490" s="509">
        <v>0</v>
      </c>
      <c r="N490" s="509">
        <v>0</v>
      </c>
      <c r="O490" s="509">
        <v>0</v>
      </c>
      <c r="P490" s="509">
        <v>0</v>
      </c>
      <c r="Q490" s="311" t="s">
        <v>1707</v>
      </c>
      <c r="R490" s="509">
        <v>3</v>
      </c>
      <c r="S490" s="775"/>
      <c r="T490" s="510">
        <v>64</v>
      </c>
      <c r="U490" s="511">
        <v>0</v>
      </c>
      <c r="V490" s="138"/>
      <c r="W490" s="141"/>
      <c r="X490" s="512">
        <v>0</v>
      </c>
      <c r="Y490" s="463">
        <v>2</v>
      </c>
      <c r="Z490" s="464" t="s">
        <v>1711</v>
      </c>
      <c r="AA490" s="817">
        <v>3.4617777777777774</v>
      </c>
      <c r="AB490" s="464">
        <v>3</v>
      </c>
      <c r="AC490" s="524">
        <v>1</v>
      </c>
      <c r="AD490" s="141">
        <v>0</v>
      </c>
      <c r="AE490" s="464">
        <v>2</v>
      </c>
      <c r="AF490" s="513" t="s">
        <v>1804</v>
      </c>
    </row>
    <row r="491" spans="1:32" s="285" customFormat="1" ht="27" customHeight="1">
      <c r="A491" s="368" t="s">
        <v>2377</v>
      </c>
      <c r="B491" s="369">
        <v>22</v>
      </c>
      <c r="C491" s="368" t="s">
        <v>2378</v>
      </c>
      <c r="D491" s="369">
        <v>2</v>
      </c>
      <c r="E491" s="370" t="s">
        <v>2380</v>
      </c>
      <c r="F491" s="371">
        <v>44882</v>
      </c>
      <c r="G491" s="132" t="s">
        <v>2379</v>
      </c>
      <c r="H491" s="109" t="s">
        <v>1713</v>
      </c>
      <c r="I491" s="431"/>
      <c r="J491" s="392" t="s">
        <v>1711</v>
      </c>
      <c r="K491" s="392">
        <v>2.5</v>
      </c>
      <c r="L491" s="389" t="e">
        <v>#VALUE!</v>
      </c>
      <c r="M491" s="372">
        <v>0</v>
      </c>
      <c r="N491" s="372">
        <v>0</v>
      </c>
      <c r="O491" s="372">
        <v>0</v>
      </c>
      <c r="P491" s="372">
        <v>0</v>
      </c>
      <c r="Q491" s="183" t="s">
        <v>1707</v>
      </c>
      <c r="R491" s="372">
        <v>1</v>
      </c>
      <c r="S491" s="776"/>
      <c r="T491" s="424">
        <v>26</v>
      </c>
      <c r="U491" s="406">
        <v>0</v>
      </c>
      <c r="V491" s="129"/>
      <c r="W491" s="132"/>
      <c r="X491" s="430">
        <v>0</v>
      </c>
      <c r="Y491" s="410">
        <v>1</v>
      </c>
      <c r="Z491" s="431">
        <v>0</v>
      </c>
      <c r="AA491" s="820">
        <v>11.435384615384617</v>
      </c>
      <c r="AB491" s="431" t="s">
        <v>1738</v>
      </c>
      <c r="AC491" s="413">
        <v>0</v>
      </c>
      <c r="AD491" s="132">
        <v>0</v>
      </c>
      <c r="AE491" s="431">
        <v>2</v>
      </c>
      <c r="AF491" s="441" t="s">
        <v>1804</v>
      </c>
    </row>
    <row r="492" spans="1:32" s="285" customFormat="1" ht="27" customHeight="1">
      <c r="A492" s="368" t="s">
        <v>2377</v>
      </c>
      <c r="B492" s="369">
        <v>22</v>
      </c>
      <c r="C492" s="368" t="s">
        <v>2378</v>
      </c>
      <c r="D492" s="369">
        <v>3</v>
      </c>
      <c r="E492" s="370" t="s">
        <v>1768</v>
      </c>
      <c r="F492" s="371">
        <v>44922</v>
      </c>
      <c r="G492" s="132" t="s">
        <v>2379</v>
      </c>
      <c r="H492" s="109" t="s">
        <v>1713</v>
      </c>
      <c r="I492" s="431"/>
      <c r="J492" s="390">
        <v>10</v>
      </c>
      <c r="K492" s="390">
        <v>10</v>
      </c>
      <c r="L492" s="389">
        <v>0</v>
      </c>
      <c r="M492" s="372">
        <v>0</v>
      </c>
      <c r="N492" s="372">
        <v>0</v>
      </c>
      <c r="O492" s="372">
        <v>0</v>
      </c>
      <c r="P492" s="372">
        <v>0</v>
      </c>
      <c r="Q492" s="183" t="s">
        <v>2112</v>
      </c>
      <c r="R492" s="372">
        <v>3</v>
      </c>
      <c r="S492" s="776"/>
      <c r="T492" s="424">
        <v>68</v>
      </c>
      <c r="U492" s="406">
        <v>6</v>
      </c>
      <c r="V492" s="595"/>
      <c r="W492" s="132" t="s">
        <v>2019</v>
      </c>
      <c r="X492" s="431" t="s">
        <v>1711</v>
      </c>
      <c r="Y492" s="410">
        <v>1</v>
      </c>
      <c r="Z492" s="431">
        <v>0</v>
      </c>
      <c r="AA492" s="820">
        <v>8.1521052631578943</v>
      </c>
      <c r="AB492" s="431">
        <v>4</v>
      </c>
      <c r="AC492" s="413"/>
      <c r="AD492" s="132"/>
      <c r="AE492" s="431"/>
      <c r="AF492" s="441" t="s">
        <v>1804</v>
      </c>
    </row>
    <row r="493" spans="1:32" s="285" customFormat="1" ht="27" customHeight="1">
      <c r="A493" s="368" t="s">
        <v>2377</v>
      </c>
      <c r="B493" s="369">
        <v>22</v>
      </c>
      <c r="C493" s="368" t="s">
        <v>2378</v>
      </c>
      <c r="D493" s="369">
        <v>4</v>
      </c>
      <c r="E493" s="370" t="s">
        <v>1769</v>
      </c>
      <c r="F493" s="371">
        <v>44915</v>
      </c>
      <c r="G493" s="132" t="s">
        <v>2379</v>
      </c>
      <c r="H493" s="109" t="s">
        <v>1713</v>
      </c>
      <c r="I493" s="431"/>
      <c r="J493" s="390">
        <v>30</v>
      </c>
      <c r="K493" s="390">
        <v>30</v>
      </c>
      <c r="L493" s="389">
        <v>0</v>
      </c>
      <c r="M493" s="372">
        <v>0</v>
      </c>
      <c r="N493" s="372">
        <v>0</v>
      </c>
      <c r="O493" s="372">
        <v>0</v>
      </c>
      <c r="P493" s="372">
        <v>0</v>
      </c>
      <c r="Q493" s="183" t="s">
        <v>1894</v>
      </c>
      <c r="R493" s="372">
        <v>0</v>
      </c>
      <c r="S493" s="776"/>
      <c r="T493" s="424">
        <v>32</v>
      </c>
      <c r="U493" s="406">
        <v>0</v>
      </c>
      <c r="V493" s="129"/>
      <c r="W493" s="132"/>
      <c r="X493" s="430">
        <v>0</v>
      </c>
      <c r="Y493" s="410">
        <v>1</v>
      </c>
      <c r="Z493" s="431">
        <v>0</v>
      </c>
      <c r="AA493" s="820">
        <v>12.536666666666665</v>
      </c>
      <c r="AB493" s="431" t="s">
        <v>1738</v>
      </c>
      <c r="AC493" s="413">
        <v>3</v>
      </c>
      <c r="AD493" s="132">
        <v>0</v>
      </c>
      <c r="AE493" s="431">
        <v>2</v>
      </c>
      <c r="AF493" s="441" t="s">
        <v>2196</v>
      </c>
    </row>
    <row r="494" spans="1:32" s="285" customFormat="1" ht="27" customHeight="1">
      <c r="A494" s="368" t="s">
        <v>2377</v>
      </c>
      <c r="B494" s="369">
        <v>22</v>
      </c>
      <c r="C494" s="368" t="s">
        <v>2378</v>
      </c>
      <c r="D494" s="369">
        <v>5</v>
      </c>
      <c r="E494" s="370" t="s">
        <v>1770</v>
      </c>
      <c r="F494" s="373">
        <v>44915</v>
      </c>
      <c r="G494" s="132" t="s">
        <v>2379</v>
      </c>
      <c r="H494" s="109" t="s">
        <v>1713</v>
      </c>
      <c r="I494" s="431"/>
      <c r="J494" s="390">
        <v>20</v>
      </c>
      <c r="K494" s="390">
        <v>10</v>
      </c>
      <c r="L494" s="389">
        <v>10</v>
      </c>
      <c r="M494" s="372" t="s">
        <v>1711</v>
      </c>
      <c r="N494" s="372">
        <v>0</v>
      </c>
      <c r="O494" s="372">
        <v>0</v>
      </c>
      <c r="P494" s="372">
        <v>0</v>
      </c>
      <c r="Q494" s="183" t="s">
        <v>1894</v>
      </c>
      <c r="R494" s="372">
        <v>0</v>
      </c>
      <c r="S494" s="776"/>
      <c r="T494" s="424">
        <v>40</v>
      </c>
      <c r="U494" s="406">
        <v>17</v>
      </c>
      <c r="V494" s="595"/>
      <c r="W494" s="132" t="s">
        <v>1719</v>
      </c>
      <c r="X494" s="431" t="s">
        <v>1711</v>
      </c>
      <c r="Y494" s="410">
        <v>1</v>
      </c>
      <c r="Z494" s="431">
        <v>0</v>
      </c>
      <c r="AA494" s="820">
        <v>4.3160606060606064</v>
      </c>
      <c r="AB494" s="431">
        <v>3</v>
      </c>
      <c r="AC494" s="413"/>
      <c r="AD494" s="132"/>
      <c r="AE494" s="431"/>
      <c r="AF494" s="441" t="s">
        <v>1804</v>
      </c>
    </row>
    <row r="495" spans="1:32" s="285" customFormat="1" ht="27" customHeight="1">
      <c r="A495" s="368" t="s">
        <v>2377</v>
      </c>
      <c r="B495" s="369">
        <v>22</v>
      </c>
      <c r="C495" s="368" t="s">
        <v>2378</v>
      </c>
      <c r="D495" s="369">
        <v>6</v>
      </c>
      <c r="E495" s="370" t="s">
        <v>2381</v>
      </c>
      <c r="F495" s="371">
        <v>44922</v>
      </c>
      <c r="G495" s="132" t="s">
        <v>2379</v>
      </c>
      <c r="H495" s="109" t="s">
        <v>1713</v>
      </c>
      <c r="I495" s="431"/>
      <c r="J495" s="390">
        <v>40</v>
      </c>
      <c r="K495" s="390">
        <v>30</v>
      </c>
      <c r="L495" s="389">
        <v>10</v>
      </c>
      <c r="M495" s="372">
        <v>0</v>
      </c>
      <c r="N495" s="372">
        <v>0</v>
      </c>
      <c r="O495" s="372">
        <v>0</v>
      </c>
      <c r="P495" s="372">
        <v>0</v>
      </c>
      <c r="Q495" s="314" t="s">
        <v>2382</v>
      </c>
      <c r="R495" s="372">
        <v>0</v>
      </c>
      <c r="S495" s="776"/>
      <c r="T495" s="424">
        <v>96</v>
      </c>
      <c r="U495" s="406">
        <v>4</v>
      </c>
      <c r="V495" s="129"/>
      <c r="W495" s="132" t="s">
        <v>1719</v>
      </c>
      <c r="X495" s="430" t="s">
        <v>1711</v>
      </c>
      <c r="Y495" s="413">
        <v>2</v>
      </c>
      <c r="Z495" s="431" t="s">
        <v>1711</v>
      </c>
      <c r="AA495" s="818">
        <v>7.7</v>
      </c>
      <c r="AB495" s="431">
        <v>4</v>
      </c>
      <c r="AC495" s="413"/>
      <c r="AD495" s="132"/>
      <c r="AE495" s="431"/>
      <c r="AF495" s="441" t="s">
        <v>1804</v>
      </c>
    </row>
    <row r="496" spans="1:32" ht="27" customHeight="1">
      <c r="A496" s="374" t="s">
        <v>2377</v>
      </c>
      <c r="B496" s="375">
        <v>22</v>
      </c>
      <c r="C496" s="374" t="s">
        <v>2378</v>
      </c>
      <c r="D496" s="375">
        <v>7</v>
      </c>
      <c r="E496" s="375" t="s">
        <v>1771</v>
      </c>
      <c r="F496" s="371">
        <v>44874</v>
      </c>
      <c r="G496" s="132" t="s">
        <v>2379</v>
      </c>
      <c r="H496" s="109" t="s">
        <v>1713</v>
      </c>
      <c r="I496" s="431"/>
      <c r="J496" s="390">
        <v>40</v>
      </c>
      <c r="K496" s="390">
        <v>50</v>
      </c>
      <c r="L496" s="389">
        <v>-10</v>
      </c>
      <c r="M496" s="372" t="s">
        <v>1711</v>
      </c>
      <c r="N496" s="372" t="s">
        <v>1711</v>
      </c>
      <c r="O496" s="372">
        <v>0</v>
      </c>
      <c r="P496" s="372">
        <v>0</v>
      </c>
      <c r="Q496" s="183" t="s">
        <v>2112</v>
      </c>
      <c r="R496" s="372">
        <v>0</v>
      </c>
      <c r="S496" s="776"/>
      <c r="T496" s="424">
        <v>122</v>
      </c>
      <c r="U496" s="406">
        <v>0</v>
      </c>
      <c r="V496" s="595"/>
      <c r="W496" s="132"/>
      <c r="X496" s="431">
        <v>0</v>
      </c>
      <c r="Y496" s="409">
        <v>1</v>
      </c>
      <c r="Z496" s="431">
        <v>0</v>
      </c>
      <c r="AA496" s="818">
        <v>5.0341379310344827</v>
      </c>
      <c r="AB496" s="431">
        <v>4</v>
      </c>
      <c r="AC496" s="413">
        <v>4</v>
      </c>
      <c r="AD496" s="132">
        <v>0</v>
      </c>
      <c r="AE496" s="431">
        <v>0</v>
      </c>
      <c r="AF496" s="441" t="s">
        <v>2196</v>
      </c>
    </row>
    <row r="497" spans="1:32" s="285" customFormat="1" ht="27" customHeight="1">
      <c r="A497" s="368" t="s">
        <v>2377</v>
      </c>
      <c r="B497" s="369">
        <v>22</v>
      </c>
      <c r="C497" s="368" t="s">
        <v>2378</v>
      </c>
      <c r="D497" s="369">
        <v>8</v>
      </c>
      <c r="E497" s="370" t="s">
        <v>2383</v>
      </c>
      <c r="F497" s="371">
        <v>44874</v>
      </c>
      <c r="G497" s="132" t="s">
        <v>2379</v>
      </c>
      <c r="H497" s="109" t="s">
        <v>1713</v>
      </c>
      <c r="I497" s="431"/>
      <c r="J497" s="390">
        <v>40</v>
      </c>
      <c r="K497" s="390">
        <v>20</v>
      </c>
      <c r="L497" s="389">
        <v>20</v>
      </c>
      <c r="M497" s="372" t="s">
        <v>1711</v>
      </c>
      <c r="N497" s="372" t="s">
        <v>1711</v>
      </c>
      <c r="O497" s="372">
        <v>0</v>
      </c>
      <c r="P497" s="372">
        <v>0</v>
      </c>
      <c r="Q497" s="183" t="s">
        <v>2112</v>
      </c>
      <c r="R497" s="372">
        <v>1</v>
      </c>
      <c r="S497" s="776"/>
      <c r="T497" s="424">
        <v>94</v>
      </c>
      <c r="U497" s="406">
        <v>3</v>
      </c>
      <c r="V497" s="595" t="s">
        <v>2323</v>
      </c>
      <c r="W497" s="132" t="s">
        <v>2019</v>
      </c>
      <c r="X497" s="431" t="s">
        <v>1711</v>
      </c>
      <c r="Y497" s="409">
        <v>1</v>
      </c>
      <c r="Z497" s="431">
        <v>0</v>
      </c>
      <c r="AA497" s="818">
        <v>1.896521739130435</v>
      </c>
      <c r="AB497" s="431">
        <v>3</v>
      </c>
      <c r="AC497" s="413">
        <v>0</v>
      </c>
      <c r="AD497" s="132">
        <v>0</v>
      </c>
      <c r="AE497" s="431">
        <v>7</v>
      </c>
      <c r="AF497" s="441" t="s">
        <v>1804</v>
      </c>
    </row>
    <row r="498" spans="1:32" s="285" customFormat="1" ht="27" customHeight="1">
      <c r="A498" s="368" t="s">
        <v>2377</v>
      </c>
      <c r="B498" s="369">
        <v>22</v>
      </c>
      <c r="C498" s="368" t="s">
        <v>2378</v>
      </c>
      <c r="D498" s="369">
        <v>9</v>
      </c>
      <c r="E498" s="370" t="s">
        <v>2384</v>
      </c>
      <c r="F498" s="371">
        <v>44874</v>
      </c>
      <c r="G498" s="132" t="s">
        <v>2379</v>
      </c>
      <c r="H498" s="109" t="s">
        <v>1713</v>
      </c>
      <c r="I498" s="431"/>
      <c r="J498" s="392" t="s">
        <v>1711</v>
      </c>
      <c r="K498" s="392">
        <v>2.5</v>
      </c>
      <c r="L498" s="389" t="e">
        <v>#VALUE!</v>
      </c>
      <c r="M498" s="372">
        <v>0</v>
      </c>
      <c r="N498" s="372">
        <v>0</v>
      </c>
      <c r="O498" s="372">
        <v>0</v>
      </c>
      <c r="P498" s="372">
        <v>0</v>
      </c>
      <c r="Q498" s="183" t="s">
        <v>1707</v>
      </c>
      <c r="R498" s="372">
        <v>0</v>
      </c>
      <c r="S498" s="776"/>
      <c r="T498" s="424">
        <v>0</v>
      </c>
      <c r="U498" s="406">
        <v>1</v>
      </c>
      <c r="V498" s="129">
        <v>35</v>
      </c>
      <c r="W498" s="132" t="s">
        <v>2019</v>
      </c>
      <c r="X498" s="430" t="s">
        <v>1711</v>
      </c>
      <c r="Y498" s="410">
        <v>1</v>
      </c>
      <c r="Z498" s="431">
        <v>0</v>
      </c>
      <c r="AA498" s="818">
        <v>1.4519047619047616</v>
      </c>
      <c r="AB498" s="431">
        <v>3</v>
      </c>
      <c r="AC498" s="413">
        <v>0</v>
      </c>
      <c r="AD498" s="132">
        <v>0</v>
      </c>
      <c r="AE498" s="431">
        <v>4</v>
      </c>
      <c r="AF498" s="441" t="s">
        <v>1804</v>
      </c>
    </row>
    <row r="499" spans="1:32" s="285" customFormat="1" ht="27" customHeight="1">
      <c r="A499" s="368" t="s">
        <v>2377</v>
      </c>
      <c r="B499" s="369">
        <v>22</v>
      </c>
      <c r="C499" s="368" t="s">
        <v>2378</v>
      </c>
      <c r="D499" s="369">
        <v>10</v>
      </c>
      <c r="E499" s="370" t="s">
        <v>2385</v>
      </c>
      <c r="F499" s="371">
        <v>44922</v>
      </c>
      <c r="G499" s="132" t="s">
        <v>2379</v>
      </c>
      <c r="H499" s="109" t="s">
        <v>1713</v>
      </c>
      <c r="I499" s="431"/>
      <c r="J499" s="390">
        <v>30</v>
      </c>
      <c r="K499" s="390">
        <v>30</v>
      </c>
      <c r="L499" s="389">
        <v>0</v>
      </c>
      <c r="M499" s="372">
        <v>0</v>
      </c>
      <c r="N499" s="372">
        <v>0</v>
      </c>
      <c r="O499" s="372">
        <v>0</v>
      </c>
      <c r="P499" s="372">
        <v>0</v>
      </c>
      <c r="Q499" s="183" t="s">
        <v>1707</v>
      </c>
      <c r="R499" s="372">
        <v>1</v>
      </c>
      <c r="S499" s="776"/>
      <c r="T499" s="424">
        <v>28</v>
      </c>
      <c r="U499" s="406">
        <v>0</v>
      </c>
      <c r="V499" s="129"/>
      <c r="W499" s="132"/>
      <c r="X499" s="430" t="s">
        <v>1711</v>
      </c>
      <c r="Y499" s="409">
        <v>2</v>
      </c>
      <c r="Z499" s="431" t="s">
        <v>1711</v>
      </c>
      <c r="AA499" s="818">
        <v>6.92</v>
      </c>
      <c r="AB499" s="431">
        <v>4</v>
      </c>
      <c r="AC499" s="413"/>
      <c r="AD499" s="132"/>
      <c r="AE499" s="431"/>
      <c r="AF499" s="441" t="s">
        <v>1804</v>
      </c>
    </row>
    <row r="500" spans="1:32" s="285" customFormat="1" ht="27" customHeight="1">
      <c r="A500" s="368" t="s">
        <v>2377</v>
      </c>
      <c r="B500" s="369">
        <v>22</v>
      </c>
      <c r="C500" s="368" t="s">
        <v>2378</v>
      </c>
      <c r="D500" s="369">
        <v>11</v>
      </c>
      <c r="E500" s="370" t="s">
        <v>2386</v>
      </c>
      <c r="F500" s="371">
        <v>44876</v>
      </c>
      <c r="G500" s="132" t="s">
        <v>2379</v>
      </c>
      <c r="H500" s="109" t="s">
        <v>1713</v>
      </c>
      <c r="I500" s="431"/>
      <c r="J500" s="390">
        <v>30</v>
      </c>
      <c r="K500" s="390">
        <v>20</v>
      </c>
      <c r="L500" s="389">
        <v>10</v>
      </c>
      <c r="M500" s="372" t="s">
        <v>1711</v>
      </c>
      <c r="N500" s="372" t="s">
        <v>1711</v>
      </c>
      <c r="O500" s="372">
        <v>0</v>
      </c>
      <c r="P500" s="372">
        <v>0</v>
      </c>
      <c r="Q500" s="183" t="s">
        <v>2112</v>
      </c>
      <c r="R500" s="372">
        <v>0</v>
      </c>
      <c r="S500" s="776"/>
      <c r="T500" s="424">
        <v>156</v>
      </c>
      <c r="U500" s="406">
        <v>1</v>
      </c>
      <c r="V500" s="595">
        <v>15</v>
      </c>
      <c r="W500" s="132" t="s">
        <v>1712</v>
      </c>
      <c r="X500" s="431" t="s">
        <v>1711</v>
      </c>
      <c r="Y500" s="410">
        <v>1</v>
      </c>
      <c r="Z500" s="431">
        <v>0</v>
      </c>
      <c r="AA500" s="818">
        <v>1.97</v>
      </c>
      <c r="AB500" s="431">
        <v>3</v>
      </c>
      <c r="AC500" s="413">
        <v>0</v>
      </c>
      <c r="AD500" s="132">
        <v>0</v>
      </c>
      <c r="AE500" s="431">
        <v>2</v>
      </c>
      <c r="AF500" s="441" t="s">
        <v>1804</v>
      </c>
    </row>
    <row r="501" spans="1:32" s="285" customFormat="1" ht="27" customHeight="1">
      <c r="A501" s="368" t="s">
        <v>2377</v>
      </c>
      <c r="B501" s="369">
        <v>22</v>
      </c>
      <c r="C501" s="368" t="s">
        <v>2378</v>
      </c>
      <c r="D501" s="369">
        <v>12</v>
      </c>
      <c r="E501" s="370" t="s">
        <v>2387</v>
      </c>
      <c r="F501" s="371">
        <v>44911</v>
      </c>
      <c r="G501" s="132" t="s">
        <v>2379</v>
      </c>
      <c r="H501" s="109" t="s">
        <v>1713</v>
      </c>
      <c r="I501" s="431"/>
      <c r="J501" s="390">
        <v>30</v>
      </c>
      <c r="K501" s="390">
        <v>30</v>
      </c>
      <c r="L501" s="389">
        <v>0</v>
      </c>
      <c r="M501" s="372">
        <v>0</v>
      </c>
      <c r="N501" s="372">
        <v>0</v>
      </c>
      <c r="O501" s="372">
        <v>0</v>
      </c>
      <c r="P501" s="372">
        <v>0</v>
      </c>
      <c r="Q501" s="183" t="s">
        <v>2112</v>
      </c>
      <c r="R501" s="372">
        <v>0</v>
      </c>
      <c r="S501" s="776"/>
      <c r="T501" s="424">
        <v>116</v>
      </c>
      <c r="U501" s="406">
        <v>0</v>
      </c>
      <c r="V501" s="129"/>
      <c r="W501" s="132"/>
      <c r="X501" s="430">
        <v>0</v>
      </c>
      <c r="Y501" s="410">
        <v>1</v>
      </c>
      <c r="Z501" s="431">
        <v>0</v>
      </c>
      <c r="AA501" s="818">
        <v>2.0092857142857143</v>
      </c>
      <c r="AB501" s="431">
        <v>3</v>
      </c>
      <c r="AC501" s="413">
        <v>0</v>
      </c>
      <c r="AD501" s="132">
        <v>0</v>
      </c>
      <c r="AE501" s="431">
        <v>1</v>
      </c>
      <c r="AF501" s="441" t="s">
        <v>1804</v>
      </c>
    </row>
    <row r="502" spans="1:32" ht="27" customHeight="1">
      <c r="A502" s="374" t="s">
        <v>2377</v>
      </c>
      <c r="B502" s="375">
        <v>22</v>
      </c>
      <c r="C502" s="374" t="s">
        <v>2378</v>
      </c>
      <c r="D502" s="375">
        <v>13</v>
      </c>
      <c r="E502" s="375" t="s">
        <v>2388</v>
      </c>
      <c r="F502" s="371">
        <v>44911</v>
      </c>
      <c r="G502" s="132" t="s">
        <v>2379</v>
      </c>
      <c r="H502" s="109" t="s">
        <v>1713</v>
      </c>
      <c r="I502" s="431"/>
      <c r="J502" s="390">
        <v>30</v>
      </c>
      <c r="K502" s="390">
        <v>30</v>
      </c>
      <c r="L502" s="389">
        <v>0</v>
      </c>
      <c r="M502" s="372">
        <v>0</v>
      </c>
      <c r="N502" s="372">
        <v>0</v>
      </c>
      <c r="O502" s="372">
        <v>0</v>
      </c>
      <c r="P502" s="372">
        <v>0</v>
      </c>
      <c r="Q502" s="183" t="s">
        <v>1707</v>
      </c>
      <c r="R502" s="372">
        <v>0</v>
      </c>
      <c r="S502" s="776"/>
      <c r="T502" s="424">
        <v>52</v>
      </c>
      <c r="U502" s="406">
        <v>0</v>
      </c>
      <c r="V502" s="129"/>
      <c r="W502" s="132"/>
      <c r="X502" s="431">
        <v>0</v>
      </c>
      <c r="Y502" s="410">
        <v>1</v>
      </c>
      <c r="Z502" s="431">
        <v>0</v>
      </c>
      <c r="AA502" s="818">
        <v>36.397777777777776</v>
      </c>
      <c r="AB502" s="431" t="s">
        <v>1753</v>
      </c>
      <c r="AC502" s="413"/>
      <c r="AD502" s="132"/>
      <c r="AE502" s="431"/>
      <c r="AF502" s="441" t="s">
        <v>1804</v>
      </c>
    </row>
    <row r="503" spans="1:32" s="285" customFormat="1" ht="27" customHeight="1">
      <c r="A503" s="368" t="s">
        <v>2377</v>
      </c>
      <c r="B503" s="369">
        <v>22</v>
      </c>
      <c r="C503" s="368" t="s">
        <v>2378</v>
      </c>
      <c r="D503" s="369">
        <v>14</v>
      </c>
      <c r="E503" s="370" t="s">
        <v>2389</v>
      </c>
      <c r="F503" s="371">
        <v>44911</v>
      </c>
      <c r="G503" s="132" t="s">
        <v>2379</v>
      </c>
      <c r="H503" s="109" t="s">
        <v>1713</v>
      </c>
      <c r="I503" s="431"/>
      <c r="J503" s="390">
        <v>20</v>
      </c>
      <c r="K503" s="390">
        <v>20</v>
      </c>
      <c r="L503" s="389">
        <v>0</v>
      </c>
      <c r="M503" s="372">
        <v>0</v>
      </c>
      <c r="N503" s="372">
        <v>0</v>
      </c>
      <c r="O503" s="372">
        <v>0</v>
      </c>
      <c r="P503" s="372">
        <v>0</v>
      </c>
      <c r="Q503" s="183" t="s">
        <v>2112</v>
      </c>
      <c r="R503" s="372">
        <v>0</v>
      </c>
      <c r="S503" s="776"/>
      <c r="T503" s="424">
        <v>68</v>
      </c>
      <c r="U503" s="406">
        <v>0</v>
      </c>
      <c r="V503" s="129"/>
      <c r="W503" s="132"/>
      <c r="X503" s="430">
        <v>0</v>
      </c>
      <c r="Y503" s="409">
        <v>2</v>
      </c>
      <c r="Z503" s="431" t="s">
        <v>1711</v>
      </c>
      <c r="AA503" s="818">
        <v>5.9820000000000002</v>
      </c>
      <c r="AB503" s="431">
        <v>4</v>
      </c>
      <c r="AC503" s="413">
        <v>0</v>
      </c>
      <c r="AD503" s="132">
        <v>0</v>
      </c>
      <c r="AE503" s="431">
        <v>8</v>
      </c>
      <c r="AF503" s="441" t="s">
        <v>1804</v>
      </c>
    </row>
    <row r="504" spans="1:32" s="285" customFormat="1" ht="27" customHeight="1">
      <c r="A504" s="368" t="s">
        <v>2377</v>
      </c>
      <c r="B504" s="369">
        <v>22</v>
      </c>
      <c r="C504" s="368" t="s">
        <v>2378</v>
      </c>
      <c r="D504" s="369">
        <v>15</v>
      </c>
      <c r="E504" s="376" t="s">
        <v>2390</v>
      </c>
      <c r="F504" s="371">
        <v>44911</v>
      </c>
      <c r="G504" s="132" t="s">
        <v>2379</v>
      </c>
      <c r="H504" s="109" t="s">
        <v>1713</v>
      </c>
      <c r="I504" s="431"/>
      <c r="J504" s="390">
        <v>30</v>
      </c>
      <c r="K504" s="390">
        <v>30</v>
      </c>
      <c r="L504" s="389">
        <v>0</v>
      </c>
      <c r="M504" s="372">
        <v>0</v>
      </c>
      <c r="N504" s="372">
        <v>0</v>
      </c>
      <c r="O504" s="372">
        <v>0</v>
      </c>
      <c r="P504" s="372">
        <v>0</v>
      </c>
      <c r="Q504" s="183" t="s">
        <v>2112</v>
      </c>
      <c r="R504" s="372">
        <v>0</v>
      </c>
      <c r="S504" s="776"/>
      <c r="T504" s="424">
        <v>84</v>
      </c>
      <c r="U504" s="406">
        <v>0</v>
      </c>
      <c r="V504" s="595"/>
      <c r="W504" s="132"/>
      <c r="X504" s="431">
        <v>0</v>
      </c>
      <c r="Y504" s="409">
        <v>1</v>
      </c>
      <c r="Z504" s="431">
        <v>0</v>
      </c>
      <c r="AA504" s="818">
        <v>5.4729629629629626</v>
      </c>
      <c r="AB504" s="431">
        <v>4</v>
      </c>
      <c r="AC504" s="413">
        <v>3</v>
      </c>
      <c r="AD504" s="132">
        <v>0</v>
      </c>
      <c r="AE504" s="431">
        <v>2</v>
      </c>
      <c r="AF504" s="441" t="s">
        <v>1804</v>
      </c>
    </row>
    <row r="505" spans="1:32" s="285" customFormat="1" ht="27" customHeight="1">
      <c r="A505" s="368" t="s">
        <v>2377</v>
      </c>
      <c r="B505" s="369">
        <v>22</v>
      </c>
      <c r="C505" s="368" t="s">
        <v>2378</v>
      </c>
      <c r="D505" s="369">
        <v>16</v>
      </c>
      <c r="E505" s="370" t="s">
        <v>1772</v>
      </c>
      <c r="F505" s="371">
        <v>44911</v>
      </c>
      <c r="G505" s="132" t="s">
        <v>2379</v>
      </c>
      <c r="H505" s="109" t="s">
        <v>1713</v>
      </c>
      <c r="I505" s="431"/>
      <c r="J505" s="392" t="s">
        <v>1711</v>
      </c>
      <c r="K505" s="392">
        <v>2.5</v>
      </c>
      <c r="L505" s="389" t="e">
        <v>#VALUE!</v>
      </c>
      <c r="M505" s="372">
        <v>0</v>
      </c>
      <c r="N505" s="372">
        <v>0</v>
      </c>
      <c r="O505" s="372">
        <v>0</v>
      </c>
      <c r="P505" s="372">
        <v>0</v>
      </c>
      <c r="Q505" s="183" t="s">
        <v>1707</v>
      </c>
      <c r="R505" s="372">
        <v>0</v>
      </c>
      <c r="S505" s="776"/>
      <c r="T505" s="424">
        <v>0</v>
      </c>
      <c r="U505" s="406">
        <v>0</v>
      </c>
      <c r="V505" s="129"/>
      <c r="W505" s="132"/>
      <c r="X505" s="430">
        <v>0</v>
      </c>
      <c r="Y505" s="409">
        <v>2</v>
      </c>
      <c r="Z505" s="431" t="s">
        <v>1711</v>
      </c>
      <c r="AA505" s="818">
        <v>1.2393137254901962</v>
      </c>
      <c r="AB505" s="431">
        <v>3</v>
      </c>
      <c r="AC505" s="413">
        <v>5</v>
      </c>
      <c r="AD505" s="132">
        <v>0</v>
      </c>
      <c r="AE505" s="431">
        <v>2</v>
      </c>
      <c r="AF505" s="441" t="s">
        <v>1804</v>
      </c>
    </row>
    <row r="506" spans="1:32" ht="27" customHeight="1">
      <c r="A506" s="374" t="s">
        <v>2377</v>
      </c>
      <c r="B506" s="375">
        <v>22</v>
      </c>
      <c r="C506" s="374" t="s">
        <v>2391</v>
      </c>
      <c r="D506" s="375">
        <v>17</v>
      </c>
      <c r="E506" s="375" t="s">
        <v>2392</v>
      </c>
      <c r="F506" s="371">
        <v>44864</v>
      </c>
      <c r="G506" s="132" t="s">
        <v>2379</v>
      </c>
      <c r="H506" s="314" t="s">
        <v>1905</v>
      </c>
      <c r="I506" s="431"/>
      <c r="J506" s="393" t="s">
        <v>1711</v>
      </c>
      <c r="K506" s="393">
        <v>10</v>
      </c>
      <c r="L506" s="389" t="e">
        <v>#VALUE!</v>
      </c>
      <c r="M506" s="377">
        <v>10</v>
      </c>
      <c r="N506" s="377" t="s">
        <v>1711</v>
      </c>
      <c r="O506" s="377" t="s">
        <v>1711</v>
      </c>
      <c r="P506" s="377" t="s">
        <v>1711</v>
      </c>
      <c r="Q506" s="183" t="s">
        <v>2112</v>
      </c>
      <c r="R506" s="372">
        <v>0</v>
      </c>
      <c r="S506" s="776"/>
      <c r="T506" s="424">
        <v>102</v>
      </c>
      <c r="U506" s="407">
        <v>0</v>
      </c>
      <c r="V506" s="129"/>
      <c r="W506" s="132"/>
      <c r="X506" s="430">
        <v>0</v>
      </c>
      <c r="Y506" s="409">
        <v>2</v>
      </c>
      <c r="Z506" s="431" t="s">
        <v>1711</v>
      </c>
      <c r="AA506" s="820">
        <v>7.26</v>
      </c>
      <c r="AB506" s="439">
        <v>4</v>
      </c>
      <c r="AC506" s="413"/>
      <c r="AD506" s="132"/>
      <c r="AE506" s="431"/>
      <c r="AF506" s="441" t="s">
        <v>2196</v>
      </c>
    </row>
    <row r="507" spans="1:32" s="285" customFormat="1" ht="27" customHeight="1">
      <c r="A507" s="368" t="s">
        <v>2377</v>
      </c>
      <c r="B507" s="369">
        <v>22</v>
      </c>
      <c r="C507" s="368" t="s">
        <v>2391</v>
      </c>
      <c r="D507" s="369">
        <v>18</v>
      </c>
      <c r="E507" s="370" t="s">
        <v>2393</v>
      </c>
      <c r="F507" s="371"/>
      <c r="G507" s="132"/>
      <c r="H507" s="314"/>
      <c r="I507" s="431"/>
      <c r="J507" s="393"/>
      <c r="K507" s="393">
        <v>30</v>
      </c>
      <c r="L507" s="389"/>
      <c r="M507" s="377"/>
      <c r="N507" s="377"/>
      <c r="O507" s="377"/>
      <c r="P507" s="377"/>
      <c r="Q507" s="183"/>
      <c r="R507" s="372"/>
      <c r="S507" s="776"/>
      <c r="T507" s="424"/>
      <c r="U507" s="407"/>
      <c r="V507" s="129"/>
      <c r="W507" s="132"/>
      <c r="X507" s="430"/>
      <c r="Y507" s="409"/>
      <c r="Z507" s="431"/>
      <c r="AA507" s="820"/>
      <c r="AB507" s="439"/>
      <c r="AC507" s="413"/>
      <c r="AD507" s="132"/>
      <c r="AE507" s="431"/>
      <c r="AF507" s="441"/>
    </row>
    <row r="508" spans="1:32" s="285" customFormat="1" ht="27" customHeight="1">
      <c r="A508" s="368" t="s">
        <v>2377</v>
      </c>
      <c r="B508" s="369">
        <v>22</v>
      </c>
      <c r="C508" s="368" t="s">
        <v>2391</v>
      </c>
      <c r="D508" s="369">
        <v>19</v>
      </c>
      <c r="E508" s="370" t="s">
        <v>2394</v>
      </c>
      <c r="F508" s="371">
        <v>44864</v>
      </c>
      <c r="G508" s="132" t="s">
        <v>2379</v>
      </c>
      <c r="H508" s="314" t="s">
        <v>1905</v>
      </c>
      <c r="I508" s="431"/>
      <c r="J508" s="393">
        <v>20</v>
      </c>
      <c r="K508" s="393">
        <v>20</v>
      </c>
      <c r="L508" s="389">
        <v>0</v>
      </c>
      <c r="M508" s="377">
        <v>10</v>
      </c>
      <c r="N508" s="377" t="s">
        <v>1711</v>
      </c>
      <c r="O508" s="377" t="s">
        <v>1711</v>
      </c>
      <c r="P508" s="377" t="s">
        <v>1711</v>
      </c>
      <c r="Q508" s="183" t="s">
        <v>2112</v>
      </c>
      <c r="R508" s="372">
        <v>0</v>
      </c>
      <c r="S508" s="776"/>
      <c r="T508" s="424">
        <v>88</v>
      </c>
      <c r="U508" s="407">
        <v>0</v>
      </c>
      <c r="V508" s="129"/>
      <c r="W508" s="132"/>
      <c r="X508" s="430">
        <v>0</v>
      </c>
      <c r="Y508" s="410">
        <v>2</v>
      </c>
      <c r="Z508" s="431" t="s">
        <v>1711</v>
      </c>
      <c r="AA508" s="818">
        <v>3.88</v>
      </c>
      <c r="AB508" s="431">
        <v>3</v>
      </c>
      <c r="AC508" s="413"/>
      <c r="AD508" s="132"/>
      <c r="AE508" s="431"/>
      <c r="AF508" s="441"/>
    </row>
    <row r="509" spans="1:32" s="285" customFormat="1" ht="27" customHeight="1">
      <c r="A509" s="368" t="s">
        <v>2377</v>
      </c>
      <c r="B509" s="369">
        <v>22</v>
      </c>
      <c r="C509" s="368" t="s">
        <v>2391</v>
      </c>
      <c r="D509" s="369">
        <v>20</v>
      </c>
      <c r="E509" s="370" t="s">
        <v>2395</v>
      </c>
      <c r="F509" s="371"/>
      <c r="G509" s="132"/>
      <c r="H509" s="314"/>
      <c r="I509" s="431"/>
      <c r="J509" s="393"/>
      <c r="K509" s="393">
        <v>2.5</v>
      </c>
      <c r="L509" s="389"/>
      <c r="M509" s="372"/>
      <c r="N509" s="372"/>
      <c r="O509" s="372"/>
      <c r="P509" s="372"/>
      <c r="Q509" s="183"/>
      <c r="R509" s="372"/>
      <c r="S509" s="776"/>
      <c r="T509" s="424"/>
      <c r="U509" s="407"/>
      <c r="V509" s="129"/>
      <c r="W509" s="132"/>
      <c r="X509" s="432"/>
      <c r="Y509" s="410"/>
      <c r="Z509" s="431"/>
      <c r="AA509" s="820"/>
      <c r="AB509" s="439"/>
      <c r="AC509" s="413"/>
      <c r="AD509" s="132"/>
      <c r="AE509" s="431"/>
      <c r="AF509" s="441"/>
    </row>
    <row r="510" spans="1:32" ht="27" customHeight="1">
      <c r="A510" s="374" t="s">
        <v>2377</v>
      </c>
      <c r="B510" s="375">
        <v>22</v>
      </c>
      <c r="C510" s="374" t="s">
        <v>2391</v>
      </c>
      <c r="D510" s="375">
        <v>21</v>
      </c>
      <c r="E510" s="375" t="s">
        <v>2396</v>
      </c>
      <c r="F510" s="373">
        <v>44883</v>
      </c>
      <c r="G510" s="132" t="s">
        <v>2379</v>
      </c>
      <c r="H510" s="314" t="s">
        <v>1905</v>
      </c>
      <c r="I510" s="431"/>
      <c r="J510" s="390">
        <v>40</v>
      </c>
      <c r="K510" s="390">
        <v>50</v>
      </c>
      <c r="L510" s="389">
        <v>-10</v>
      </c>
      <c r="M510" s="377" t="s">
        <v>1711</v>
      </c>
      <c r="N510" s="377">
        <v>0</v>
      </c>
      <c r="O510" s="377">
        <v>0</v>
      </c>
      <c r="P510" s="377">
        <v>0</v>
      </c>
      <c r="Q510" s="183" t="s">
        <v>1706</v>
      </c>
      <c r="R510" s="377">
        <v>0</v>
      </c>
      <c r="S510" s="802"/>
      <c r="T510" s="424">
        <v>0</v>
      </c>
      <c r="U510" s="407">
        <v>0</v>
      </c>
      <c r="V510" s="129"/>
      <c r="W510" s="132"/>
      <c r="X510" s="430">
        <v>0</v>
      </c>
      <c r="Y510" s="409">
        <v>2</v>
      </c>
      <c r="Z510" s="431" t="s">
        <v>1711</v>
      </c>
      <c r="AA510" s="818">
        <v>49.3</v>
      </c>
      <c r="AB510" s="440" t="s">
        <v>1753</v>
      </c>
      <c r="AC510" s="413"/>
      <c r="AD510" s="132"/>
      <c r="AE510" s="431"/>
      <c r="AF510" s="441" t="s">
        <v>1804</v>
      </c>
    </row>
    <row r="511" spans="1:32" ht="27" customHeight="1">
      <c r="A511" s="374" t="s">
        <v>2377</v>
      </c>
      <c r="B511" s="375">
        <v>22</v>
      </c>
      <c r="C511" s="374" t="s">
        <v>2391</v>
      </c>
      <c r="D511" s="375">
        <v>22</v>
      </c>
      <c r="E511" s="375" t="s">
        <v>2397</v>
      </c>
      <c r="F511" s="373">
        <v>44883</v>
      </c>
      <c r="G511" s="132" t="s">
        <v>2379</v>
      </c>
      <c r="H511" s="314" t="s">
        <v>1905</v>
      </c>
      <c r="I511" s="431"/>
      <c r="J511" s="390">
        <v>50</v>
      </c>
      <c r="K511" s="390">
        <v>30</v>
      </c>
      <c r="L511" s="389">
        <v>20</v>
      </c>
      <c r="M511" s="377" t="s">
        <v>1711</v>
      </c>
      <c r="N511" s="377" t="s">
        <v>1711</v>
      </c>
      <c r="O511" s="377">
        <v>0</v>
      </c>
      <c r="P511" s="377" t="s">
        <v>1711</v>
      </c>
      <c r="Q511" s="183" t="s">
        <v>1706</v>
      </c>
      <c r="R511" s="377">
        <v>0</v>
      </c>
      <c r="S511" s="802"/>
      <c r="T511" s="424">
        <v>0</v>
      </c>
      <c r="U511" s="407">
        <v>0</v>
      </c>
      <c r="V511" s="129"/>
      <c r="W511" s="132"/>
      <c r="X511" s="430">
        <v>0</v>
      </c>
      <c r="Y511" s="410">
        <v>1</v>
      </c>
      <c r="Z511" s="431">
        <v>0</v>
      </c>
      <c r="AA511" s="818">
        <v>27.68</v>
      </c>
      <c r="AB511" s="431" t="s">
        <v>1738</v>
      </c>
      <c r="AC511" s="413"/>
      <c r="AD511" s="132"/>
      <c r="AE511" s="431"/>
      <c r="AF511" s="441" t="s">
        <v>1804</v>
      </c>
    </row>
    <row r="512" spans="1:32" ht="27" customHeight="1">
      <c r="A512" s="374" t="s">
        <v>2377</v>
      </c>
      <c r="B512" s="375">
        <v>22</v>
      </c>
      <c r="C512" s="374" t="s">
        <v>2391</v>
      </c>
      <c r="D512" s="375">
        <v>23</v>
      </c>
      <c r="E512" s="375" t="s">
        <v>2398</v>
      </c>
      <c r="F512" s="373">
        <v>44883</v>
      </c>
      <c r="G512" s="132" t="s">
        <v>2379</v>
      </c>
      <c r="H512" s="314" t="s">
        <v>1905</v>
      </c>
      <c r="I512" s="431"/>
      <c r="J512" s="390">
        <v>30</v>
      </c>
      <c r="K512" s="390">
        <v>30</v>
      </c>
      <c r="L512" s="389">
        <v>0</v>
      </c>
      <c r="M512" s="377" t="s">
        <v>1711</v>
      </c>
      <c r="N512" s="377">
        <v>0</v>
      </c>
      <c r="O512" s="377">
        <v>0</v>
      </c>
      <c r="P512" s="377">
        <v>0</v>
      </c>
      <c r="Q512" s="183" t="s">
        <v>1707</v>
      </c>
      <c r="R512" s="377">
        <v>0</v>
      </c>
      <c r="S512" s="802"/>
      <c r="T512" s="424">
        <v>0</v>
      </c>
      <c r="U512" s="407">
        <v>0</v>
      </c>
      <c r="V512" s="129"/>
      <c r="W512" s="132"/>
      <c r="X512" s="430">
        <v>0</v>
      </c>
      <c r="Y512" s="410">
        <v>1</v>
      </c>
      <c r="Z512" s="431">
        <v>0</v>
      </c>
      <c r="AA512" s="818">
        <v>94.611000000000004</v>
      </c>
      <c r="AB512" s="440" t="s">
        <v>2026</v>
      </c>
      <c r="AC512" s="413"/>
      <c r="AD512" s="132"/>
      <c r="AE512" s="431"/>
      <c r="AF512" s="441" t="s">
        <v>2196</v>
      </c>
    </row>
    <row r="513" spans="1:32" ht="27" customHeight="1">
      <c r="A513" s="374" t="s">
        <v>2377</v>
      </c>
      <c r="B513" s="375">
        <v>22</v>
      </c>
      <c r="C513" s="374" t="s">
        <v>2391</v>
      </c>
      <c r="D513" s="375">
        <v>24</v>
      </c>
      <c r="E513" s="375" t="s">
        <v>2399</v>
      </c>
      <c r="F513" s="373">
        <v>44883</v>
      </c>
      <c r="G513" s="132" t="s">
        <v>2379</v>
      </c>
      <c r="H513" s="314" t="s">
        <v>1905</v>
      </c>
      <c r="I513" s="431"/>
      <c r="J513" s="390">
        <v>30</v>
      </c>
      <c r="K513" s="390">
        <v>20</v>
      </c>
      <c r="L513" s="389">
        <v>10</v>
      </c>
      <c r="M513" s="377" t="s">
        <v>1711</v>
      </c>
      <c r="N513" s="377">
        <v>0</v>
      </c>
      <c r="O513" s="377">
        <v>0</v>
      </c>
      <c r="P513" s="377">
        <v>0</v>
      </c>
      <c r="Q513" s="183" t="s">
        <v>1707</v>
      </c>
      <c r="R513" s="372">
        <v>0</v>
      </c>
      <c r="S513" s="776"/>
      <c r="T513" s="424">
        <v>18</v>
      </c>
      <c r="U513" s="407">
        <v>0</v>
      </c>
      <c r="V513" s="129"/>
      <c r="W513" s="132"/>
      <c r="X513" s="430">
        <v>0</v>
      </c>
      <c r="Y513" s="410">
        <v>1</v>
      </c>
      <c r="Z513" s="431">
        <v>0</v>
      </c>
      <c r="AA513" s="818">
        <v>14.52</v>
      </c>
      <c r="AB513" s="440" t="s">
        <v>1738</v>
      </c>
      <c r="AC513" s="413">
        <v>1</v>
      </c>
      <c r="AD513" s="132">
        <v>0</v>
      </c>
      <c r="AE513" s="431">
        <v>0</v>
      </c>
      <c r="AF513" s="441" t="s">
        <v>2196</v>
      </c>
    </row>
    <row r="514" spans="1:32" ht="27" customHeight="1">
      <c r="A514" s="374" t="s">
        <v>2377</v>
      </c>
      <c r="B514" s="375">
        <v>22</v>
      </c>
      <c r="C514" s="374" t="s">
        <v>2391</v>
      </c>
      <c r="D514" s="375">
        <v>25</v>
      </c>
      <c r="E514" s="375" t="s">
        <v>2400</v>
      </c>
      <c r="F514" s="373">
        <v>44883</v>
      </c>
      <c r="G514" s="132" t="s">
        <v>2379</v>
      </c>
      <c r="H514" s="314" t="s">
        <v>1905</v>
      </c>
      <c r="I514" s="431"/>
      <c r="J514" s="390">
        <v>10</v>
      </c>
      <c r="K514" s="390">
        <v>10</v>
      </c>
      <c r="L514" s="389">
        <v>0</v>
      </c>
      <c r="M514" s="377" t="s">
        <v>1711</v>
      </c>
      <c r="N514" s="377">
        <v>0</v>
      </c>
      <c r="O514" s="377">
        <v>0</v>
      </c>
      <c r="P514" s="377">
        <v>0</v>
      </c>
      <c r="Q514" s="183" t="s">
        <v>1707</v>
      </c>
      <c r="R514" s="377">
        <v>0</v>
      </c>
      <c r="S514" s="802"/>
      <c r="T514" s="424">
        <v>28</v>
      </c>
      <c r="U514" s="407">
        <v>0</v>
      </c>
      <c r="V514" s="129"/>
      <c r="W514" s="132"/>
      <c r="X514" s="430">
        <v>0</v>
      </c>
      <c r="Y514" s="410">
        <v>1</v>
      </c>
      <c r="Z514" s="431">
        <v>0</v>
      </c>
      <c r="AA514" s="818">
        <v>10.49</v>
      </c>
      <c r="AB514" s="440" t="s">
        <v>1738</v>
      </c>
      <c r="AC514" s="413"/>
      <c r="AD514" s="132"/>
      <c r="AE514" s="431"/>
      <c r="AF514" s="441" t="s">
        <v>1804</v>
      </c>
    </row>
    <row r="515" spans="1:32" s="285" customFormat="1" ht="27" customHeight="1">
      <c r="A515" s="368" t="s">
        <v>2377</v>
      </c>
      <c r="B515" s="369">
        <v>22</v>
      </c>
      <c r="C515" s="368" t="s">
        <v>2401</v>
      </c>
      <c r="D515" s="369">
        <v>26</v>
      </c>
      <c r="E515" s="370" t="s">
        <v>2402</v>
      </c>
      <c r="F515" s="371"/>
      <c r="G515" s="109"/>
      <c r="H515" s="109"/>
      <c r="I515" s="110"/>
      <c r="J515" s="391"/>
      <c r="K515" s="391"/>
      <c r="L515" s="389"/>
      <c r="M515" s="338"/>
      <c r="N515" s="338"/>
      <c r="O515" s="338"/>
      <c r="P515" s="338"/>
      <c r="Q515" s="109"/>
      <c r="R515" s="109"/>
      <c r="S515" s="777"/>
      <c r="T515" s="110"/>
      <c r="U515" s="403"/>
      <c r="V515" s="364"/>
      <c r="W515" s="109"/>
      <c r="X515" s="110"/>
      <c r="Y515" s="403"/>
      <c r="Z515" s="110"/>
      <c r="AA515" s="810"/>
      <c r="AB515" s="110"/>
      <c r="AC515" s="403"/>
      <c r="AD515" s="109"/>
      <c r="AE515" s="110"/>
      <c r="AF515" s="307"/>
    </row>
    <row r="516" spans="1:32" s="285" customFormat="1" ht="27" customHeight="1">
      <c r="A516" s="368" t="s">
        <v>2377</v>
      </c>
      <c r="B516" s="369">
        <v>22</v>
      </c>
      <c r="C516" s="368" t="s">
        <v>2401</v>
      </c>
      <c r="D516" s="369">
        <v>27</v>
      </c>
      <c r="E516" s="370" t="s">
        <v>2403</v>
      </c>
      <c r="F516" s="371"/>
      <c r="G516" s="109"/>
      <c r="H516" s="109"/>
      <c r="I516" s="110"/>
      <c r="J516" s="391"/>
      <c r="K516" s="391"/>
      <c r="L516" s="389"/>
      <c r="M516" s="338"/>
      <c r="N516" s="338"/>
      <c r="O516" s="338"/>
      <c r="P516" s="338"/>
      <c r="Q516" s="109"/>
      <c r="R516" s="109"/>
      <c r="S516" s="777"/>
      <c r="T516" s="110"/>
      <c r="U516" s="403"/>
      <c r="V516" s="364"/>
      <c r="W516" s="109"/>
      <c r="X516" s="110"/>
      <c r="Y516" s="403"/>
      <c r="Z516" s="110"/>
      <c r="AA516" s="810"/>
      <c r="AB516" s="110"/>
      <c r="AC516" s="403"/>
      <c r="AD516" s="109"/>
      <c r="AE516" s="110"/>
      <c r="AF516" s="307"/>
    </row>
    <row r="517" spans="1:32" s="285" customFormat="1" ht="27" customHeight="1">
      <c r="A517" s="368" t="s">
        <v>2377</v>
      </c>
      <c r="B517" s="369">
        <v>22</v>
      </c>
      <c r="C517" s="368" t="s">
        <v>2401</v>
      </c>
      <c r="D517" s="369">
        <v>28</v>
      </c>
      <c r="E517" s="370" t="s">
        <v>2404</v>
      </c>
      <c r="F517" s="371">
        <v>44922</v>
      </c>
      <c r="G517" s="132" t="s">
        <v>2379</v>
      </c>
      <c r="H517" s="109" t="s">
        <v>1713</v>
      </c>
      <c r="I517" s="110"/>
      <c r="J517" s="391" t="s">
        <v>1711</v>
      </c>
      <c r="K517" s="391"/>
      <c r="L517" s="389"/>
      <c r="M517" s="338">
        <v>0</v>
      </c>
      <c r="N517" s="338">
        <v>0</v>
      </c>
      <c r="O517" s="338">
        <v>0</v>
      </c>
      <c r="P517" s="338">
        <v>0</v>
      </c>
      <c r="Q517" s="109" t="s">
        <v>2336</v>
      </c>
      <c r="R517" s="109">
        <v>0</v>
      </c>
      <c r="S517" s="777"/>
      <c r="T517" s="110">
        <v>64</v>
      </c>
      <c r="U517" s="403">
        <v>2</v>
      </c>
      <c r="V517" s="364"/>
      <c r="W517" s="109" t="s">
        <v>1719</v>
      </c>
      <c r="X517" s="110" t="s">
        <v>1711</v>
      </c>
      <c r="Y517" s="403">
        <v>2</v>
      </c>
      <c r="Z517" s="110" t="s">
        <v>1711</v>
      </c>
      <c r="AA517" s="810">
        <v>6.81</v>
      </c>
      <c r="AB517" s="110">
        <v>4</v>
      </c>
      <c r="AC517" s="403"/>
      <c r="AD517" s="109"/>
      <c r="AE517" s="110"/>
      <c r="AF517" s="307" t="s">
        <v>1804</v>
      </c>
    </row>
    <row r="518" spans="1:32" ht="27" customHeight="1">
      <c r="A518" s="374" t="s">
        <v>2377</v>
      </c>
      <c r="B518" s="375">
        <v>22</v>
      </c>
      <c r="C518" s="374" t="s">
        <v>2401</v>
      </c>
      <c r="D518" s="375">
        <v>29</v>
      </c>
      <c r="E518" s="375" t="s">
        <v>2405</v>
      </c>
      <c r="F518" s="371">
        <v>44922</v>
      </c>
      <c r="G518" s="132" t="s">
        <v>2379</v>
      </c>
      <c r="H518" s="109" t="s">
        <v>1713</v>
      </c>
      <c r="I518" s="110"/>
      <c r="J518" s="391">
        <v>40</v>
      </c>
      <c r="K518" s="391"/>
      <c r="L518" s="389"/>
      <c r="M518" s="338">
        <v>0</v>
      </c>
      <c r="N518" s="338">
        <v>0</v>
      </c>
      <c r="O518" s="338">
        <v>0</v>
      </c>
      <c r="P518" s="338">
        <v>0</v>
      </c>
      <c r="Q518" s="109" t="s">
        <v>2336</v>
      </c>
      <c r="R518" s="109">
        <v>0</v>
      </c>
      <c r="S518" s="777"/>
      <c r="T518" s="110">
        <v>84</v>
      </c>
      <c r="U518" s="403">
        <v>1</v>
      </c>
      <c r="V518" s="364"/>
      <c r="W518" s="109" t="s">
        <v>2019</v>
      </c>
      <c r="X518" s="110" t="s">
        <v>1711</v>
      </c>
      <c r="Y518" s="403">
        <v>2</v>
      </c>
      <c r="Z518" s="110" t="s">
        <v>1711</v>
      </c>
      <c r="AA518" s="810">
        <v>16.3</v>
      </c>
      <c r="AB518" s="110" t="s">
        <v>1738</v>
      </c>
      <c r="AC518" s="403"/>
      <c r="AD518" s="109"/>
      <c r="AE518" s="110"/>
      <c r="AF518" s="307" t="s">
        <v>1804</v>
      </c>
    </row>
    <row r="519" spans="1:32" s="285" customFormat="1" ht="27" customHeight="1">
      <c r="A519" s="368" t="s">
        <v>2377</v>
      </c>
      <c r="B519" s="369">
        <v>22</v>
      </c>
      <c r="C519" s="368" t="s">
        <v>2401</v>
      </c>
      <c r="D519" s="369">
        <v>30</v>
      </c>
      <c r="E519" s="370" t="s">
        <v>2406</v>
      </c>
      <c r="F519" s="371"/>
      <c r="G519" s="109"/>
      <c r="H519" s="109"/>
      <c r="I519" s="110"/>
      <c r="J519" s="391"/>
      <c r="K519" s="391"/>
      <c r="L519" s="389"/>
      <c r="M519" s="338"/>
      <c r="N519" s="338"/>
      <c r="O519" s="338"/>
      <c r="P519" s="338"/>
      <c r="Q519" s="109"/>
      <c r="R519" s="109"/>
      <c r="S519" s="777"/>
      <c r="T519" s="110"/>
      <c r="U519" s="403"/>
      <c r="V519" s="364"/>
      <c r="W519" s="109"/>
      <c r="X519" s="110"/>
      <c r="Y519" s="403"/>
      <c r="Z519" s="110"/>
      <c r="AA519" s="810"/>
      <c r="AB519" s="110"/>
      <c r="AC519" s="403"/>
      <c r="AD519" s="109"/>
      <c r="AE519" s="110"/>
      <c r="AF519" s="307"/>
    </row>
    <row r="520" spans="1:32" s="285" customFormat="1" ht="27" customHeight="1">
      <c r="A520" s="368" t="s">
        <v>2377</v>
      </c>
      <c r="B520" s="369">
        <v>22</v>
      </c>
      <c r="C520" s="368" t="s">
        <v>2401</v>
      </c>
      <c r="D520" s="369">
        <v>31</v>
      </c>
      <c r="E520" s="378" t="s">
        <v>1773</v>
      </c>
      <c r="F520" s="371"/>
      <c r="G520" s="109"/>
      <c r="H520" s="109"/>
      <c r="I520" s="110"/>
      <c r="J520" s="391"/>
      <c r="K520" s="391"/>
      <c r="L520" s="389"/>
      <c r="M520" s="338"/>
      <c r="N520" s="338"/>
      <c r="O520" s="338"/>
      <c r="P520" s="338"/>
      <c r="Q520" s="109"/>
      <c r="R520" s="109"/>
      <c r="S520" s="777"/>
      <c r="T520" s="110"/>
      <c r="U520" s="403"/>
      <c r="V520" s="364"/>
      <c r="W520" s="109"/>
      <c r="X520" s="110"/>
      <c r="Y520" s="403"/>
      <c r="Z520" s="110"/>
      <c r="AA520" s="810"/>
      <c r="AB520" s="110"/>
      <c r="AC520" s="403"/>
      <c r="AD520" s="109"/>
      <c r="AE520" s="110"/>
      <c r="AF520" s="307"/>
    </row>
    <row r="521" spans="1:32" s="285" customFormat="1" ht="27" customHeight="1">
      <c r="A521" s="368" t="s">
        <v>2377</v>
      </c>
      <c r="B521" s="369">
        <v>22</v>
      </c>
      <c r="C521" s="368" t="s">
        <v>2407</v>
      </c>
      <c r="D521" s="369">
        <v>32</v>
      </c>
      <c r="E521" s="370" t="s">
        <v>1775</v>
      </c>
      <c r="F521" s="373">
        <v>44842</v>
      </c>
      <c r="G521" s="132" t="s">
        <v>2379</v>
      </c>
      <c r="H521" s="109" t="s">
        <v>1905</v>
      </c>
      <c r="I521" s="431"/>
      <c r="J521" s="392" t="s">
        <v>1711</v>
      </c>
      <c r="K521" s="392">
        <v>2.5</v>
      </c>
      <c r="L521" s="389" t="e">
        <v>#VALUE!</v>
      </c>
      <c r="M521" s="372">
        <v>80</v>
      </c>
      <c r="N521" s="372">
        <v>90</v>
      </c>
      <c r="O521" s="372" t="s">
        <v>1711</v>
      </c>
      <c r="P521" s="372" t="s">
        <v>1711</v>
      </c>
      <c r="Q521" s="183" t="s">
        <v>2112</v>
      </c>
      <c r="R521" s="377">
        <v>1</v>
      </c>
      <c r="S521" s="802"/>
      <c r="T521" s="424">
        <v>60</v>
      </c>
      <c r="U521" s="393">
        <v>0</v>
      </c>
      <c r="V521" s="129"/>
      <c r="W521" s="132"/>
      <c r="X521" s="433">
        <v>0</v>
      </c>
      <c r="Y521" s="410">
        <v>2</v>
      </c>
      <c r="Z521" s="431" t="s">
        <v>1711</v>
      </c>
      <c r="AA521" s="818">
        <v>32.608421052631577</v>
      </c>
      <c r="AB521" s="440" t="s">
        <v>1753</v>
      </c>
      <c r="AC521" s="413"/>
      <c r="AD521" s="132"/>
      <c r="AE521" s="431"/>
      <c r="AF521" s="441" t="s">
        <v>1804</v>
      </c>
    </row>
    <row r="522" spans="1:32" ht="27" customHeight="1">
      <c r="A522" s="374" t="s">
        <v>2377</v>
      </c>
      <c r="B522" s="375">
        <v>22</v>
      </c>
      <c r="C522" s="374" t="s">
        <v>2407</v>
      </c>
      <c r="D522" s="375">
        <v>33</v>
      </c>
      <c r="E522" s="375" t="s">
        <v>1776</v>
      </c>
      <c r="F522" s="373">
        <v>44842</v>
      </c>
      <c r="G522" s="132" t="s">
        <v>2379</v>
      </c>
      <c r="H522" s="109" t="s">
        <v>1905</v>
      </c>
      <c r="I522" s="431"/>
      <c r="J522" s="390">
        <v>20</v>
      </c>
      <c r="K522" s="390">
        <v>10</v>
      </c>
      <c r="L522" s="389">
        <v>10</v>
      </c>
      <c r="M522" s="372">
        <v>90</v>
      </c>
      <c r="N522" s="372">
        <v>90</v>
      </c>
      <c r="O522" s="372">
        <v>10</v>
      </c>
      <c r="P522" s="372">
        <v>30</v>
      </c>
      <c r="Q522" s="183" t="s">
        <v>1707</v>
      </c>
      <c r="R522" s="377">
        <v>3</v>
      </c>
      <c r="S522" s="802"/>
      <c r="T522" s="424">
        <v>40</v>
      </c>
      <c r="U522" s="407">
        <v>0</v>
      </c>
      <c r="V522" s="129"/>
      <c r="W522" s="132"/>
      <c r="X522" s="430">
        <v>0</v>
      </c>
      <c r="Y522" s="410">
        <v>1</v>
      </c>
      <c r="Z522" s="431">
        <v>0</v>
      </c>
      <c r="AA522" s="818">
        <v>65.16</v>
      </c>
      <c r="AB522" s="440" t="s">
        <v>2026</v>
      </c>
      <c r="AC522" s="413"/>
      <c r="AD522" s="132"/>
      <c r="AE522" s="431"/>
      <c r="AF522" s="441" t="s">
        <v>1804</v>
      </c>
    </row>
    <row r="523" spans="1:32" ht="27" customHeight="1">
      <c r="A523" s="374" t="s">
        <v>2377</v>
      </c>
      <c r="B523" s="375">
        <v>22</v>
      </c>
      <c r="C523" s="374" t="s">
        <v>2407</v>
      </c>
      <c r="D523" s="375">
        <v>34</v>
      </c>
      <c r="E523" s="375" t="s">
        <v>2408</v>
      </c>
      <c r="F523" s="371">
        <v>44842</v>
      </c>
      <c r="G523" s="132" t="s">
        <v>2379</v>
      </c>
      <c r="H523" s="109" t="s">
        <v>1905</v>
      </c>
      <c r="I523" s="431"/>
      <c r="J523" s="390">
        <v>40</v>
      </c>
      <c r="K523" s="390">
        <v>20</v>
      </c>
      <c r="L523" s="389">
        <v>20</v>
      </c>
      <c r="M523" s="372">
        <v>20</v>
      </c>
      <c r="N523" s="379">
        <v>20</v>
      </c>
      <c r="O523" s="379" t="s">
        <v>1711</v>
      </c>
      <c r="P523" s="372" t="s">
        <v>1711</v>
      </c>
      <c r="Q523" s="183" t="s">
        <v>2112</v>
      </c>
      <c r="R523" s="372">
        <v>1</v>
      </c>
      <c r="S523" s="776"/>
      <c r="T523" s="424">
        <v>50</v>
      </c>
      <c r="U523" s="407">
        <v>1</v>
      </c>
      <c r="V523" s="129"/>
      <c r="W523" s="132" t="s">
        <v>1712</v>
      </c>
      <c r="X523" s="430" t="s">
        <v>1711</v>
      </c>
      <c r="Y523" s="410">
        <v>2</v>
      </c>
      <c r="Z523" s="431" t="s">
        <v>1711</v>
      </c>
      <c r="AA523" s="818">
        <v>8.3258823529411767</v>
      </c>
      <c r="AB523" s="431">
        <v>4</v>
      </c>
      <c r="AC523" s="413"/>
      <c r="AD523" s="132"/>
      <c r="AE523" s="431"/>
      <c r="AF523" s="441" t="s">
        <v>1804</v>
      </c>
    </row>
    <row r="524" spans="1:32" ht="27" customHeight="1">
      <c r="A524" s="374" t="s">
        <v>2377</v>
      </c>
      <c r="B524" s="375">
        <v>22</v>
      </c>
      <c r="C524" s="374" t="s">
        <v>2409</v>
      </c>
      <c r="D524" s="375">
        <v>35</v>
      </c>
      <c r="E524" s="375" t="s">
        <v>1839</v>
      </c>
      <c r="F524" s="371">
        <v>44881</v>
      </c>
      <c r="G524" s="132" t="s">
        <v>2379</v>
      </c>
      <c r="H524" s="109" t="s">
        <v>1713</v>
      </c>
      <c r="I524" s="431"/>
      <c r="J524" s="390">
        <v>60</v>
      </c>
      <c r="K524" s="390">
        <v>60</v>
      </c>
      <c r="L524" s="389">
        <v>0</v>
      </c>
      <c r="M524" s="372">
        <v>0</v>
      </c>
      <c r="N524" s="372">
        <v>0</v>
      </c>
      <c r="O524" s="372">
        <v>0</v>
      </c>
      <c r="P524" s="372">
        <v>0</v>
      </c>
      <c r="Q524" s="183" t="s">
        <v>1707</v>
      </c>
      <c r="R524" s="372">
        <v>1</v>
      </c>
      <c r="S524" s="776"/>
      <c r="T524" s="424">
        <v>48</v>
      </c>
      <c r="U524" s="407">
        <v>0</v>
      </c>
      <c r="V524" s="129"/>
      <c r="W524" s="132"/>
      <c r="X524" s="430">
        <v>0</v>
      </c>
      <c r="Y524" s="410">
        <v>2</v>
      </c>
      <c r="Z524" s="431" t="s">
        <v>1711</v>
      </c>
      <c r="AA524" s="818">
        <v>94.61</v>
      </c>
      <c r="AB524" s="440" t="s">
        <v>2026</v>
      </c>
      <c r="AC524" s="413"/>
      <c r="AD524" s="132"/>
      <c r="AE524" s="431"/>
      <c r="AF524" s="441"/>
    </row>
    <row r="525" spans="1:32" ht="27" customHeight="1">
      <c r="A525" s="374" t="s">
        <v>2377</v>
      </c>
      <c r="B525" s="375">
        <v>22</v>
      </c>
      <c r="C525" s="374" t="s">
        <v>2409</v>
      </c>
      <c r="D525" s="375">
        <v>36</v>
      </c>
      <c r="E525" s="375" t="s">
        <v>1840</v>
      </c>
      <c r="F525" s="371">
        <v>44881</v>
      </c>
      <c r="G525" s="132" t="s">
        <v>2379</v>
      </c>
      <c r="H525" s="109" t="s">
        <v>1713</v>
      </c>
      <c r="I525" s="431"/>
      <c r="J525" s="390">
        <v>20</v>
      </c>
      <c r="K525" s="390">
        <v>20</v>
      </c>
      <c r="L525" s="389">
        <v>0</v>
      </c>
      <c r="M525" s="372">
        <v>0</v>
      </c>
      <c r="N525" s="372">
        <v>0</v>
      </c>
      <c r="O525" s="372">
        <v>0</v>
      </c>
      <c r="P525" s="372">
        <v>0</v>
      </c>
      <c r="Q525" s="183" t="s">
        <v>1707</v>
      </c>
      <c r="R525" s="372">
        <v>3</v>
      </c>
      <c r="S525" s="776"/>
      <c r="T525" s="424">
        <v>80</v>
      </c>
      <c r="U525" s="407">
        <v>0</v>
      </c>
      <c r="V525" s="129"/>
      <c r="W525" s="132"/>
      <c r="X525" s="430">
        <v>0</v>
      </c>
      <c r="Y525" s="410">
        <v>2</v>
      </c>
      <c r="Z525" s="431" t="s">
        <v>1711</v>
      </c>
      <c r="AA525" s="818">
        <v>1.111</v>
      </c>
      <c r="AB525" s="431">
        <v>3</v>
      </c>
      <c r="AC525" s="413"/>
      <c r="AD525" s="132"/>
      <c r="AE525" s="431"/>
      <c r="AF525" s="441" t="s">
        <v>2196</v>
      </c>
    </row>
    <row r="526" spans="1:32" ht="27" customHeight="1">
      <c r="A526" s="374" t="s">
        <v>2377</v>
      </c>
      <c r="B526" s="375">
        <v>22</v>
      </c>
      <c r="C526" s="374" t="s">
        <v>2409</v>
      </c>
      <c r="D526" s="375">
        <v>37</v>
      </c>
      <c r="E526" s="375" t="s">
        <v>1841</v>
      </c>
      <c r="F526" s="371">
        <v>44881</v>
      </c>
      <c r="G526" s="132" t="s">
        <v>2379</v>
      </c>
      <c r="H526" s="109" t="s">
        <v>1713</v>
      </c>
      <c r="I526" s="431"/>
      <c r="J526" s="390">
        <v>20</v>
      </c>
      <c r="K526" s="390">
        <v>30</v>
      </c>
      <c r="L526" s="389">
        <v>-10</v>
      </c>
      <c r="M526" s="377" t="s">
        <v>1711</v>
      </c>
      <c r="N526" s="377">
        <v>0</v>
      </c>
      <c r="O526" s="377">
        <v>0</v>
      </c>
      <c r="P526" s="377">
        <v>0</v>
      </c>
      <c r="Q526" s="183" t="s">
        <v>1707</v>
      </c>
      <c r="R526" s="372">
        <v>0</v>
      </c>
      <c r="S526" s="776"/>
      <c r="T526" s="424">
        <v>26</v>
      </c>
      <c r="U526" s="407">
        <v>0</v>
      </c>
      <c r="V526" s="129"/>
      <c r="W526" s="132"/>
      <c r="X526" s="430">
        <v>0</v>
      </c>
      <c r="Y526" s="410">
        <v>2</v>
      </c>
      <c r="Z526" s="431" t="s">
        <v>1711</v>
      </c>
      <c r="AA526" s="818">
        <v>41.17</v>
      </c>
      <c r="AB526" s="431" t="s">
        <v>1753</v>
      </c>
      <c r="AC526" s="413">
        <v>0</v>
      </c>
      <c r="AD526" s="132">
        <v>0</v>
      </c>
      <c r="AE526" s="431">
        <v>1</v>
      </c>
      <c r="AF526" s="441"/>
    </row>
    <row r="527" spans="1:32" ht="27" customHeight="1" thickBot="1">
      <c r="A527" s="495" t="s">
        <v>2377</v>
      </c>
      <c r="B527" s="476">
        <v>22</v>
      </c>
      <c r="C527" s="495" t="s">
        <v>2409</v>
      </c>
      <c r="D527" s="476">
        <v>38</v>
      </c>
      <c r="E527" s="476" t="s">
        <v>1842</v>
      </c>
      <c r="F527" s="496">
        <v>44881</v>
      </c>
      <c r="G527" s="583" t="s">
        <v>2379</v>
      </c>
      <c r="H527" s="479" t="s">
        <v>1713</v>
      </c>
      <c r="I527" s="503"/>
      <c r="J527" s="497">
        <v>30</v>
      </c>
      <c r="K527" s="497">
        <v>20</v>
      </c>
      <c r="L527" s="389">
        <v>10</v>
      </c>
      <c r="M527" s="498" t="s">
        <v>1711</v>
      </c>
      <c r="N527" s="498">
        <v>0</v>
      </c>
      <c r="O527" s="498">
        <v>0</v>
      </c>
      <c r="P527" s="498">
        <v>0</v>
      </c>
      <c r="Q527" s="193" t="s">
        <v>1895</v>
      </c>
      <c r="R527" s="499">
        <v>0</v>
      </c>
      <c r="S527" s="780"/>
      <c r="T527" s="500">
        <v>42</v>
      </c>
      <c r="U527" s="501">
        <v>0</v>
      </c>
      <c r="V527" s="594"/>
      <c r="W527" s="583"/>
      <c r="X527" s="502">
        <v>0</v>
      </c>
      <c r="Y527" s="486">
        <v>1</v>
      </c>
      <c r="Z527" s="503">
        <v>0</v>
      </c>
      <c r="AA527" s="819">
        <v>3.08</v>
      </c>
      <c r="AB527" s="503">
        <v>3</v>
      </c>
      <c r="AC527" s="519"/>
      <c r="AD527" s="583"/>
      <c r="AE527" s="503"/>
      <c r="AF527" s="504"/>
    </row>
    <row r="528" spans="1:32" ht="27" customHeight="1" thickTop="1">
      <c r="A528" s="382" t="s">
        <v>2410</v>
      </c>
      <c r="B528" s="383">
        <v>23</v>
      </c>
      <c r="C528" s="382" t="s">
        <v>2411</v>
      </c>
      <c r="D528" s="490">
        <v>1</v>
      </c>
      <c r="E528" s="491" t="s">
        <v>2412</v>
      </c>
      <c r="F528" s="458">
        <v>44849</v>
      </c>
      <c r="G528" s="308" t="s">
        <v>2413</v>
      </c>
      <c r="H528" s="308" t="s">
        <v>1713</v>
      </c>
      <c r="I528" s="492">
        <v>15</v>
      </c>
      <c r="J528" s="389">
        <v>10</v>
      </c>
      <c r="K528" s="389">
        <v>10</v>
      </c>
      <c r="L528" s="389">
        <v>0</v>
      </c>
      <c r="M528" s="461">
        <v>80</v>
      </c>
      <c r="N528" s="461">
        <v>0</v>
      </c>
      <c r="O528" s="461">
        <v>20</v>
      </c>
      <c r="P528" s="461">
        <v>0</v>
      </c>
      <c r="Q528" s="180" t="s">
        <v>1708</v>
      </c>
      <c r="R528" s="461">
        <v>0</v>
      </c>
      <c r="S528" s="794"/>
      <c r="T528" s="471">
        <v>15</v>
      </c>
      <c r="U528" s="493">
        <v>0</v>
      </c>
      <c r="V528" s="138" t="s">
        <v>749</v>
      </c>
      <c r="W528" s="141" t="s">
        <v>749</v>
      </c>
      <c r="X528" s="312">
        <v>20</v>
      </c>
      <c r="Y528" s="463">
        <v>1</v>
      </c>
      <c r="Z528" s="460">
        <v>0</v>
      </c>
      <c r="AA528" s="462"/>
      <c r="AB528" s="309"/>
      <c r="AC528" s="524">
        <v>0</v>
      </c>
      <c r="AD528" s="141">
        <v>4</v>
      </c>
      <c r="AE528" s="464">
        <v>0</v>
      </c>
      <c r="AF528" s="585"/>
    </row>
    <row r="529" spans="1:32" ht="27" customHeight="1">
      <c r="A529" s="331" t="s">
        <v>2410</v>
      </c>
      <c r="B529" s="332">
        <v>23</v>
      </c>
      <c r="C529" s="331" t="s">
        <v>2411</v>
      </c>
      <c r="D529" s="375">
        <v>2</v>
      </c>
      <c r="E529" s="380" t="s">
        <v>2414</v>
      </c>
      <c r="F529" s="350">
        <v>44849</v>
      </c>
      <c r="G529" s="109" t="s">
        <v>2413</v>
      </c>
      <c r="H529" s="109" t="s">
        <v>1713</v>
      </c>
      <c r="I529" s="397">
        <v>20</v>
      </c>
      <c r="J529" s="392">
        <v>10</v>
      </c>
      <c r="K529" s="392">
        <v>2.5</v>
      </c>
      <c r="L529" s="389">
        <v>7.5</v>
      </c>
      <c r="M529" s="338">
        <v>60</v>
      </c>
      <c r="N529" s="338">
        <v>100</v>
      </c>
      <c r="O529" s="338" t="s">
        <v>1711</v>
      </c>
      <c r="P529" s="338">
        <v>80</v>
      </c>
      <c r="Q529" s="183" t="s">
        <v>1707</v>
      </c>
      <c r="R529" s="338">
        <v>1</v>
      </c>
      <c r="S529" s="767"/>
      <c r="T529" s="419">
        <v>13.5</v>
      </c>
      <c r="U529" s="391">
        <v>0.75</v>
      </c>
      <c r="V529" s="129" t="s">
        <v>2019</v>
      </c>
      <c r="W529" s="132" t="s">
        <v>2019</v>
      </c>
      <c r="X529" s="427">
        <v>50</v>
      </c>
      <c r="Y529" s="410">
        <v>2</v>
      </c>
      <c r="Z529" s="396">
        <v>10</v>
      </c>
      <c r="AA529" s="391"/>
      <c r="AB529" s="110"/>
      <c r="AC529" s="413">
        <v>0</v>
      </c>
      <c r="AD529" s="132">
        <v>13</v>
      </c>
      <c r="AE529" s="431">
        <v>0</v>
      </c>
      <c r="AF529" s="586"/>
    </row>
    <row r="530" spans="1:32" s="285" customFormat="1" ht="27" customHeight="1">
      <c r="A530" s="352" t="s">
        <v>2410</v>
      </c>
      <c r="B530" s="353">
        <v>23</v>
      </c>
      <c r="C530" s="352" t="s">
        <v>2411</v>
      </c>
      <c r="D530" s="375">
        <v>3</v>
      </c>
      <c r="E530" s="380" t="s">
        <v>2415</v>
      </c>
      <c r="F530" s="350">
        <v>44849</v>
      </c>
      <c r="G530" s="109" t="s">
        <v>2413</v>
      </c>
      <c r="H530" s="109" t="s">
        <v>1713</v>
      </c>
      <c r="I530" s="110">
        <v>15</v>
      </c>
      <c r="J530" s="391" t="s">
        <v>1711</v>
      </c>
      <c r="K530" s="391"/>
      <c r="L530" s="389"/>
      <c r="M530" s="338">
        <v>10</v>
      </c>
      <c r="N530" s="338">
        <v>30</v>
      </c>
      <c r="O530" s="338" t="s">
        <v>1711</v>
      </c>
      <c r="P530" s="338" t="s">
        <v>1711</v>
      </c>
      <c r="Q530" s="183" t="s">
        <v>1707</v>
      </c>
      <c r="R530" s="109">
        <v>0</v>
      </c>
      <c r="S530" s="777"/>
      <c r="T530" s="110">
        <v>84</v>
      </c>
      <c r="U530" s="403">
        <v>0</v>
      </c>
      <c r="V530" s="364" t="s">
        <v>749</v>
      </c>
      <c r="W530" s="109" t="s">
        <v>749</v>
      </c>
      <c r="X530" s="110">
        <v>0</v>
      </c>
      <c r="Y530" s="403">
        <v>2</v>
      </c>
      <c r="Z530" s="110" t="s">
        <v>1711</v>
      </c>
      <c r="AA530" s="391"/>
      <c r="AB530" s="110"/>
      <c r="AC530" s="410">
        <v>3</v>
      </c>
      <c r="AD530" s="29">
        <v>4</v>
      </c>
      <c r="AE530" s="396">
        <v>7</v>
      </c>
      <c r="AF530" s="307"/>
    </row>
    <row r="531" spans="1:32" ht="27" customHeight="1">
      <c r="A531" s="331" t="s">
        <v>2410</v>
      </c>
      <c r="B531" s="332">
        <v>23</v>
      </c>
      <c r="C531" s="331" t="s">
        <v>2411</v>
      </c>
      <c r="D531" s="375">
        <v>4</v>
      </c>
      <c r="E531" s="380" t="s">
        <v>2416</v>
      </c>
      <c r="F531" s="350">
        <v>44849</v>
      </c>
      <c r="G531" s="109" t="s">
        <v>2413</v>
      </c>
      <c r="H531" s="109" t="s">
        <v>1713</v>
      </c>
      <c r="I531" s="397">
        <v>15</v>
      </c>
      <c r="J531" s="392" t="s">
        <v>1711</v>
      </c>
      <c r="K531" s="392">
        <v>2.5</v>
      </c>
      <c r="L531" s="389" t="e">
        <v>#VALUE!</v>
      </c>
      <c r="M531" s="338">
        <v>0</v>
      </c>
      <c r="N531" s="338">
        <v>0</v>
      </c>
      <c r="O531" s="338">
        <v>0</v>
      </c>
      <c r="P531" s="338">
        <v>0</v>
      </c>
      <c r="Q531" s="183" t="s">
        <v>1707</v>
      </c>
      <c r="R531" s="338">
        <v>0</v>
      </c>
      <c r="S531" s="767"/>
      <c r="T531" s="419">
        <v>0</v>
      </c>
      <c r="U531" s="391">
        <v>0</v>
      </c>
      <c r="V531" s="129" t="s">
        <v>749</v>
      </c>
      <c r="W531" s="132" t="s">
        <v>749</v>
      </c>
      <c r="X531" s="427">
        <v>0</v>
      </c>
      <c r="Y531" s="410">
        <v>1</v>
      </c>
      <c r="Z531" s="396">
        <v>0</v>
      </c>
      <c r="AA531" s="391"/>
      <c r="AB531" s="110"/>
      <c r="AC531" s="410">
        <v>15</v>
      </c>
      <c r="AD531" s="29">
        <v>5</v>
      </c>
      <c r="AE531" s="431">
        <v>0</v>
      </c>
      <c r="AF531" s="586"/>
    </row>
    <row r="532" spans="1:32" s="285" customFormat="1" ht="27" customHeight="1">
      <c r="A532" s="352" t="s">
        <v>2410</v>
      </c>
      <c r="B532" s="353">
        <v>23</v>
      </c>
      <c r="C532" s="352" t="s">
        <v>2411</v>
      </c>
      <c r="D532" s="375">
        <v>5</v>
      </c>
      <c r="E532" s="380" t="s">
        <v>2417</v>
      </c>
      <c r="F532" s="350">
        <v>44849</v>
      </c>
      <c r="G532" s="109" t="s">
        <v>2413</v>
      </c>
      <c r="H532" s="109" t="s">
        <v>1713</v>
      </c>
      <c r="I532" s="397">
        <v>15</v>
      </c>
      <c r="J532" s="390">
        <v>20</v>
      </c>
      <c r="K532" s="390">
        <v>10</v>
      </c>
      <c r="L532" s="389">
        <v>10</v>
      </c>
      <c r="M532" s="338" t="s">
        <v>1711</v>
      </c>
      <c r="N532" s="338" t="s">
        <v>1711</v>
      </c>
      <c r="O532" s="338" t="s">
        <v>1711</v>
      </c>
      <c r="P532" s="338">
        <v>0</v>
      </c>
      <c r="Q532" s="183" t="s">
        <v>1707</v>
      </c>
      <c r="R532" s="338">
        <v>1</v>
      </c>
      <c r="S532" s="767"/>
      <c r="T532" s="419">
        <v>78</v>
      </c>
      <c r="U532" s="391">
        <v>0</v>
      </c>
      <c r="V532" s="129" t="s">
        <v>749</v>
      </c>
      <c r="W532" s="132" t="s">
        <v>749</v>
      </c>
      <c r="X532" s="427">
        <v>0</v>
      </c>
      <c r="Y532" s="410">
        <v>2</v>
      </c>
      <c r="Z532" s="431" t="s">
        <v>2030</v>
      </c>
      <c r="AA532" s="391"/>
      <c r="AB532" s="110"/>
      <c r="AC532" s="413">
        <v>2</v>
      </c>
      <c r="AD532" s="132">
        <v>5</v>
      </c>
      <c r="AE532" s="431">
        <v>4</v>
      </c>
      <c r="AF532" s="586"/>
    </row>
    <row r="533" spans="1:32" s="285" customFormat="1" ht="27" customHeight="1">
      <c r="A533" s="352" t="s">
        <v>2410</v>
      </c>
      <c r="B533" s="353">
        <v>23</v>
      </c>
      <c r="C533" s="352" t="s">
        <v>2411</v>
      </c>
      <c r="D533" s="375">
        <v>6</v>
      </c>
      <c r="E533" s="380" t="s">
        <v>2418</v>
      </c>
      <c r="F533" s="350">
        <v>44878</v>
      </c>
      <c r="G533" s="109" t="s">
        <v>2413</v>
      </c>
      <c r="H533" s="109" t="s">
        <v>1713</v>
      </c>
      <c r="I533" s="397">
        <v>15</v>
      </c>
      <c r="J533" s="390">
        <v>40</v>
      </c>
      <c r="K533" s="390">
        <v>60</v>
      </c>
      <c r="L533" s="389">
        <v>-20</v>
      </c>
      <c r="M533" s="338" t="s">
        <v>1711</v>
      </c>
      <c r="N533" s="338">
        <v>0</v>
      </c>
      <c r="O533" s="338">
        <v>0</v>
      </c>
      <c r="P533" s="338">
        <v>0</v>
      </c>
      <c r="Q533" s="183" t="s">
        <v>2112</v>
      </c>
      <c r="R533" s="338">
        <v>0</v>
      </c>
      <c r="S533" s="767"/>
      <c r="T533" s="419">
        <v>140</v>
      </c>
      <c r="U533" s="391">
        <v>0</v>
      </c>
      <c r="V533" s="129" t="s">
        <v>749</v>
      </c>
      <c r="W533" s="132" t="s">
        <v>749</v>
      </c>
      <c r="X533" s="313">
        <v>0</v>
      </c>
      <c r="Y533" s="410">
        <v>2</v>
      </c>
      <c r="Z533" s="431" t="s">
        <v>2030</v>
      </c>
      <c r="AA533" s="391"/>
      <c r="AB533" s="110"/>
      <c r="AC533" s="413">
        <v>0</v>
      </c>
      <c r="AD533" s="132">
        <v>0</v>
      </c>
      <c r="AE533" s="431">
        <v>3</v>
      </c>
      <c r="AF533" s="441"/>
    </row>
    <row r="534" spans="1:32" s="285" customFormat="1" ht="27" customHeight="1">
      <c r="A534" s="352" t="s">
        <v>2410</v>
      </c>
      <c r="B534" s="353">
        <v>23</v>
      </c>
      <c r="C534" s="352" t="s">
        <v>2411</v>
      </c>
      <c r="D534" s="375">
        <v>7</v>
      </c>
      <c r="E534" s="380" t="s">
        <v>2419</v>
      </c>
      <c r="F534" s="350">
        <v>44878</v>
      </c>
      <c r="G534" s="109" t="s">
        <v>2413</v>
      </c>
      <c r="H534" s="109" t="s">
        <v>1713</v>
      </c>
      <c r="I534" s="397">
        <v>20</v>
      </c>
      <c r="J534" s="390">
        <v>30</v>
      </c>
      <c r="K534" s="390">
        <v>30</v>
      </c>
      <c r="L534" s="389">
        <v>0</v>
      </c>
      <c r="M534" s="338" t="s">
        <v>1711</v>
      </c>
      <c r="N534" s="338">
        <v>0</v>
      </c>
      <c r="O534" s="338">
        <v>0</v>
      </c>
      <c r="P534" s="338">
        <v>0</v>
      </c>
      <c r="Q534" s="183" t="s">
        <v>1707</v>
      </c>
      <c r="R534" s="338">
        <v>2</v>
      </c>
      <c r="S534" s="767"/>
      <c r="T534" s="419">
        <v>174</v>
      </c>
      <c r="U534" s="391">
        <v>0</v>
      </c>
      <c r="V534" s="129" t="s">
        <v>749</v>
      </c>
      <c r="W534" s="132" t="s">
        <v>749</v>
      </c>
      <c r="X534" s="427">
        <v>0</v>
      </c>
      <c r="Y534" s="410">
        <v>2</v>
      </c>
      <c r="Z534" s="431" t="s">
        <v>2030</v>
      </c>
      <c r="AA534" s="391"/>
      <c r="AB534" s="110"/>
      <c r="AC534" s="413">
        <v>0</v>
      </c>
      <c r="AD534" s="132">
        <v>0</v>
      </c>
      <c r="AE534" s="431">
        <v>8</v>
      </c>
      <c r="AF534" s="441"/>
    </row>
    <row r="535" spans="1:32" s="285" customFormat="1" ht="27" customHeight="1">
      <c r="A535" s="352" t="s">
        <v>2410</v>
      </c>
      <c r="B535" s="353">
        <v>23</v>
      </c>
      <c r="C535" s="352" t="s">
        <v>2411</v>
      </c>
      <c r="D535" s="375">
        <v>8</v>
      </c>
      <c r="E535" s="380" t="s">
        <v>2420</v>
      </c>
      <c r="F535" s="109"/>
      <c r="G535" s="109"/>
      <c r="H535" s="109"/>
      <c r="I535" s="110"/>
      <c r="J535" s="391"/>
      <c r="K535" s="391"/>
      <c r="L535" s="389"/>
      <c r="M535" s="338"/>
      <c r="N535" s="338"/>
      <c r="O535" s="338"/>
      <c r="P535" s="338"/>
      <c r="Q535" s="109"/>
      <c r="R535" s="109" t="s">
        <v>749</v>
      </c>
      <c r="S535" s="777"/>
      <c r="T535" s="110" t="s">
        <v>749</v>
      </c>
      <c r="U535" s="403" t="s">
        <v>749</v>
      </c>
      <c r="V535" s="364" t="s">
        <v>749</v>
      </c>
      <c r="W535" s="109" t="s">
        <v>749</v>
      </c>
      <c r="X535" s="110" t="s">
        <v>2027</v>
      </c>
      <c r="Y535" s="403" t="s">
        <v>749</v>
      </c>
      <c r="Z535" s="110" t="s">
        <v>749</v>
      </c>
      <c r="AA535" s="391"/>
      <c r="AB535" s="110"/>
      <c r="AC535" s="403"/>
      <c r="AD535" s="109"/>
      <c r="AE535" s="110"/>
      <c r="AF535" s="307"/>
    </row>
    <row r="536" spans="1:32" ht="27" customHeight="1">
      <c r="A536" s="331" t="s">
        <v>2410</v>
      </c>
      <c r="B536" s="332">
        <v>23</v>
      </c>
      <c r="C536" s="331" t="s">
        <v>2411</v>
      </c>
      <c r="D536" s="375">
        <v>9</v>
      </c>
      <c r="E536" s="380" t="s">
        <v>2421</v>
      </c>
      <c r="F536" s="350">
        <v>44854</v>
      </c>
      <c r="G536" s="109" t="s">
        <v>2413</v>
      </c>
      <c r="H536" s="109" t="s">
        <v>1713</v>
      </c>
      <c r="I536" s="397">
        <v>15</v>
      </c>
      <c r="J536" s="392" t="s">
        <v>1711</v>
      </c>
      <c r="K536" s="392">
        <v>2.5</v>
      </c>
      <c r="L536" s="389" t="e">
        <v>#VALUE!</v>
      </c>
      <c r="M536" s="338">
        <v>60</v>
      </c>
      <c r="N536" s="338">
        <v>50</v>
      </c>
      <c r="O536" s="338">
        <v>30</v>
      </c>
      <c r="P536" s="338">
        <v>50</v>
      </c>
      <c r="Q536" s="183" t="s">
        <v>1707</v>
      </c>
      <c r="R536" s="338">
        <v>2</v>
      </c>
      <c r="S536" s="767"/>
      <c r="T536" s="419">
        <v>7.5</v>
      </c>
      <c r="U536" s="405">
        <v>0</v>
      </c>
      <c r="V536" s="129" t="s">
        <v>749</v>
      </c>
      <c r="W536" s="132" t="s">
        <v>749</v>
      </c>
      <c r="X536" s="427">
        <v>0</v>
      </c>
      <c r="Y536" s="410">
        <v>1</v>
      </c>
      <c r="Z536" s="396">
        <v>0</v>
      </c>
      <c r="AA536" s="391"/>
      <c r="AB536" s="110"/>
      <c r="AC536" s="413">
        <v>0</v>
      </c>
      <c r="AD536" s="132">
        <v>0</v>
      </c>
      <c r="AE536" s="431">
        <v>5</v>
      </c>
      <c r="AF536" s="586"/>
    </row>
    <row r="537" spans="1:32" s="285" customFormat="1" ht="27" customHeight="1">
      <c r="A537" s="352" t="s">
        <v>2410</v>
      </c>
      <c r="B537" s="353">
        <v>23</v>
      </c>
      <c r="C537" s="352" t="s">
        <v>2411</v>
      </c>
      <c r="D537" s="375">
        <v>10</v>
      </c>
      <c r="E537" s="380" t="s">
        <v>2422</v>
      </c>
      <c r="F537" s="350">
        <v>44854</v>
      </c>
      <c r="G537" s="109" t="s">
        <v>2413</v>
      </c>
      <c r="H537" s="109" t="s">
        <v>1713</v>
      </c>
      <c r="I537" s="397">
        <v>15</v>
      </c>
      <c r="J537" s="392" t="s">
        <v>1711</v>
      </c>
      <c r="K537" s="392">
        <v>2.5</v>
      </c>
      <c r="L537" s="389" t="e">
        <v>#VALUE!</v>
      </c>
      <c r="M537" s="338">
        <v>60</v>
      </c>
      <c r="N537" s="338">
        <v>80</v>
      </c>
      <c r="O537" s="338">
        <v>30</v>
      </c>
      <c r="P537" s="338">
        <v>50</v>
      </c>
      <c r="Q537" s="183" t="s">
        <v>1707</v>
      </c>
      <c r="R537" s="338">
        <v>1</v>
      </c>
      <c r="S537" s="767"/>
      <c r="T537" s="419">
        <v>22</v>
      </c>
      <c r="U537" s="405">
        <v>0</v>
      </c>
      <c r="V537" s="129" t="s">
        <v>749</v>
      </c>
      <c r="W537" s="132" t="s">
        <v>749</v>
      </c>
      <c r="X537" s="427">
        <v>0</v>
      </c>
      <c r="Y537" s="410">
        <v>2</v>
      </c>
      <c r="Z537" s="431" t="s">
        <v>2030</v>
      </c>
      <c r="AA537" s="391"/>
      <c r="AB537" s="110"/>
      <c r="AC537" s="413">
        <v>0</v>
      </c>
      <c r="AD537" s="132">
        <v>0</v>
      </c>
      <c r="AE537" s="431">
        <v>2</v>
      </c>
      <c r="AF537" s="586"/>
    </row>
    <row r="538" spans="1:32" ht="27" customHeight="1">
      <c r="A538" s="331" t="s">
        <v>2410</v>
      </c>
      <c r="B538" s="332">
        <v>23</v>
      </c>
      <c r="C538" s="331" t="s">
        <v>2411</v>
      </c>
      <c r="D538" s="375">
        <v>11</v>
      </c>
      <c r="E538" s="380" t="s">
        <v>2423</v>
      </c>
      <c r="F538" s="350">
        <v>44854</v>
      </c>
      <c r="G538" s="109" t="s">
        <v>2413</v>
      </c>
      <c r="H538" s="109" t="s">
        <v>1713</v>
      </c>
      <c r="I538" s="397">
        <v>15</v>
      </c>
      <c r="J538" s="392" t="s">
        <v>1711</v>
      </c>
      <c r="K538" s="392">
        <v>2.5</v>
      </c>
      <c r="L538" s="389" t="e">
        <v>#VALUE!</v>
      </c>
      <c r="M538" s="338">
        <v>80</v>
      </c>
      <c r="N538" s="338">
        <v>80</v>
      </c>
      <c r="O538" s="338">
        <v>50</v>
      </c>
      <c r="P538" s="338">
        <v>50</v>
      </c>
      <c r="Q538" s="183" t="s">
        <v>1707</v>
      </c>
      <c r="R538" s="338">
        <v>2</v>
      </c>
      <c r="S538" s="767"/>
      <c r="T538" s="419">
        <v>6</v>
      </c>
      <c r="U538" s="405">
        <v>0</v>
      </c>
      <c r="V538" s="129" t="s">
        <v>749</v>
      </c>
      <c r="W538" s="132" t="s">
        <v>749</v>
      </c>
      <c r="X538" s="427">
        <v>0</v>
      </c>
      <c r="Y538" s="410">
        <v>1</v>
      </c>
      <c r="Z538" s="396">
        <v>0</v>
      </c>
      <c r="AA538" s="391"/>
      <c r="AB538" s="110"/>
      <c r="AC538" s="413"/>
      <c r="AD538" s="132"/>
      <c r="AE538" s="431"/>
      <c r="AF538" s="586"/>
    </row>
    <row r="539" spans="1:32" s="285" customFormat="1" ht="27" customHeight="1">
      <c r="A539" s="352" t="s">
        <v>2410</v>
      </c>
      <c r="B539" s="353">
        <v>23</v>
      </c>
      <c r="C539" s="352" t="s">
        <v>2411</v>
      </c>
      <c r="D539" s="375">
        <v>12</v>
      </c>
      <c r="E539" s="380" t="s">
        <v>2424</v>
      </c>
      <c r="F539" s="350">
        <v>44854</v>
      </c>
      <c r="G539" s="109" t="s">
        <v>2413</v>
      </c>
      <c r="H539" s="109" t="s">
        <v>1713</v>
      </c>
      <c r="I539" s="397">
        <v>15</v>
      </c>
      <c r="J539" s="392" t="s">
        <v>1711</v>
      </c>
      <c r="K539" s="392">
        <v>2.5</v>
      </c>
      <c r="L539" s="389" t="e">
        <v>#VALUE!</v>
      </c>
      <c r="M539" s="338">
        <v>80</v>
      </c>
      <c r="N539" s="338">
        <v>80</v>
      </c>
      <c r="O539" s="338">
        <v>50</v>
      </c>
      <c r="P539" s="338">
        <v>50</v>
      </c>
      <c r="Q539" s="183" t="s">
        <v>1707</v>
      </c>
      <c r="R539" s="338">
        <v>2</v>
      </c>
      <c r="S539" s="767"/>
      <c r="T539" s="419">
        <v>6.6</v>
      </c>
      <c r="U539" s="405">
        <v>0</v>
      </c>
      <c r="V539" s="129" t="s">
        <v>749</v>
      </c>
      <c r="W539" s="132" t="s">
        <v>749</v>
      </c>
      <c r="X539" s="427">
        <v>0</v>
      </c>
      <c r="Y539" s="410">
        <v>1</v>
      </c>
      <c r="Z539" s="396">
        <v>0</v>
      </c>
      <c r="AA539" s="391"/>
      <c r="AB539" s="110"/>
      <c r="AC539" s="413">
        <v>0</v>
      </c>
      <c r="AD539" s="132">
        <v>0</v>
      </c>
      <c r="AE539" s="431">
        <v>2</v>
      </c>
      <c r="AF539" s="586"/>
    </row>
    <row r="540" spans="1:32" s="285" customFormat="1" ht="27" customHeight="1">
      <c r="A540" s="352" t="s">
        <v>2410</v>
      </c>
      <c r="B540" s="353">
        <v>23</v>
      </c>
      <c r="C540" s="352" t="s">
        <v>2411</v>
      </c>
      <c r="D540" s="375">
        <v>13</v>
      </c>
      <c r="E540" s="380" t="s">
        <v>2425</v>
      </c>
      <c r="F540" s="350">
        <v>44856</v>
      </c>
      <c r="G540" s="109" t="s">
        <v>2413</v>
      </c>
      <c r="H540" s="109" t="s">
        <v>1713</v>
      </c>
      <c r="I540" s="397">
        <v>25</v>
      </c>
      <c r="J540" s="392" t="s">
        <v>1711</v>
      </c>
      <c r="K540" s="392">
        <v>2.5</v>
      </c>
      <c r="L540" s="389" t="e">
        <v>#VALUE!</v>
      </c>
      <c r="M540" s="338">
        <v>30</v>
      </c>
      <c r="N540" s="338">
        <v>0</v>
      </c>
      <c r="O540" s="338" t="s">
        <v>1711</v>
      </c>
      <c r="P540" s="338">
        <v>0</v>
      </c>
      <c r="Q540" s="183" t="s">
        <v>1707</v>
      </c>
      <c r="R540" s="338">
        <v>1</v>
      </c>
      <c r="S540" s="767"/>
      <c r="T540" s="419">
        <v>0</v>
      </c>
      <c r="U540" s="405">
        <v>1.2</v>
      </c>
      <c r="V540" s="364" t="s">
        <v>2028</v>
      </c>
      <c r="W540" s="109" t="s">
        <v>2028</v>
      </c>
      <c r="X540" s="396">
        <v>60</v>
      </c>
      <c r="Y540" s="410">
        <v>2</v>
      </c>
      <c r="Z540" s="431" t="s">
        <v>2030</v>
      </c>
      <c r="AA540" s="391"/>
      <c r="AB540" s="110"/>
      <c r="AC540" s="413"/>
      <c r="AD540" s="132"/>
      <c r="AE540" s="431"/>
      <c r="AF540" s="586"/>
    </row>
    <row r="541" spans="1:32" s="285" customFormat="1" ht="27" customHeight="1">
      <c r="A541" s="352" t="s">
        <v>2410</v>
      </c>
      <c r="B541" s="353">
        <v>23</v>
      </c>
      <c r="C541" s="352" t="s">
        <v>2411</v>
      </c>
      <c r="D541" s="375">
        <v>14</v>
      </c>
      <c r="E541" s="380" t="s">
        <v>2426</v>
      </c>
      <c r="F541" s="350">
        <v>44856</v>
      </c>
      <c r="G541" s="109" t="s">
        <v>2413</v>
      </c>
      <c r="H541" s="109" t="s">
        <v>1713</v>
      </c>
      <c r="I541" s="397">
        <v>25</v>
      </c>
      <c r="J541" s="392" t="s">
        <v>1711</v>
      </c>
      <c r="K541" s="392">
        <v>2.5</v>
      </c>
      <c r="L541" s="389" t="e">
        <v>#VALUE!</v>
      </c>
      <c r="M541" s="338">
        <v>80</v>
      </c>
      <c r="N541" s="338">
        <v>80</v>
      </c>
      <c r="O541" s="338">
        <v>50</v>
      </c>
      <c r="P541" s="338">
        <v>30</v>
      </c>
      <c r="Q541" s="183" t="s">
        <v>1707</v>
      </c>
      <c r="R541" s="338">
        <v>2</v>
      </c>
      <c r="S541" s="767"/>
      <c r="T541" s="419">
        <v>30</v>
      </c>
      <c r="U541" s="405">
        <v>1.8</v>
      </c>
      <c r="V541" s="364" t="s">
        <v>2029</v>
      </c>
      <c r="W541" s="109" t="s">
        <v>2029</v>
      </c>
      <c r="X541" s="396">
        <v>30</v>
      </c>
      <c r="Y541" s="410">
        <v>1</v>
      </c>
      <c r="Z541" s="396">
        <v>0</v>
      </c>
      <c r="AA541" s="391"/>
      <c r="AB541" s="110"/>
      <c r="AC541" s="413">
        <v>4</v>
      </c>
      <c r="AD541" s="132">
        <v>0</v>
      </c>
      <c r="AE541" s="431">
        <v>5</v>
      </c>
      <c r="AF541" s="586"/>
    </row>
    <row r="542" spans="1:32" s="285" customFormat="1" ht="27" customHeight="1">
      <c r="A542" s="352" t="s">
        <v>2410</v>
      </c>
      <c r="B542" s="353">
        <v>23</v>
      </c>
      <c r="C542" s="352" t="s">
        <v>2411</v>
      </c>
      <c r="D542" s="375">
        <v>15</v>
      </c>
      <c r="E542" s="380" t="s">
        <v>2427</v>
      </c>
      <c r="F542" s="350">
        <v>44856</v>
      </c>
      <c r="G542" s="109" t="s">
        <v>2413</v>
      </c>
      <c r="H542" s="109" t="s">
        <v>1713</v>
      </c>
      <c r="I542" s="397">
        <v>40</v>
      </c>
      <c r="J542" s="390">
        <v>60</v>
      </c>
      <c r="K542" s="390">
        <v>60</v>
      </c>
      <c r="L542" s="389">
        <v>0</v>
      </c>
      <c r="M542" s="338">
        <v>30</v>
      </c>
      <c r="N542" s="338">
        <v>50</v>
      </c>
      <c r="O542" s="338" t="s">
        <v>1711</v>
      </c>
      <c r="P542" s="338" t="s">
        <v>1711</v>
      </c>
      <c r="Q542" s="183" t="s">
        <v>1708</v>
      </c>
      <c r="R542" s="338">
        <v>1</v>
      </c>
      <c r="S542" s="767"/>
      <c r="T542" s="419">
        <v>84</v>
      </c>
      <c r="U542" s="391">
        <v>0</v>
      </c>
      <c r="V542" s="129" t="s">
        <v>749</v>
      </c>
      <c r="W542" s="132" t="s">
        <v>749</v>
      </c>
      <c r="X542" s="427">
        <v>0</v>
      </c>
      <c r="Y542" s="410">
        <v>3</v>
      </c>
      <c r="Z542" s="396">
        <v>30</v>
      </c>
      <c r="AA542" s="391"/>
      <c r="AB542" s="110"/>
      <c r="AC542" s="410">
        <v>1</v>
      </c>
      <c r="AD542" s="132">
        <v>1</v>
      </c>
      <c r="AE542" s="431">
        <v>4</v>
      </c>
      <c r="AF542" s="586"/>
    </row>
    <row r="543" spans="1:32" s="285" customFormat="1" ht="27" customHeight="1">
      <c r="A543" s="352" t="s">
        <v>2410</v>
      </c>
      <c r="B543" s="353">
        <v>23</v>
      </c>
      <c r="C543" s="352" t="s">
        <v>2411</v>
      </c>
      <c r="D543" s="375">
        <v>16</v>
      </c>
      <c r="E543" s="375" t="s">
        <v>2428</v>
      </c>
      <c r="F543" s="350">
        <v>44871</v>
      </c>
      <c r="G543" s="109" t="s">
        <v>2413</v>
      </c>
      <c r="H543" s="109" t="s">
        <v>1713</v>
      </c>
      <c r="I543" s="397">
        <v>20</v>
      </c>
      <c r="J543" s="390" t="s">
        <v>1711</v>
      </c>
      <c r="K543" s="390">
        <v>50</v>
      </c>
      <c r="L543" s="389" t="e">
        <v>#VALUE!</v>
      </c>
      <c r="M543" s="338">
        <v>90</v>
      </c>
      <c r="N543" s="338">
        <v>90</v>
      </c>
      <c r="O543" s="338">
        <v>90</v>
      </c>
      <c r="P543" s="338">
        <v>90</v>
      </c>
      <c r="Q543" s="183" t="s">
        <v>2112</v>
      </c>
      <c r="R543" s="338">
        <v>1</v>
      </c>
      <c r="S543" s="767"/>
      <c r="T543" s="419">
        <v>42</v>
      </c>
      <c r="U543" s="391">
        <v>0</v>
      </c>
      <c r="V543" s="129" t="s">
        <v>749</v>
      </c>
      <c r="W543" s="132" t="s">
        <v>749</v>
      </c>
      <c r="X543" s="427">
        <v>0</v>
      </c>
      <c r="Y543" s="410">
        <v>1</v>
      </c>
      <c r="Z543" s="396">
        <v>0</v>
      </c>
      <c r="AA543" s="391"/>
      <c r="AB543" s="110"/>
      <c r="AC543" s="413"/>
      <c r="AD543" s="132"/>
      <c r="AE543" s="431"/>
      <c r="AF543" s="586"/>
    </row>
    <row r="544" spans="1:32" s="285" customFormat="1" ht="27" customHeight="1">
      <c r="A544" s="352" t="s">
        <v>2410</v>
      </c>
      <c r="B544" s="353">
        <v>23</v>
      </c>
      <c r="C544" s="352" t="s">
        <v>2411</v>
      </c>
      <c r="D544" s="375">
        <v>17</v>
      </c>
      <c r="E544" s="375" t="s">
        <v>2429</v>
      </c>
      <c r="F544" s="350">
        <v>44871</v>
      </c>
      <c r="G544" s="109" t="s">
        <v>2413</v>
      </c>
      <c r="H544" s="109" t="s">
        <v>1713</v>
      </c>
      <c r="I544" s="397">
        <v>15</v>
      </c>
      <c r="J544" s="390" t="s">
        <v>1711</v>
      </c>
      <c r="K544" s="390">
        <v>30</v>
      </c>
      <c r="L544" s="389" t="e">
        <v>#VALUE!</v>
      </c>
      <c r="M544" s="338">
        <v>90</v>
      </c>
      <c r="N544" s="338">
        <v>90</v>
      </c>
      <c r="O544" s="338">
        <v>90</v>
      </c>
      <c r="P544" s="338">
        <v>90</v>
      </c>
      <c r="Q544" s="183" t="s">
        <v>1707</v>
      </c>
      <c r="R544" s="338">
        <v>0</v>
      </c>
      <c r="S544" s="767"/>
      <c r="T544" s="419">
        <v>54</v>
      </c>
      <c r="U544" s="391">
        <v>0</v>
      </c>
      <c r="V544" s="129" t="s">
        <v>749</v>
      </c>
      <c r="W544" s="132" t="s">
        <v>749</v>
      </c>
      <c r="X544" s="427">
        <v>0</v>
      </c>
      <c r="Y544" s="410">
        <v>1</v>
      </c>
      <c r="Z544" s="396">
        <v>0</v>
      </c>
      <c r="AA544" s="391"/>
      <c r="AB544" s="110"/>
      <c r="AC544" s="413"/>
      <c r="AD544" s="132"/>
      <c r="AE544" s="431"/>
      <c r="AF544" s="441"/>
    </row>
    <row r="545" spans="1:32" ht="27" customHeight="1" thickBot="1">
      <c r="A545" s="474" t="s">
        <v>2410</v>
      </c>
      <c r="B545" s="475">
        <v>23</v>
      </c>
      <c r="C545" s="474" t="s">
        <v>2411</v>
      </c>
      <c r="D545" s="476">
        <v>18</v>
      </c>
      <c r="E545" s="477" t="s">
        <v>2430</v>
      </c>
      <c r="F545" s="478">
        <v>44871</v>
      </c>
      <c r="G545" s="479" t="s">
        <v>2413</v>
      </c>
      <c r="H545" s="479" t="s">
        <v>1713</v>
      </c>
      <c r="I545" s="480">
        <v>15</v>
      </c>
      <c r="J545" s="481" t="s">
        <v>1711</v>
      </c>
      <c r="K545" s="481">
        <v>2.5</v>
      </c>
      <c r="L545" s="389" t="e">
        <v>#VALUE!</v>
      </c>
      <c r="M545" s="482" t="s">
        <v>1711</v>
      </c>
      <c r="N545" s="482">
        <v>0</v>
      </c>
      <c r="O545" s="482">
        <v>0</v>
      </c>
      <c r="P545" s="482">
        <v>0</v>
      </c>
      <c r="Q545" s="193" t="s">
        <v>1707</v>
      </c>
      <c r="R545" s="482">
        <v>5</v>
      </c>
      <c r="S545" s="795"/>
      <c r="T545" s="483">
        <v>22</v>
      </c>
      <c r="U545" s="484">
        <v>0</v>
      </c>
      <c r="V545" s="594" t="s">
        <v>749</v>
      </c>
      <c r="W545" s="583" t="s">
        <v>749</v>
      </c>
      <c r="X545" s="485">
        <v>0</v>
      </c>
      <c r="Y545" s="486">
        <v>1</v>
      </c>
      <c r="Z545" s="487">
        <v>0</v>
      </c>
      <c r="AA545" s="484"/>
      <c r="AB545" s="489"/>
      <c r="AC545" s="519"/>
      <c r="AD545" s="583"/>
      <c r="AE545" s="503"/>
      <c r="AF545" s="587"/>
    </row>
    <row r="546" spans="1:32" s="285" customFormat="1" ht="27" customHeight="1" thickTop="1">
      <c r="A546" s="455" t="s">
        <v>2431</v>
      </c>
      <c r="B546" s="456">
        <v>24</v>
      </c>
      <c r="C546" s="455" t="s">
        <v>2432</v>
      </c>
      <c r="D546" s="470">
        <v>1</v>
      </c>
      <c r="E546" s="456" t="s">
        <v>2433</v>
      </c>
      <c r="F546" s="458">
        <v>44854</v>
      </c>
      <c r="G546" s="308" t="s">
        <v>2434</v>
      </c>
      <c r="H546" s="308" t="s">
        <v>1713</v>
      </c>
      <c r="I546" s="460">
        <v>15</v>
      </c>
      <c r="J546" s="389" t="s">
        <v>1711</v>
      </c>
      <c r="K546" s="389">
        <v>10</v>
      </c>
      <c r="L546" s="389" t="e">
        <v>#VALUE!</v>
      </c>
      <c r="M546" s="461">
        <v>0</v>
      </c>
      <c r="N546" s="461">
        <v>0</v>
      </c>
      <c r="O546" s="461">
        <v>0</v>
      </c>
      <c r="P546" s="461">
        <v>0</v>
      </c>
      <c r="Q546" s="180" t="s">
        <v>2112</v>
      </c>
      <c r="R546" s="461">
        <v>0</v>
      </c>
      <c r="S546" s="794"/>
      <c r="T546" s="471">
        <v>31</v>
      </c>
      <c r="U546" s="462">
        <v>0</v>
      </c>
      <c r="V546" s="138">
        <v>0</v>
      </c>
      <c r="W546" s="141">
        <v>0</v>
      </c>
      <c r="X546" s="460">
        <v>0</v>
      </c>
      <c r="Y546" s="463">
        <v>1</v>
      </c>
      <c r="Z546" s="460">
        <v>0</v>
      </c>
      <c r="AA546" s="541"/>
      <c r="AB546" s="473"/>
      <c r="AC546" s="524">
        <v>2</v>
      </c>
      <c r="AD546" s="141">
        <v>1</v>
      </c>
      <c r="AE546" s="464">
        <v>1</v>
      </c>
      <c r="AF546" s="585"/>
    </row>
    <row r="547" spans="1:32" ht="27" customHeight="1">
      <c r="A547" s="346" t="s">
        <v>2431</v>
      </c>
      <c r="B547" s="340">
        <v>24</v>
      </c>
      <c r="C547" s="346" t="s">
        <v>2432</v>
      </c>
      <c r="D547" s="341">
        <v>2</v>
      </c>
      <c r="E547" s="340" t="s">
        <v>2435</v>
      </c>
      <c r="F547" s="350">
        <v>44854</v>
      </c>
      <c r="G547" s="109" t="s">
        <v>2434</v>
      </c>
      <c r="H547" s="109" t="s">
        <v>1713</v>
      </c>
      <c r="I547" s="396">
        <v>15</v>
      </c>
      <c r="J547" s="390">
        <v>40</v>
      </c>
      <c r="K547" s="390">
        <v>20</v>
      </c>
      <c r="L547" s="389">
        <v>20</v>
      </c>
      <c r="M547" s="338">
        <v>5</v>
      </c>
      <c r="N547" s="338">
        <v>5</v>
      </c>
      <c r="O547" s="338">
        <v>0</v>
      </c>
      <c r="P547" s="338">
        <v>0</v>
      </c>
      <c r="Q547" s="183" t="s">
        <v>2112</v>
      </c>
      <c r="R547" s="338">
        <v>0.5</v>
      </c>
      <c r="S547" s="767"/>
      <c r="T547" s="419">
        <v>119</v>
      </c>
      <c r="U547" s="391">
        <v>0</v>
      </c>
      <c r="V547" s="129">
        <v>0</v>
      </c>
      <c r="W547" s="132">
        <v>0</v>
      </c>
      <c r="X547" s="396">
        <v>0</v>
      </c>
      <c r="Y547" s="410">
        <v>1</v>
      </c>
      <c r="Z547" s="396">
        <v>0</v>
      </c>
      <c r="AA547" s="404"/>
      <c r="AB547" s="429"/>
      <c r="AC547" s="413">
        <v>1</v>
      </c>
      <c r="AD547" s="132">
        <v>0</v>
      </c>
      <c r="AE547" s="431">
        <v>0</v>
      </c>
      <c r="AF547" s="586"/>
    </row>
    <row r="548" spans="1:32" ht="27" customHeight="1">
      <c r="A548" s="346" t="s">
        <v>2431</v>
      </c>
      <c r="B548" s="340">
        <v>24</v>
      </c>
      <c r="C548" s="346" t="s">
        <v>2432</v>
      </c>
      <c r="D548" s="341">
        <v>3</v>
      </c>
      <c r="E548" s="340" t="s">
        <v>2436</v>
      </c>
      <c r="F548" s="350">
        <v>44854</v>
      </c>
      <c r="G548" s="109" t="s">
        <v>2434</v>
      </c>
      <c r="H548" s="109" t="s">
        <v>1713</v>
      </c>
      <c r="I548" s="396">
        <v>15</v>
      </c>
      <c r="J548" s="390">
        <v>30</v>
      </c>
      <c r="K548" s="390">
        <v>40</v>
      </c>
      <c r="L548" s="389">
        <v>-10</v>
      </c>
      <c r="M548" s="338">
        <v>0</v>
      </c>
      <c r="N548" s="338">
        <v>0</v>
      </c>
      <c r="O548" s="338">
        <v>0</v>
      </c>
      <c r="P548" s="338">
        <v>0</v>
      </c>
      <c r="Q548" s="183" t="s">
        <v>2112</v>
      </c>
      <c r="R548" s="338">
        <v>1.5652173913043479</v>
      </c>
      <c r="S548" s="767"/>
      <c r="T548" s="419">
        <v>142</v>
      </c>
      <c r="U548" s="391">
        <v>0</v>
      </c>
      <c r="V548" s="129">
        <v>0</v>
      </c>
      <c r="W548" s="132">
        <v>0</v>
      </c>
      <c r="X548" s="396">
        <v>0</v>
      </c>
      <c r="Y548" s="410">
        <v>1</v>
      </c>
      <c r="Z548" s="396">
        <v>0</v>
      </c>
      <c r="AA548" s="404"/>
      <c r="AB548" s="429"/>
      <c r="AC548" s="413">
        <v>1</v>
      </c>
      <c r="AD548" s="132">
        <v>1</v>
      </c>
      <c r="AE548" s="431">
        <v>0</v>
      </c>
      <c r="AF548" s="586"/>
    </row>
    <row r="549" spans="1:32" ht="27" customHeight="1">
      <c r="A549" s="346" t="s">
        <v>2431</v>
      </c>
      <c r="B549" s="340">
        <v>24</v>
      </c>
      <c r="C549" s="346" t="s">
        <v>2432</v>
      </c>
      <c r="D549" s="341">
        <v>4</v>
      </c>
      <c r="E549" s="340" t="s">
        <v>2437</v>
      </c>
      <c r="F549" s="350">
        <v>44854</v>
      </c>
      <c r="G549" s="109" t="s">
        <v>2434</v>
      </c>
      <c r="H549" s="109" t="s">
        <v>1713</v>
      </c>
      <c r="I549" s="396">
        <v>15</v>
      </c>
      <c r="J549" s="390" t="s">
        <v>1711</v>
      </c>
      <c r="K549" s="390">
        <v>10</v>
      </c>
      <c r="L549" s="389" t="e">
        <v>#VALUE!</v>
      </c>
      <c r="M549" s="338">
        <v>5</v>
      </c>
      <c r="N549" s="338">
        <v>0</v>
      </c>
      <c r="O549" s="338">
        <v>0</v>
      </c>
      <c r="P549" s="338">
        <v>0</v>
      </c>
      <c r="Q549" s="183" t="s">
        <v>2112</v>
      </c>
      <c r="R549" s="338">
        <v>3.36</v>
      </c>
      <c r="S549" s="767"/>
      <c r="T549" s="419">
        <v>27</v>
      </c>
      <c r="U549" s="391">
        <v>0</v>
      </c>
      <c r="V549" s="129">
        <v>0</v>
      </c>
      <c r="W549" s="132">
        <v>0</v>
      </c>
      <c r="X549" s="396">
        <v>0</v>
      </c>
      <c r="Y549" s="410">
        <v>1</v>
      </c>
      <c r="Z549" s="396">
        <v>0</v>
      </c>
      <c r="AA549" s="404"/>
      <c r="AB549" s="429"/>
      <c r="AC549" s="413">
        <v>1</v>
      </c>
      <c r="AD549" s="132">
        <v>0</v>
      </c>
      <c r="AE549" s="431">
        <v>1</v>
      </c>
      <c r="AF549" s="586"/>
    </row>
    <row r="550" spans="1:32" ht="27" customHeight="1">
      <c r="A550" s="346" t="s">
        <v>2431</v>
      </c>
      <c r="B550" s="340">
        <v>24</v>
      </c>
      <c r="C550" s="346" t="s">
        <v>2432</v>
      </c>
      <c r="D550" s="341">
        <v>5</v>
      </c>
      <c r="E550" s="340" t="s">
        <v>2438</v>
      </c>
      <c r="F550" s="350">
        <v>44915</v>
      </c>
      <c r="G550" s="109" t="s">
        <v>2434</v>
      </c>
      <c r="H550" s="109" t="s">
        <v>1713</v>
      </c>
      <c r="I550" s="396">
        <v>15</v>
      </c>
      <c r="J550" s="390">
        <v>20</v>
      </c>
      <c r="K550" s="390">
        <v>20</v>
      </c>
      <c r="L550" s="389">
        <v>0</v>
      </c>
      <c r="M550" s="338">
        <v>5</v>
      </c>
      <c r="N550" s="338">
        <v>0</v>
      </c>
      <c r="O550" s="338">
        <v>0</v>
      </c>
      <c r="P550" s="338">
        <v>0</v>
      </c>
      <c r="Q550" s="183" t="s">
        <v>2112</v>
      </c>
      <c r="R550" s="338">
        <v>0.72727272727272729</v>
      </c>
      <c r="S550" s="767"/>
      <c r="T550" s="419">
        <v>116</v>
      </c>
      <c r="U550" s="391">
        <v>0</v>
      </c>
      <c r="V550" s="129">
        <v>0</v>
      </c>
      <c r="W550" s="132">
        <v>0</v>
      </c>
      <c r="X550" s="396">
        <v>0</v>
      </c>
      <c r="Y550" s="410">
        <v>1</v>
      </c>
      <c r="Z550" s="396">
        <v>0</v>
      </c>
      <c r="AA550" s="404"/>
      <c r="AB550" s="429"/>
      <c r="AC550" s="413">
        <v>2</v>
      </c>
      <c r="AD550" s="132">
        <v>0</v>
      </c>
      <c r="AE550" s="431">
        <v>0</v>
      </c>
      <c r="AF550" s="586"/>
    </row>
    <row r="551" spans="1:32" ht="27" customHeight="1">
      <c r="A551" s="346" t="s">
        <v>2431</v>
      </c>
      <c r="B551" s="340">
        <v>24</v>
      </c>
      <c r="C551" s="346" t="s">
        <v>2432</v>
      </c>
      <c r="D551" s="341">
        <v>6</v>
      </c>
      <c r="E551" s="340" t="s">
        <v>2439</v>
      </c>
      <c r="F551" s="350">
        <v>44861</v>
      </c>
      <c r="G551" s="109" t="s">
        <v>2434</v>
      </c>
      <c r="H551" s="109" t="s">
        <v>1713</v>
      </c>
      <c r="I551" s="396">
        <v>15</v>
      </c>
      <c r="J551" s="390" t="s">
        <v>1711</v>
      </c>
      <c r="K551" s="390">
        <v>10</v>
      </c>
      <c r="L551" s="389" t="e">
        <v>#VALUE!</v>
      </c>
      <c r="M551" s="338">
        <v>0</v>
      </c>
      <c r="N551" s="338">
        <v>0</v>
      </c>
      <c r="O551" s="338">
        <v>0</v>
      </c>
      <c r="P551" s="338">
        <v>0</v>
      </c>
      <c r="Q551" s="183" t="s">
        <v>2112</v>
      </c>
      <c r="R551" s="338">
        <v>4</v>
      </c>
      <c r="S551" s="767"/>
      <c r="T551" s="419">
        <v>27</v>
      </c>
      <c r="U551" s="391">
        <v>0</v>
      </c>
      <c r="V551" s="129">
        <v>0</v>
      </c>
      <c r="W551" s="132">
        <v>0</v>
      </c>
      <c r="X551" s="396">
        <v>0</v>
      </c>
      <c r="Y551" s="410">
        <v>1</v>
      </c>
      <c r="Z551" s="396">
        <v>0</v>
      </c>
      <c r="AA551" s="404"/>
      <c r="AB551" s="429"/>
      <c r="AC551" s="413">
        <v>1</v>
      </c>
      <c r="AD551" s="132">
        <v>0</v>
      </c>
      <c r="AE551" s="431">
        <v>0</v>
      </c>
      <c r="AF551" s="586"/>
    </row>
    <row r="552" spans="1:32" ht="27" customHeight="1">
      <c r="A552" s="346" t="s">
        <v>2431</v>
      </c>
      <c r="B552" s="340">
        <v>24</v>
      </c>
      <c r="C552" s="346" t="s">
        <v>2432</v>
      </c>
      <c r="D552" s="341">
        <v>7</v>
      </c>
      <c r="E552" s="340" t="s">
        <v>2440</v>
      </c>
      <c r="F552" s="350">
        <v>44861</v>
      </c>
      <c r="G552" s="109" t="s">
        <v>2434</v>
      </c>
      <c r="H552" s="109" t="s">
        <v>1713</v>
      </c>
      <c r="I552" s="396">
        <v>15</v>
      </c>
      <c r="J552" s="390">
        <v>40</v>
      </c>
      <c r="K552" s="390">
        <v>30</v>
      </c>
      <c r="L552" s="389">
        <v>10</v>
      </c>
      <c r="M552" s="338">
        <v>5</v>
      </c>
      <c r="N552" s="338">
        <v>5</v>
      </c>
      <c r="O552" s="338">
        <v>0</v>
      </c>
      <c r="P552" s="338">
        <v>0</v>
      </c>
      <c r="Q552" s="183" t="s">
        <v>2112</v>
      </c>
      <c r="R552" s="338">
        <v>2.8235294117647061</v>
      </c>
      <c r="S552" s="767"/>
      <c r="T552" s="419">
        <v>179</v>
      </c>
      <c r="U552" s="391">
        <v>0</v>
      </c>
      <c r="V552" s="129">
        <v>0</v>
      </c>
      <c r="W552" s="132">
        <v>0</v>
      </c>
      <c r="X552" s="396">
        <v>5</v>
      </c>
      <c r="Y552" s="410">
        <v>1</v>
      </c>
      <c r="Z552" s="396">
        <v>0</v>
      </c>
      <c r="AA552" s="404"/>
      <c r="AB552" s="429"/>
      <c r="AC552" s="413">
        <v>1</v>
      </c>
      <c r="AD552" s="132">
        <v>1</v>
      </c>
      <c r="AE552" s="431">
        <v>1</v>
      </c>
      <c r="AF552" s="586"/>
    </row>
    <row r="553" spans="1:32" ht="27" customHeight="1">
      <c r="A553" s="346" t="s">
        <v>2431</v>
      </c>
      <c r="B553" s="340">
        <v>24</v>
      </c>
      <c r="C553" s="346" t="s">
        <v>2432</v>
      </c>
      <c r="D553" s="341">
        <v>8</v>
      </c>
      <c r="E553" s="340" t="s">
        <v>2441</v>
      </c>
      <c r="F553" s="350">
        <v>44861</v>
      </c>
      <c r="G553" s="109" t="s">
        <v>2434</v>
      </c>
      <c r="H553" s="109" t="s">
        <v>1713</v>
      </c>
      <c r="I553" s="396">
        <v>15</v>
      </c>
      <c r="J553" s="390">
        <v>30</v>
      </c>
      <c r="K553" s="390">
        <v>30</v>
      </c>
      <c r="L553" s="389">
        <v>0</v>
      </c>
      <c r="M553" s="338">
        <v>5</v>
      </c>
      <c r="N553" s="338">
        <v>5</v>
      </c>
      <c r="O553" s="338">
        <v>0</v>
      </c>
      <c r="P553" s="338">
        <v>0</v>
      </c>
      <c r="Q553" s="183" t="s">
        <v>2112</v>
      </c>
      <c r="R553" s="338">
        <v>0.61538461538461542</v>
      </c>
      <c r="S553" s="767"/>
      <c r="T553" s="419">
        <v>137</v>
      </c>
      <c r="U553" s="391">
        <v>0</v>
      </c>
      <c r="V553" s="129">
        <v>0</v>
      </c>
      <c r="W553" s="132">
        <v>0</v>
      </c>
      <c r="X553" s="396">
        <v>0</v>
      </c>
      <c r="Y553" s="410">
        <v>1</v>
      </c>
      <c r="Z553" s="396">
        <v>0</v>
      </c>
      <c r="AA553" s="404"/>
      <c r="AB553" s="429"/>
      <c r="AC553" s="413">
        <v>1</v>
      </c>
      <c r="AD553" s="132">
        <v>0</v>
      </c>
      <c r="AE553" s="431">
        <v>1</v>
      </c>
      <c r="AF553" s="586"/>
    </row>
    <row r="554" spans="1:32" ht="27" customHeight="1">
      <c r="A554" s="346" t="s">
        <v>2431</v>
      </c>
      <c r="B554" s="340">
        <v>24</v>
      </c>
      <c r="C554" s="346" t="s">
        <v>2432</v>
      </c>
      <c r="D554" s="341">
        <v>9</v>
      </c>
      <c r="E554" s="340" t="s">
        <v>2442</v>
      </c>
      <c r="F554" s="350">
        <v>44861</v>
      </c>
      <c r="G554" s="109" t="s">
        <v>2434</v>
      </c>
      <c r="H554" s="109" t="s">
        <v>1713</v>
      </c>
      <c r="I554" s="396">
        <v>15</v>
      </c>
      <c r="J554" s="390">
        <v>20</v>
      </c>
      <c r="K554" s="390">
        <v>20</v>
      </c>
      <c r="L554" s="389">
        <v>0</v>
      </c>
      <c r="M554" s="338">
        <v>0</v>
      </c>
      <c r="N554" s="338">
        <v>0</v>
      </c>
      <c r="O554" s="338">
        <v>0</v>
      </c>
      <c r="P554" s="338">
        <v>0</v>
      </c>
      <c r="Q554" s="183" t="s">
        <v>2112</v>
      </c>
      <c r="R554" s="338">
        <v>0.25</v>
      </c>
      <c r="S554" s="767"/>
      <c r="T554" s="419">
        <v>159</v>
      </c>
      <c r="U554" s="391">
        <v>1</v>
      </c>
      <c r="V554" s="129">
        <v>32</v>
      </c>
      <c r="W554" s="132" t="s">
        <v>2019</v>
      </c>
      <c r="X554" s="396">
        <v>5</v>
      </c>
      <c r="Y554" s="410">
        <v>1</v>
      </c>
      <c r="Z554" s="396">
        <v>0</v>
      </c>
      <c r="AA554" s="404"/>
      <c r="AB554" s="429"/>
      <c r="AC554" s="413">
        <v>2</v>
      </c>
      <c r="AD554" s="132">
        <v>1</v>
      </c>
      <c r="AE554" s="431">
        <v>0</v>
      </c>
      <c r="AF554" s="586"/>
    </row>
    <row r="555" spans="1:32" ht="27" customHeight="1">
      <c r="A555" s="346" t="s">
        <v>2431</v>
      </c>
      <c r="B555" s="340">
        <v>24</v>
      </c>
      <c r="C555" s="346" t="s">
        <v>2432</v>
      </c>
      <c r="D555" s="341">
        <v>10</v>
      </c>
      <c r="E555" s="340" t="s">
        <v>2443</v>
      </c>
      <c r="F555" s="350">
        <v>44856</v>
      </c>
      <c r="G555" s="109" t="s">
        <v>2434</v>
      </c>
      <c r="H555" s="109" t="s">
        <v>1713</v>
      </c>
      <c r="I555" s="396">
        <v>15</v>
      </c>
      <c r="J555" s="390">
        <v>40</v>
      </c>
      <c r="K555" s="390">
        <v>50</v>
      </c>
      <c r="L555" s="389">
        <v>-10</v>
      </c>
      <c r="M555" s="338">
        <v>5</v>
      </c>
      <c r="N555" s="338">
        <v>5</v>
      </c>
      <c r="O555" s="338">
        <v>0</v>
      </c>
      <c r="P555" s="338">
        <v>0</v>
      </c>
      <c r="Q555" s="183" t="s">
        <v>2112</v>
      </c>
      <c r="R555" s="338">
        <v>2.3636363636363638</v>
      </c>
      <c r="S555" s="767"/>
      <c r="T555" s="419">
        <v>148</v>
      </c>
      <c r="U555" s="391">
        <v>0</v>
      </c>
      <c r="V555" s="129">
        <v>0</v>
      </c>
      <c r="W555" s="132">
        <v>0</v>
      </c>
      <c r="X555" s="396">
        <v>0</v>
      </c>
      <c r="Y555" s="410">
        <v>1</v>
      </c>
      <c r="Z555" s="396">
        <v>0</v>
      </c>
      <c r="AA555" s="404"/>
      <c r="AB555" s="429"/>
      <c r="AC555" s="413">
        <v>2</v>
      </c>
      <c r="AD555" s="132">
        <v>0</v>
      </c>
      <c r="AE555" s="431">
        <v>1</v>
      </c>
      <c r="AF555" s="586"/>
    </row>
    <row r="556" spans="1:32" ht="27" customHeight="1">
      <c r="A556" s="346" t="s">
        <v>2431</v>
      </c>
      <c r="B556" s="340">
        <v>24</v>
      </c>
      <c r="C556" s="346" t="s">
        <v>2432</v>
      </c>
      <c r="D556" s="341">
        <v>11</v>
      </c>
      <c r="E556" s="340" t="s">
        <v>2444</v>
      </c>
      <c r="F556" s="350">
        <v>44853</v>
      </c>
      <c r="G556" s="109" t="s">
        <v>2434</v>
      </c>
      <c r="H556" s="109" t="s">
        <v>1713</v>
      </c>
      <c r="I556" s="396">
        <v>15</v>
      </c>
      <c r="J556" s="390">
        <v>80</v>
      </c>
      <c r="K556" s="390">
        <v>80</v>
      </c>
      <c r="L556" s="389">
        <v>0</v>
      </c>
      <c r="M556" s="338">
        <v>5</v>
      </c>
      <c r="N556" s="338">
        <v>5</v>
      </c>
      <c r="O556" s="338">
        <v>0</v>
      </c>
      <c r="P556" s="338">
        <v>0</v>
      </c>
      <c r="Q556" s="183" t="s">
        <v>1707</v>
      </c>
      <c r="R556" s="338">
        <v>0.36363636363636365</v>
      </c>
      <c r="S556" s="767"/>
      <c r="T556" s="419">
        <v>218</v>
      </c>
      <c r="U556" s="391">
        <v>0</v>
      </c>
      <c r="V556" s="129">
        <v>0</v>
      </c>
      <c r="W556" s="132">
        <v>0</v>
      </c>
      <c r="X556" s="396">
        <v>0</v>
      </c>
      <c r="Y556" s="410">
        <v>1</v>
      </c>
      <c r="Z556" s="396">
        <v>0</v>
      </c>
      <c r="AA556" s="404"/>
      <c r="AB556" s="429"/>
      <c r="AC556" s="413">
        <v>0</v>
      </c>
      <c r="AD556" s="132">
        <v>0</v>
      </c>
      <c r="AE556" s="431">
        <v>0</v>
      </c>
      <c r="AF556" s="586"/>
    </row>
    <row r="557" spans="1:32" ht="27" customHeight="1">
      <c r="A557" s="346" t="s">
        <v>2431</v>
      </c>
      <c r="B557" s="340">
        <v>24</v>
      </c>
      <c r="C557" s="346" t="s">
        <v>2432</v>
      </c>
      <c r="D557" s="341">
        <v>12</v>
      </c>
      <c r="E557" s="340" t="s">
        <v>2445</v>
      </c>
      <c r="F557" s="350">
        <v>44915</v>
      </c>
      <c r="G557" s="109" t="s">
        <v>2434</v>
      </c>
      <c r="H557" s="109" t="s">
        <v>1713</v>
      </c>
      <c r="I557" s="396">
        <v>15</v>
      </c>
      <c r="J557" s="390">
        <v>60</v>
      </c>
      <c r="K557" s="390">
        <v>70</v>
      </c>
      <c r="L557" s="389">
        <v>-10</v>
      </c>
      <c r="M557" s="338">
        <v>0</v>
      </c>
      <c r="N557" s="338">
        <v>0</v>
      </c>
      <c r="O557" s="338">
        <v>0</v>
      </c>
      <c r="P557" s="338">
        <v>0</v>
      </c>
      <c r="Q557" s="183" t="s">
        <v>2112</v>
      </c>
      <c r="R557" s="338">
        <v>0</v>
      </c>
      <c r="S557" s="767"/>
      <c r="T557" s="419">
        <v>250</v>
      </c>
      <c r="U557" s="391">
        <v>0</v>
      </c>
      <c r="V557" s="129">
        <v>0</v>
      </c>
      <c r="W557" s="132">
        <v>0</v>
      </c>
      <c r="X557" s="396">
        <v>0</v>
      </c>
      <c r="Y557" s="410">
        <v>1</v>
      </c>
      <c r="Z557" s="396">
        <v>0</v>
      </c>
      <c r="AA557" s="404"/>
      <c r="AB557" s="429"/>
      <c r="AC557" s="413">
        <v>2</v>
      </c>
      <c r="AD557" s="132">
        <v>0</v>
      </c>
      <c r="AE557" s="431">
        <v>0</v>
      </c>
      <c r="AF557" s="586"/>
    </row>
    <row r="558" spans="1:32" ht="27" customHeight="1">
      <c r="A558" s="346" t="s">
        <v>2431</v>
      </c>
      <c r="B558" s="340">
        <v>24</v>
      </c>
      <c r="C558" s="346" t="s">
        <v>2432</v>
      </c>
      <c r="D558" s="341">
        <v>13</v>
      </c>
      <c r="E558" s="340" t="s">
        <v>2446</v>
      </c>
      <c r="F558" s="350">
        <v>44853</v>
      </c>
      <c r="G558" s="109" t="s">
        <v>2434</v>
      </c>
      <c r="H558" s="109" t="s">
        <v>1713</v>
      </c>
      <c r="I558" s="396">
        <v>15</v>
      </c>
      <c r="J558" s="390">
        <v>30</v>
      </c>
      <c r="K558" s="390">
        <v>30</v>
      </c>
      <c r="L558" s="389">
        <v>0</v>
      </c>
      <c r="M558" s="338">
        <v>5</v>
      </c>
      <c r="N558" s="338">
        <v>5</v>
      </c>
      <c r="O558" s="338">
        <v>0</v>
      </c>
      <c r="P558" s="338">
        <v>0</v>
      </c>
      <c r="Q558" s="183" t="s">
        <v>2112</v>
      </c>
      <c r="R558" s="338">
        <v>1.1666666666666667</v>
      </c>
      <c r="S558" s="767"/>
      <c r="T558" s="419">
        <v>159</v>
      </c>
      <c r="U558" s="391">
        <v>0</v>
      </c>
      <c r="V558" s="129">
        <v>0</v>
      </c>
      <c r="W558" s="132">
        <v>0</v>
      </c>
      <c r="X558" s="396">
        <v>0</v>
      </c>
      <c r="Y558" s="410">
        <v>1</v>
      </c>
      <c r="Z558" s="396">
        <v>0</v>
      </c>
      <c r="AA558" s="404"/>
      <c r="AB558" s="429"/>
      <c r="AC558" s="413">
        <v>0</v>
      </c>
      <c r="AD558" s="132">
        <v>1</v>
      </c>
      <c r="AE558" s="431">
        <v>0</v>
      </c>
      <c r="AF558" s="586"/>
    </row>
    <row r="559" spans="1:32" ht="27" customHeight="1">
      <c r="A559" s="346" t="s">
        <v>2431</v>
      </c>
      <c r="B559" s="340">
        <v>24</v>
      </c>
      <c r="C559" s="346" t="s">
        <v>2432</v>
      </c>
      <c r="D559" s="341">
        <v>14</v>
      </c>
      <c r="E559" s="340" t="s">
        <v>2447</v>
      </c>
      <c r="F559" s="350">
        <v>44853</v>
      </c>
      <c r="G559" s="109" t="s">
        <v>2434</v>
      </c>
      <c r="H559" s="109" t="s">
        <v>1713</v>
      </c>
      <c r="I559" s="396">
        <v>15</v>
      </c>
      <c r="J559" s="390">
        <v>20</v>
      </c>
      <c r="K559" s="390">
        <v>20</v>
      </c>
      <c r="L559" s="389">
        <v>0</v>
      </c>
      <c r="M559" s="338">
        <v>0</v>
      </c>
      <c r="N559" s="338">
        <v>0</v>
      </c>
      <c r="O559" s="338">
        <v>0</v>
      </c>
      <c r="P559" s="338">
        <v>0</v>
      </c>
      <c r="Q559" s="183" t="s">
        <v>2112</v>
      </c>
      <c r="R559" s="338">
        <v>1</v>
      </c>
      <c r="S559" s="767"/>
      <c r="T559" s="419">
        <v>121</v>
      </c>
      <c r="U559" s="391">
        <v>1</v>
      </c>
      <c r="V559" s="129">
        <v>23</v>
      </c>
      <c r="W559" s="132" t="s">
        <v>1719</v>
      </c>
      <c r="X559" s="427" t="s">
        <v>1711</v>
      </c>
      <c r="Y559" s="410">
        <v>1</v>
      </c>
      <c r="Z559" s="396">
        <v>0</v>
      </c>
      <c r="AA559" s="404"/>
      <c r="AB559" s="429"/>
      <c r="AC559" s="413">
        <v>2</v>
      </c>
      <c r="AD559" s="132">
        <v>1</v>
      </c>
      <c r="AE559" s="431">
        <v>0</v>
      </c>
      <c r="AF559" s="586"/>
    </row>
    <row r="560" spans="1:32" ht="24.6" customHeight="1">
      <c r="A560" s="346" t="s">
        <v>2431</v>
      </c>
      <c r="B560" s="340">
        <v>24</v>
      </c>
      <c r="C560" s="346" t="s">
        <v>2432</v>
      </c>
      <c r="D560" s="341">
        <v>15</v>
      </c>
      <c r="E560" s="340" t="s">
        <v>2448</v>
      </c>
      <c r="F560" s="350">
        <v>44856</v>
      </c>
      <c r="G560" s="109" t="s">
        <v>2434</v>
      </c>
      <c r="H560" s="109" t="s">
        <v>1713</v>
      </c>
      <c r="I560" s="396">
        <v>15</v>
      </c>
      <c r="J560" s="390">
        <v>10</v>
      </c>
      <c r="K560" s="390">
        <v>10</v>
      </c>
      <c r="L560" s="389">
        <v>0</v>
      </c>
      <c r="M560" s="338">
        <v>5</v>
      </c>
      <c r="N560" s="338">
        <v>0</v>
      </c>
      <c r="O560" s="338">
        <v>0</v>
      </c>
      <c r="P560" s="338">
        <v>0</v>
      </c>
      <c r="Q560" s="183" t="s">
        <v>2112</v>
      </c>
      <c r="R560" s="338">
        <v>1.92</v>
      </c>
      <c r="S560" s="767"/>
      <c r="T560" s="419">
        <v>24</v>
      </c>
      <c r="U560" s="391">
        <v>0</v>
      </c>
      <c r="V560" s="129">
        <v>0</v>
      </c>
      <c r="W560" s="132">
        <v>0</v>
      </c>
      <c r="X560" s="427" t="s">
        <v>1711</v>
      </c>
      <c r="Y560" s="410">
        <v>1</v>
      </c>
      <c r="Z560" s="396">
        <v>0</v>
      </c>
      <c r="AA560" s="404"/>
      <c r="AB560" s="429"/>
      <c r="AC560" s="413">
        <v>2</v>
      </c>
      <c r="AD560" s="132">
        <v>1</v>
      </c>
      <c r="AE560" s="431">
        <v>2</v>
      </c>
      <c r="AF560" s="586"/>
    </row>
    <row r="561" spans="1:33" ht="23.1" customHeight="1" thickBot="1">
      <c r="A561" s="466" t="s">
        <v>2431</v>
      </c>
      <c r="B561" s="467">
        <v>24</v>
      </c>
      <c r="C561" s="466" t="s">
        <v>2432</v>
      </c>
      <c r="D561" s="468">
        <v>16</v>
      </c>
      <c r="E561" s="467" t="s">
        <v>2449</v>
      </c>
      <c r="F561" s="583"/>
      <c r="G561" s="583"/>
      <c r="H561" s="469"/>
      <c r="I561" s="503"/>
      <c r="J561" s="501"/>
      <c r="K561" s="501"/>
      <c r="L561" s="501"/>
      <c r="M561" s="499"/>
      <c r="N561" s="499"/>
      <c r="O561" s="499"/>
      <c r="P561" s="499"/>
      <c r="Q561" s="583"/>
      <c r="R561" s="583"/>
      <c r="S561" s="803"/>
      <c r="T561" s="503"/>
      <c r="U561" s="519"/>
      <c r="V561" s="594"/>
      <c r="W561" s="583"/>
      <c r="X561" s="503"/>
      <c r="Y561" s="519"/>
      <c r="Z561" s="503"/>
      <c r="AA561" s="501"/>
      <c r="AB561" s="503"/>
      <c r="AC561" s="519"/>
      <c r="AD561" s="583"/>
      <c r="AE561" s="503"/>
      <c r="AF561" s="587"/>
    </row>
    <row r="562" spans="1:33" ht="33.6" customHeight="1" thickTop="1">
      <c r="A562" s="455" t="s">
        <v>2359</v>
      </c>
      <c r="B562" s="456">
        <v>26</v>
      </c>
      <c r="C562" s="455" t="s">
        <v>1896</v>
      </c>
      <c r="D562" s="457">
        <v>1</v>
      </c>
      <c r="E562" s="456" t="s">
        <v>2450</v>
      </c>
      <c r="F562" s="458">
        <v>44901</v>
      </c>
      <c r="G562" s="459" t="s">
        <v>2032</v>
      </c>
      <c r="H562" s="308" t="s">
        <v>1713</v>
      </c>
      <c r="I562" s="460">
        <v>15</v>
      </c>
      <c r="J562" s="389">
        <v>40</v>
      </c>
      <c r="K562" s="389">
        <v>30</v>
      </c>
      <c r="L562" s="389">
        <v>10</v>
      </c>
      <c r="M562" s="461" t="s">
        <v>1711</v>
      </c>
      <c r="N562" s="461" t="s">
        <v>1750</v>
      </c>
      <c r="O562" s="461" t="s">
        <v>1711</v>
      </c>
      <c r="P562" s="87">
        <v>0</v>
      </c>
      <c r="Q562" s="180" t="s">
        <v>1706</v>
      </c>
      <c r="R562" s="690">
        <v>0</v>
      </c>
      <c r="S562" s="799"/>
      <c r="T562" s="418" t="s">
        <v>749</v>
      </c>
      <c r="U562" s="493">
        <v>0</v>
      </c>
      <c r="V562" s="138" t="s">
        <v>749</v>
      </c>
      <c r="W562" s="141" t="s">
        <v>749</v>
      </c>
      <c r="X562" s="460">
        <v>0</v>
      </c>
      <c r="Y562" s="463">
        <v>2</v>
      </c>
      <c r="Z562" s="464" t="s">
        <v>1711</v>
      </c>
      <c r="AA562" s="816">
        <v>32.200000000000003</v>
      </c>
      <c r="AB562" s="460" t="s">
        <v>1753</v>
      </c>
      <c r="AC562" s="524">
        <v>1</v>
      </c>
      <c r="AD562" s="141">
        <v>1</v>
      </c>
      <c r="AE562" s="464">
        <v>0</v>
      </c>
      <c r="AF562" s="465" t="s">
        <v>2284</v>
      </c>
    </row>
    <row r="563" spans="1:33" ht="33.6" customHeight="1">
      <c r="A563" s="346" t="s">
        <v>2359</v>
      </c>
      <c r="B563" s="340">
        <v>26</v>
      </c>
      <c r="C563" s="346" t="s">
        <v>1896</v>
      </c>
      <c r="D563" s="381">
        <v>2</v>
      </c>
      <c r="E563" s="340" t="s">
        <v>2451</v>
      </c>
      <c r="F563" s="350">
        <v>44904</v>
      </c>
      <c r="G563" s="364" t="s">
        <v>2033</v>
      </c>
      <c r="H563" s="109" t="s">
        <v>1713</v>
      </c>
      <c r="I563" s="396" t="s">
        <v>2031</v>
      </c>
      <c r="J563" s="391" t="s">
        <v>1711</v>
      </c>
      <c r="K563" s="391">
        <v>5</v>
      </c>
      <c r="L563" s="389" t="e">
        <v>#VALUE!</v>
      </c>
      <c r="M563" s="338" t="s">
        <v>1711</v>
      </c>
      <c r="N563" s="338" t="s">
        <v>1711</v>
      </c>
      <c r="O563" s="29">
        <v>0</v>
      </c>
      <c r="P563" s="29">
        <v>0</v>
      </c>
      <c r="Q563" s="183" t="s">
        <v>1707</v>
      </c>
      <c r="R563" s="367" t="s">
        <v>2038</v>
      </c>
      <c r="S563" s="800"/>
      <c r="T563" s="418">
        <v>24</v>
      </c>
      <c r="U563" s="405">
        <v>0</v>
      </c>
      <c r="V563" s="129" t="s">
        <v>749</v>
      </c>
      <c r="W563" s="132" t="s">
        <v>749</v>
      </c>
      <c r="X563" s="396">
        <v>0</v>
      </c>
      <c r="Y563" s="410">
        <v>2</v>
      </c>
      <c r="Z563" s="396" t="s">
        <v>1711</v>
      </c>
      <c r="AA563" s="810">
        <v>27.21</v>
      </c>
      <c r="AB563" s="396" t="s">
        <v>1738</v>
      </c>
      <c r="AC563" s="413">
        <v>8</v>
      </c>
      <c r="AD563" s="132">
        <v>0</v>
      </c>
      <c r="AE563" s="431">
        <v>1</v>
      </c>
      <c r="AF563" s="307" t="s">
        <v>2284</v>
      </c>
    </row>
    <row r="564" spans="1:33" ht="33.6" customHeight="1">
      <c r="A564" s="346" t="s">
        <v>2359</v>
      </c>
      <c r="B564" s="340">
        <v>26</v>
      </c>
      <c r="C564" s="346" t="s">
        <v>1896</v>
      </c>
      <c r="D564" s="381">
        <v>3</v>
      </c>
      <c r="E564" s="340" t="s">
        <v>2452</v>
      </c>
      <c r="F564" s="350">
        <v>44904</v>
      </c>
      <c r="G564" s="364" t="s">
        <v>2034</v>
      </c>
      <c r="H564" s="109" t="s">
        <v>1713</v>
      </c>
      <c r="I564" s="396">
        <v>15</v>
      </c>
      <c r="J564" s="392" t="s">
        <v>1711</v>
      </c>
      <c r="K564" s="392">
        <v>2.5</v>
      </c>
      <c r="L564" s="389" t="e">
        <v>#VALUE!</v>
      </c>
      <c r="M564" s="338" t="s">
        <v>1711</v>
      </c>
      <c r="N564" s="338" t="s">
        <v>1750</v>
      </c>
      <c r="O564" s="29">
        <v>0</v>
      </c>
      <c r="P564" s="29">
        <v>0</v>
      </c>
      <c r="Q564" s="183" t="s">
        <v>1707</v>
      </c>
      <c r="R564" s="367">
        <v>0</v>
      </c>
      <c r="S564" s="800"/>
      <c r="T564" s="418">
        <v>27</v>
      </c>
      <c r="U564" s="405">
        <v>0</v>
      </c>
      <c r="V564" s="129" t="s">
        <v>749</v>
      </c>
      <c r="W564" s="132" t="s">
        <v>749</v>
      </c>
      <c r="X564" s="396">
        <v>0</v>
      </c>
      <c r="Y564" s="410">
        <v>1</v>
      </c>
      <c r="Z564" s="396">
        <v>0</v>
      </c>
      <c r="AA564" s="810">
        <v>21.58</v>
      </c>
      <c r="AB564" s="396" t="s">
        <v>1738</v>
      </c>
      <c r="AC564" s="413">
        <v>6</v>
      </c>
      <c r="AD564" s="132">
        <v>0</v>
      </c>
      <c r="AE564" s="431">
        <v>0</v>
      </c>
      <c r="AF564" s="307" t="s">
        <v>2284</v>
      </c>
    </row>
    <row r="565" spans="1:33" ht="33.6" customHeight="1">
      <c r="A565" s="346" t="s">
        <v>2359</v>
      </c>
      <c r="B565" s="340">
        <v>26</v>
      </c>
      <c r="C565" s="346" t="s">
        <v>1896</v>
      </c>
      <c r="D565" s="381">
        <v>4</v>
      </c>
      <c r="E565" s="340" t="s">
        <v>2453</v>
      </c>
      <c r="F565" s="350">
        <v>44904</v>
      </c>
      <c r="G565" s="364" t="s">
        <v>2035</v>
      </c>
      <c r="H565" s="109" t="s">
        <v>1713</v>
      </c>
      <c r="I565" s="396">
        <v>20</v>
      </c>
      <c r="J565" s="390" t="s">
        <v>2042</v>
      </c>
      <c r="K565" s="390">
        <v>10</v>
      </c>
      <c r="L565" s="389" t="e">
        <v>#VALUE!</v>
      </c>
      <c r="M565" s="338" t="s">
        <v>1711</v>
      </c>
      <c r="N565" s="338" t="s">
        <v>1750</v>
      </c>
      <c r="O565" s="29">
        <v>0</v>
      </c>
      <c r="P565" s="29">
        <v>0</v>
      </c>
      <c r="Q565" s="183" t="s">
        <v>1707</v>
      </c>
      <c r="R565" s="367" t="s">
        <v>2039</v>
      </c>
      <c r="S565" s="800"/>
      <c r="T565" s="418">
        <v>27</v>
      </c>
      <c r="U565" s="405">
        <v>0</v>
      </c>
      <c r="V565" s="129" t="s">
        <v>749</v>
      </c>
      <c r="W565" s="132" t="s">
        <v>749</v>
      </c>
      <c r="X565" s="396">
        <v>0</v>
      </c>
      <c r="Y565" s="410">
        <v>2</v>
      </c>
      <c r="Z565" s="431" t="s">
        <v>1711</v>
      </c>
      <c r="AA565" s="810">
        <v>12.18</v>
      </c>
      <c r="AB565" s="396" t="s">
        <v>1738</v>
      </c>
      <c r="AC565" s="413">
        <v>5</v>
      </c>
      <c r="AD565" s="132">
        <v>0</v>
      </c>
      <c r="AE565" s="431">
        <v>1</v>
      </c>
      <c r="AF565" s="307" t="s">
        <v>2284</v>
      </c>
    </row>
    <row r="566" spans="1:33" ht="33.6" customHeight="1">
      <c r="A566" s="346" t="s">
        <v>2359</v>
      </c>
      <c r="B566" s="340">
        <v>26</v>
      </c>
      <c r="C566" s="346" t="s">
        <v>1896</v>
      </c>
      <c r="D566" s="381">
        <v>5</v>
      </c>
      <c r="E566" s="340" t="s">
        <v>2454</v>
      </c>
      <c r="F566" s="350">
        <v>44880</v>
      </c>
      <c r="G566" s="364" t="s">
        <v>2036</v>
      </c>
      <c r="H566" s="109" t="s">
        <v>1713</v>
      </c>
      <c r="I566" s="396">
        <v>20</v>
      </c>
      <c r="J566" s="392" t="s">
        <v>1711</v>
      </c>
      <c r="K566" s="392">
        <v>2.5</v>
      </c>
      <c r="L566" s="389" t="e">
        <v>#VALUE!</v>
      </c>
      <c r="M566" s="29">
        <v>40</v>
      </c>
      <c r="N566" s="338" t="s">
        <v>1711</v>
      </c>
      <c r="O566" s="29">
        <v>0</v>
      </c>
      <c r="P566" s="29">
        <v>0</v>
      </c>
      <c r="Q566" s="183" t="s">
        <v>1707</v>
      </c>
      <c r="R566" s="367" t="s">
        <v>2040</v>
      </c>
      <c r="S566" s="800"/>
      <c r="T566" s="418">
        <v>16.2</v>
      </c>
      <c r="U566" s="405">
        <v>0</v>
      </c>
      <c r="V566" s="129" t="s">
        <v>749</v>
      </c>
      <c r="W566" s="132" t="s">
        <v>749</v>
      </c>
      <c r="X566" s="396">
        <v>0</v>
      </c>
      <c r="Y566" s="410">
        <v>1</v>
      </c>
      <c r="Z566" s="396">
        <v>0</v>
      </c>
      <c r="AA566" s="810">
        <v>16.989999999999998</v>
      </c>
      <c r="AB566" s="396" t="s">
        <v>1738</v>
      </c>
      <c r="AC566" s="413">
        <v>0</v>
      </c>
      <c r="AD566" s="132">
        <v>0</v>
      </c>
      <c r="AE566" s="431">
        <v>7</v>
      </c>
      <c r="AF566" s="307" t="s">
        <v>2284</v>
      </c>
    </row>
    <row r="567" spans="1:33" ht="33.6" customHeight="1">
      <c r="A567" s="346" t="s">
        <v>2359</v>
      </c>
      <c r="B567" s="340">
        <v>26</v>
      </c>
      <c r="C567" s="346" t="s">
        <v>1896</v>
      </c>
      <c r="D567" s="381">
        <v>6</v>
      </c>
      <c r="E567" s="340" t="s">
        <v>2455</v>
      </c>
      <c r="F567" s="350">
        <v>44880</v>
      </c>
      <c r="G567" s="364" t="s">
        <v>2036</v>
      </c>
      <c r="H567" s="109" t="s">
        <v>1713</v>
      </c>
      <c r="I567" s="396">
        <v>20</v>
      </c>
      <c r="J567" s="392" t="s">
        <v>1711</v>
      </c>
      <c r="K567" s="392">
        <v>2.5</v>
      </c>
      <c r="L567" s="389" t="e">
        <v>#VALUE!</v>
      </c>
      <c r="M567" s="338" t="s">
        <v>1711</v>
      </c>
      <c r="N567" s="29">
        <v>0</v>
      </c>
      <c r="O567" s="29">
        <v>0</v>
      </c>
      <c r="P567" s="29">
        <v>0</v>
      </c>
      <c r="Q567" s="183" t="s">
        <v>1707</v>
      </c>
      <c r="R567" s="367" t="s">
        <v>2041</v>
      </c>
      <c r="S567" s="800"/>
      <c r="T567" s="418">
        <v>16.2</v>
      </c>
      <c r="U567" s="405">
        <v>0</v>
      </c>
      <c r="V567" s="129" t="s">
        <v>749</v>
      </c>
      <c r="W567" s="132" t="s">
        <v>749</v>
      </c>
      <c r="X567" s="396">
        <v>0</v>
      </c>
      <c r="Y567" s="410">
        <v>2</v>
      </c>
      <c r="Z567" s="431" t="s">
        <v>1711</v>
      </c>
      <c r="AA567" s="810">
        <v>5.63</v>
      </c>
      <c r="AB567" s="396">
        <v>4</v>
      </c>
      <c r="AC567" s="413">
        <v>1</v>
      </c>
      <c r="AD567" s="132">
        <v>0</v>
      </c>
      <c r="AE567" s="431">
        <v>0</v>
      </c>
      <c r="AF567" s="307" t="s">
        <v>2284</v>
      </c>
    </row>
    <row r="568" spans="1:33" ht="44.45" customHeight="1">
      <c r="A568" s="443" t="s">
        <v>2359</v>
      </c>
      <c r="B568" s="444">
        <v>26</v>
      </c>
      <c r="C568" s="443" t="s">
        <v>1896</v>
      </c>
      <c r="D568" s="445">
        <v>7</v>
      </c>
      <c r="E568" s="444" t="s">
        <v>1866</v>
      </c>
      <c r="F568" s="446">
        <v>44908</v>
      </c>
      <c r="G568" s="447" t="s">
        <v>2037</v>
      </c>
      <c r="H568" s="448" t="s">
        <v>1713</v>
      </c>
      <c r="I568" s="449">
        <v>30</v>
      </c>
      <c r="J568" s="450">
        <v>60</v>
      </c>
      <c r="K568" s="450">
        <v>60</v>
      </c>
      <c r="L568" s="807">
        <v>0</v>
      </c>
      <c r="M568" s="451" t="s">
        <v>1711</v>
      </c>
      <c r="N568" s="451" t="s">
        <v>1711</v>
      </c>
      <c r="O568" s="451" t="s">
        <v>1711</v>
      </c>
      <c r="P568" s="451" t="s">
        <v>1711</v>
      </c>
      <c r="Q568" s="589" t="s">
        <v>2112</v>
      </c>
      <c r="R568" s="697" t="s">
        <v>2040</v>
      </c>
      <c r="S568" s="804"/>
      <c r="T568" s="698">
        <v>170</v>
      </c>
      <c r="U568" s="696">
        <v>0</v>
      </c>
      <c r="V568" s="596" t="s">
        <v>749</v>
      </c>
      <c r="W568" s="590" t="s">
        <v>749</v>
      </c>
      <c r="X568" s="449">
        <v>0</v>
      </c>
      <c r="Y568" s="452">
        <v>2</v>
      </c>
      <c r="Z568" s="453" t="s">
        <v>1711</v>
      </c>
      <c r="AA568" s="821">
        <v>40.22</v>
      </c>
      <c r="AB568" s="449" t="s">
        <v>1753</v>
      </c>
      <c r="AC568" s="591">
        <v>2</v>
      </c>
      <c r="AD568" s="590">
        <v>5</v>
      </c>
      <c r="AE568" s="453">
        <v>1</v>
      </c>
      <c r="AF568" s="454" t="s">
        <v>2284</v>
      </c>
    </row>
    <row r="569" spans="1:33">
      <c r="A569" s="286"/>
      <c r="B569" s="287"/>
      <c r="C569" s="286"/>
    </row>
    <row r="570" spans="1:33">
      <c r="A570" s="318" t="s">
        <v>1777</v>
      </c>
      <c r="B570" s="319" t="s">
        <v>1778</v>
      </c>
      <c r="C570" s="320"/>
      <c r="D570" s="315"/>
      <c r="E570" s="315"/>
      <c r="F570" s="321"/>
      <c r="G570" s="584" t="s">
        <v>1779</v>
      </c>
      <c r="H570" s="319" t="s">
        <v>1780</v>
      </c>
      <c r="I570" s="315"/>
      <c r="J570" s="322"/>
      <c r="K570" s="322"/>
      <c r="L570" s="322"/>
      <c r="M570" s="315"/>
      <c r="N570" s="315"/>
      <c r="O570" s="323"/>
      <c r="P570" s="324"/>
      <c r="Q570" s="323"/>
      <c r="R570" s="325"/>
      <c r="S570" s="325"/>
      <c r="T570" s="325"/>
      <c r="U570" s="315" t="s">
        <v>1781</v>
      </c>
      <c r="V570" s="598"/>
      <c r="W570" s="326" t="s">
        <v>1782</v>
      </c>
      <c r="AA570" s="323"/>
      <c r="AB570" s="323"/>
      <c r="AC570" s="315"/>
      <c r="AD570" s="315"/>
      <c r="AE570" s="315"/>
      <c r="AF570" s="315"/>
      <c r="AG570" s="315"/>
    </row>
    <row r="571" spans="1:33">
      <c r="A571" s="327"/>
      <c r="B571" s="328" t="s">
        <v>1783</v>
      </c>
      <c r="C571" s="320"/>
      <c r="D571" s="315"/>
      <c r="E571" s="315"/>
      <c r="F571" s="321"/>
      <c r="G571" s="284"/>
      <c r="H571" s="319" t="s">
        <v>1784</v>
      </c>
      <c r="I571" s="315"/>
      <c r="J571" s="322"/>
      <c r="K571" s="322"/>
      <c r="L571" s="322"/>
      <c r="M571" s="315"/>
      <c r="N571" s="315"/>
      <c r="O571" s="323"/>
      <c r="P571" s="324"/>
      <c r="Q571" s="323"/>
      <c r="R571" s="325"/>
      <c r="S571" s="325"/>
      <c r="T571" s="325"/>
      <c r="U571" s="325"/>
      <c r="V571" s="599"/>
      <c r="W571" s="325"/>
      <c r="X571" s="315"/>
      <c r="Y571" s="323"/>
      <c r="Z571" s="323"/>
      <c r="AA571" s="323"/>
      <c r="AB571" s="323"/>
      <c r="AC571" s="315"/>
      <c r="AD571" s="315"/>
      <c r="AE571" s="315"/>
      <c r="AF571" s="315"/>
      <c r="AG571" s="315"/>
    </row>
    <row r="572" spans="1:33" ht="14.25" customHeight="1">
      <c r="A572" s="327"/>
      <c r="B572" s="328" t="s">
        <v>1785</v>
      </c>
      <c r="C572" s="320"/>
      <c r="D572" s="315"/>
      <c r="E572" s="315"/>
      <c r="F572" s="321"/>
      <c r="G572" s="284"/>
      <c r="H572" s="319" t="s">
        <v>1786</v>
      </c>
      <c r="I572" s="315"/>
      <c r="J572" s="322"/>
      <c r="K572" s="322"/>
      <c r="L572" s="322"/>
      <c r="M572" s="315"/>
      <c r="N572" s="315"/>
      <c r="O572" s="323"/>
      <c r="P572" s="324"/>
      <c r="Q572" s="323"/>
      <c r="R572" s="325"/>
      <c r="S572" s="325"/>
      <c r="T572" s="325"/>
      <c r="U572" s="315" t="s">
        <v>1787</v>
      </c>
      <c r="V572" s="830" t="s">
        <v>1903</v>
      </c>
      <c r="W572" s="830"/>
      <c r="X572" s="830"/>
      <c r="Y572" s="830"/>
      <c r="Z572" s="830"/>
      <c r="AA572" s="830"/>
      <c r="AB572" s="830"/>
      <c r="AC572" s="830"/>
      <c r="AD572" s="830"/>
      <c r="AE572" s="830"/>
      <c r="AF572" s="830"/>
      <c r="AG572" s="329"/>
    </row>
    <row r="573" spans="1:33">
      <c r="A573" s="327"/>
      <c r="B573" s="328" t="s">
        <v>1788</v>
      </c>
      <c r="C573" s="320"/>
      <c r="D573" s="315"/>
      <c r="E573" s="315"/>
      <c r="F573" s="321"/>
      <c r="G573" s="284"/>
      <c r="H573" s="319" t="s">
        <v>1789</v>
      </c>
      <c r="I573" s="315"/>
      <c r="J573" s="322"/>
      <c r="K573" s="322"/>
      <c r="L573" s="322"/>
      <c r="M573" s="315"/>
      <c r="N573" s="315"/>
      <c r="O573" s="323"/>
      <c r="P573" s="324"/>
      <c r="Q573" s="323"/>
      <c r="R573" s="325"/>
      <c r="S573" s="325"/>
      <c r="T573" s="325"/>
      <c r="U573" s="592"/>
      <c r="V573" s="830"/>
      <c r="W573" s="830"/>
      <c r="X573" s="830"/>
      <c r="Y573" s="830"/>
      <c r="Z573" s="830"/>
      <c r="AA573" s="830"/>
      <c r="AB573" s="830"/>
      <c r="AC573" s="830"/>
      <c r="AD573" s="830"/>
      <c r="AE573" s="830"/>
      <c r="AF573" s="830"/>
      <c r="AG573" s="329"/>
    </row>
    <row r="574" spans="1:33">
      <c r="A574" s="327"/>
      <c r="B574" s="319" t="s">
        <v>2082</v>
      </c>
      <c r="C574" s="320"/>
      <c r="D574" s="315"/>
      <c r="E574" s="315"/>
      <c r="F574" s="321"/>
      <c r="G574" s="284"/>
      <c r="H574" s="319" t="s">
        <v>1790</v>
      </c>
      <c r="I574" s="315"/>
      <c r="J574" s="322"/>
      <c r="K574" s="322"/>
      <c r="L574" s="322"/>
      <c r="M574" s="315"/>
      <c r="N574" s="315"/>
      <c r="O574" s="323"/>
      <c r="P574" s="324"/>
      <c r="Q574" s="323"/>
      <c r="R574" s="325"/>
      <c r="S574" s="325"/>
      <c r="T574" s="325"/>
      <c r="U574" s="315" t="s">
        <v>1899</v>
      </c>
      <c r="V574" s="830" t="s">
        <v>1900</v>
      </c>
      <c r="W574" s="830"/>
      <c r="X574" s="830"/>
      <c r="Y574" s="830"/>
      <c r="Z574" s="830"/>
      <c r="AA574" s="830"/>
      <c r="AB574" s="830"/>
      <c r="AC574" s="830"/>
      <c r="AD574" s="830"/>
      <c r="AE574" s="830"/>
      <c r="AF574" s="830"/>
      <c r="AG574" s="329"/>
    </row>
    <row r="575" spans="1:33">
      <c r="A575" s="327"/>
      <c r="B575" s="328" t="s">
        <v>1791</v>
      </c>
      <c r="C575" s="320"/>
      <c r="D575" s="315"/>
      <c r="E575" s="315"/>
      <c r="F575" s="321"/>
      <c r="G575" s="284"/>
      <c r="H575" s="319" t="s">
        <v>1792</v>
      </c>
      <c r="I575" s="315"/>
      <c r="J575" s="322"/>
      <c r="K575" s="322"/>
      <c r="L575" s="322"/>
      <c r="M575" s="315"/>
      <c r="N575" s="315"/>
      <c r="O575" s="323"/>
      <c r="P575" s="324"/>
      <c r="Q575" s="323"/>
      <c r="R575" s="325"/>
      <c r="S575" s="325"/>
      <c r="T575" s="325"/>
      <c r="U575" s="325"/>
      <c r="V575" s="830"/>
      <c r="W575" s="830"/>
      <c r="X575" s="830"/>
      <c r="Y575" s="830"/>
      <c r="Z575" s="830"/>
      <c r="AA575" s="830"/>
      <c r="AB575" s="830"/>
      <c r="AC575" s="830"/>
      <c r="AD575" s="830"/>
      <c r="AE575" s="830"/>
      <c r="AF575" s="830"/>
      <c r="AG575" s="329"/>
    </row>
    <row r="576" spans="1:33">
      <c r="A576" s="315"/>
      <c r="B576" s="319"/>
      <c r="C576" s="320"/>
      <c r="D576" s="315"/>
      <c r="E576" s="315"/>
      <c r="F576" s="321"/>
      <c r="G576" s="284"/>
      <c r="H576" s="327" t="s">
        <v>1793</v>
      </c>
      <c r="I576" s="315"/>
      <c r="J576" s="322"/>
      <c r="K576" s="322"/>
      <c r="L576" s="322"/>
      <c r="M576" s="315"/>
      <c r="N576" s="315"/>
      <c r="O576" s="323"/>
      <c r="P576" s="324"/>
      <c r="Q576" s="323"/>
      <c r="R576" s="325"/>
      <c r="S576" s="325"/>
      <c r="T576" s="325"/>
      <c r="U576" s="325"/>
      <c r="V576" s="600"/>
      <c r="W576" s="593"/>
      <c r="X576" s="593"/>
      <c r="Y576" s="593"/>
      <c r="Z576" s="593"/>
      <c r="AA576" s="593"/>
      <c r="AB576" s="593"/>
      <c r="AC576" s="593"/>
      <c r="AD576" s="593"/>
      <c r="AE576" s="593"/>
      <c r="AF576" s="325"/>
      <c r="AG576" s="325"/>
    </row>
    <row r="577" spans="1:33">
      <c r="A577" s="315"/>
      <c r="B577" s="319"/>
      <c r="C577" s="320"/>
      <c r="D577" s="315"/>
      <c r="E577" s="315"/>
      <c r="F577" s="321"/>
      <c r="G577" s="284"/>
      <c r="H577" s="327" t="s">
        <v>1794</v>
      </c>
      <c r="I577" s="315"/>
      <c r="J577" s="322"/>
      <c r="K577" s="322"/>
      <c r="L577" s="322"/>
      <c r="M577" s="315"/>
      <c r="N577" s="315"/>
      <c r="O577" s="323"/>
      <c r="P577" s="324"/>
      <c r="Q577" s="323"/>
      <c r="R577" s="325"/>
      <c r="S577" s="325"/>
      <c r="T577" s="325"/>
      <c r="U577" s="325"/>
      <c r="V577" s="599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</row>
    <row r="578" spans="1:33">
      <c r="A578" s="315"/>
      <c r="B578" s="319"/>
      <c r="C578" s="320"/>
      <c r="D578" s="315"/>
      <c r="E578" s="315"/>
      <c r="F578" s="321"/>
      <c r="G578" s="284"/>
      <c r="H578" s="319" t="s">
        <v>1795</v>
      </c>
      <c r="I578" s="315"/>
      <c r="J578" s="322"/>
      <c r="K578" s="322"/>
      <c r="L578" s="322"/>
      <c r="M578" s="315"/>
      <c r="N578" s="315"/>
      <c r="O578" s="323"/>
      <c r="P578" s="324"/>
      <c r="Q578" s="323"/>
      <c r="R578" s="325"/>
      <c r="S578" s="325"/>
      <c r="T578" s="325"/>
      <c r="U578" s="325"/>
      <c r="V578" s="599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</row>
    <row r="579" spans="1:33">
      <c r="A579" s="315"/>
      <c r="B579" s="319"/>
      <c r="C579" s="320"/>
      <c r="D579" s="315"/>
      <c r="E579" s="315"/>
      <c r="F579" s="321"/>
      <c r="G579" s="284"/>
      <c r="H579" s="319" t="s">
        <v>1796</v>
      </c>
      <c r="I579" s="315"/>
      <c r="J579" s="322"/>
      <c r="K579" s="322"/>
      <c r="L579" s="322"/>
      <c r="M579" s="315"/>
      <c r="N579" s="315"/>
      <c r="O579" s="323"/>
      <c r="P579" s="324"/>
      <c r="Q579" s="323"/>
      <c r="R579" s="325"/>
      <c r="S579" s="325"/>
      <c r="T579" s="325"/>
      <c r="U579" s="325"/>
      <c r="V579" s="599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</row>
    <row r="580" spans="1:33">
      <c r="A580" s="315"/>
      <c r="B580" s="319"/>
      <c r="C580" s="320"/>
      <c r="D580" s="315"/>
      <c r="E580" s="315"/>
      <c r="F580" s="321"/>
      <c r="G580" s="284"/>
      <c r="H580" s="319" t="s">
        <v>1797</v>
      </c>
      <c r="I580" s="315"/>
      <c r="J580" s="322"/>
      <c r="K580" s="322"/>
      <c r="L580" s="322"/>
      <c r="M580" s="315"/>
      <c r="N580" s="315"/>
      <c r="O580" s="323"/>
      <c r="P580" s="324"/>
      <c r="Q580" s="323"/>
      <c r="R580" s="325"/>
      <c r="S580" s="325"/>
      <c r="T580" s="325"/>
      <c r="U580" s="325"/>
      <c r="V580" s="599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</row>
  </sheetData>
  <autoFilter ref="A3:AG568" xr:uid="{16B33C0C-0F71-49F7-AE1F-39DD010CC67E}"/>
  <mergeCells count="32">
    <mergeCell ref="F1:F3"/>
    <mergeCell ref="A1:A3"/>
    <mergeCell ref="B1:B3"/>
    <mergeCell ref="C1:C3"/>
    <mergeCell ref="D1:D3"/>
    <mergeCell ref="E1:E3"/>
    <mergeCell ref="G1:G3"/>
    <mergeCell ref="H1:H3"/>
    <mergeCell ref="I1:I3"/>
    <mergeCell ref="J1:T1"/>
    <mergeCell ref="U1:X1"/>
    <mergeCell ref="X2:X3"/>
    <mergeCell ref="AA1:AB1"/>
    <mergeCell ref="AC1:AE1"/>
    <mergeCell ref="AF1:AF3"/>
    <mergeCell ref="J2:J3"/>
    <mergeCell ref="M2:P2"/>
    <mergeCell ref="Q2:Q3"/>
    <mergeCell ref="R2:R3"/>
    <mergeCell ref="U2:U3"/>
    <mergeCell ref="V2:V3"/>
    <mergeCell ref="W2:W3"/>
    <mergeCell ref="Y1:Z1"/>
    <mergeCell ref="Y2:Y3"/>
    <mergeCell ref="Z2:Z3"/>
    <mergeCell ref="V574:AF575"/>
    <mergeCell ref="AA2:AA3"/>
    <mergeCell ref="AB2:AB3"/>
    <mergeCell ref="AC2:AC3"/>
    <mergeCell ref="AD2:AD3"/>
    <mergeCell ref="AE2:AE3"/>
    <mergeCell ref="V572:AF573"/>
  </mergeCells>
  <phoneticPr fontId="3"/>
  <dataValidations count="1">
    <dataValidation type="list" allowBlank="1" showInputMessage="1" showErrorMessage="1" sqref="Q476 AB475:AB479 Q445 AB442:AB446 AB481:AB484 V481:W481 AB448:AB472 Q451:Q472" xr:uid="{0A210377-CEC2-40AD-8750-6BFFD56359DF}">
      <formula1>#REF!</formula1>
    </dataValidation>
  </dataValidations>
  <pageMargins left="0.70866141732283472" right="0.55118110236220474" top="0.74803149606299213" bottom="0.74803149606299213" header="0.31496062992125984" footer="0.31496062992125984"/>
  <pageSetup paperSize="9" scale="50" orientation="landscape" r:id="rId1"/>
  <headerFooter>
    <oddHeader>&amp;C
&amp;"ＭＳ ゴシック,太字"資料８．令和3(2021)年度　モニタリングサイト1000（サンゴ礁）調査結果一覧</oddHeader>
  </headerFooter>
  <rowBreaks count="1" manualBreakCount="1">
    <brk id="64" max="2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0F8CBF12EA941A01DB34737B06836" ma:contentTypeVersion="14" ma:contentTypeDescription="新しいドキュメントを作成します。" ma:contentTypeScope="" ma:versionID="21bafa632ad37635daac0376f4e14e61">
  <xsd:schema xmlns:xsd="http://www.w3.org/2001/XMLSchema" xmlns:xs="http://www.w3.org/2001/XMLSchema" xmlns:p="http://schemas.microsoft.com/office/2006/metadata/properties" xmlns:ns2="2c736313-e922-4138-a872-2ec8679b1999" xmlns:ns3="a310568e-dee9-4420-8dc0-6d8403035fdf" targetNamespace="http://schemas.microsoft.com/office/2006/metadata/properties" ma:root="true" ma:fieldsID="64cae9a7bd1b998a0b4158b03ff1643e" ns2:_="" ns3:_="">
    <xsd:import namespace="2c736313-e922-4138-a872-2ec8679b1999"/>
    <xsd:import namespace="a310568e-dee9-4420-8dc0-6d8403035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36313-e922-4138-a872-2ec8679b1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568e-dee9-4420-8dc0-6d8403035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542528-747e-4c57-89f9-ab14a3ec33c7}" ma:internalName="TaxCatchAll" ma:showField="CatchAllData" ma:web="a310568e-dee9-4420-8dc0-6d8403035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36313-e922-4138-a872-2ec8679b1999">
      <Terms xmlns="http://schemas.microsoft.com/office/infopath/2007/PartnerControls"/>
    </lcf76f155ced4ddcb4097134ff3c332f>
    <TaxCatchAll xmlns="a310568e-dee9-4420-8dc0-6d8403035f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779AC3D-B193-4630-A7F1-8CC2BFF97B58}"/>
</file>

<file path=customXml/itemProps2.xml><?xml version="1.0" encoding="utf-8"?>
<ds:datastoreItem xmlns:ds="http://schemas.openxmlformats.org/officeDocument/2006/customXml" ds:itemID="{80F87D04-2B2D-457B-A7FA-D58925FA71A3}">
  <ds:schemaRefs>
    <ds:schemaRef ds:uri="http://schemas.microsoft.com/office/2006/metadata/properties"/>
    <ds:schemaRef ds:uri="http://schemas.microsoft.com/office/infopath/2007/PartnerControls"/>
    <ds:schemaRef ds:uri="bd22cafc-f569-47c3-a299-155465b708d6"/>
    <ds:schemaRef ds:uri="cda7ca9d-041f-4b53-b8c7-d4b05a471310"/>
  </ds:schemaRefs>
</ds:datastoreItem>
</file>

<file path=customXml/itemProps3.xml><?xml version="1.0" encoding="utf-8"?>
<ds:datastoreItem xmlns:ds="http://schemas.openxmlformats.org/officeDocument/2006/customXml" ds:itemID="{F59839EE-B95B-47E9-A0BD-395E3D44D8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C2C7DB2-B26B-42E5-8088-02E5C95844B5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基礎データ  (2022年度版)</vt:lpstr>
      <vt:lpstr>集計表（2022年度)  (&lt;1等変換)</vt:lpstr>
      <vt:lpstr>'基礎データ  (2022年度版)'!Print_Area</vt:lpstr>
      <vt:lpstr>'集計表（2022年度)  (&lt;1等変換)'!Print_Area</vt:lpstr>
      <vt:lpstr>'基礎データ  (2022年度版)'!Print_Titles</vt:lpstr>
      <vt:lpstr>'集計表（2022年度)  (&lt;1等変換)'!Print_Titles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2017-03-27T13:49:38Z</dcterms:created>
  <dcterms:modified xsi:type="dcterms:W3CDTF">2026-01-22T07:44:16Z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移行用ユーザー</vt:lpwstr>
  </property>
  <property fmtid="{D5CDD505-2E9C-101B-9397-08002B2CF9AE}" pid="3" name="display_urn:schemas-microsoft-com:office:office#Author">
    <vt:lpwstr>移行用ユーザー</vt:lpwstr>
  </property>
  <property fmtid="{D5CDD505-2E9C-101B-9397-08002B2CF9AE}" pid="4" name="ContentTypeId">
    <vt:lpwstr>0x0101009130F8CBF12EA941A01DB34737B06836</vt:lpwstr>
  </property>
</Properties>
</file>